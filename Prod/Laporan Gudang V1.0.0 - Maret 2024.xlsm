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Prod\"/>
    </mc:Choice>
  </mc:AlternateContent>
  <xr:revisionPtr revIDLastSave="0" documentId="13_ncr:1_{A3884A2D-16A0-45CB-8190-54599F8DD886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DATA!$A$5:$T$2220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R2220" i="1" l="1"/>
  <c r="T2220" i="1" s="1"/>
  <c r="R2219" i="1"/>
  <c r="T2219" i="1" s="1"/>
  <c r="R2218" i="1"/>
  <c r="T2218" i="1" s="1"/>
  <c r="R2217" i="1"/>
  <c r="T2217" i="1" s="1"/>
  <c r="R2216" i="1"/>
  <c r="T2216" i="1" s="1"/>
  <c r="R2215" i="1"/>
  <c r="T2215" i="1" s="1"/>
  <c r="R2214" i="1"/>
  <c r="T2214" i="1" s="1"/>
  <c r="R2213" i="1"/>
  <c r="T2213" i="1" s="1"/>
  <c r="R2212" i="1"/>
  <c r="T2212" i="1" s="1"/>
  <c r="R2211" i="1"/>
  <c r="T2211" i="1" s="1"/>
  <c r="R2210" i="1"/>
  <c r="T2210" i="1" s="1"/>
  <c r="R2209" i="1"/>
  <c r="T2209" i="1" s="1"/>
  <c r="R2208" i="1"/>
  <c r="T2208" i="1" s="1"/>
  <c r="R2207" i="1"/>
  <c r="T2207" i="1" s="1"/>
  <c r="R2206" i="1"/>
  <c r="T2206" i="1" s="1"/>
  <c r="R2205" i="1"/>
  <c r="T2205" i="1" s="1"/>
  <c r="R2204" i="1"/>
  <c r="T2204" i="1" s="1"/>
  <c r="R2203" i="1"/>
  <c r="T2203" i="1" s="1"/>
  <c r="R2202" i="1"/>
  <c r="T2202" i="1" s="1"/>
  <c r="R2201" i="1"/>
  <c r="T2201" i="1" s="1"/>
  <c r="R2200" i="1"/>
  <c r="T2200" i="1" s="1"/>
  <c r="R2199" i="1"/>
  <c r="T2199" i="1" s="1"/>
  <c r="R2198" i="1"/>
  <c r="T2198" i="1" s="1"/>
  <c r="R2197" i="1"/>
  <c r="T2197" i="1" s="1"/>
  <c r="R2196" i="1"/>
  <c r="T2196" i="1" s="1"/>
  <c r="R2195" i="1"/>
  <c r="T2195" i="1" s="1"/>
  <c r="R2194" i="1"/>
  <c r="T2194" i="1" s="1"/>
  <c r="R2193" i="1"/>
  <c r="T2193" i="1" s="1"/>
  <c r="R2192" i="1"/>
  <c r="T2192" i="1" s="1"/>
  <c r="R2191" i="1"/>
  <c r="T2191" i="1" s="1"/>
  <c r="R2190" i="1"/>
  <c r="T2190" i="1" s="1"/>
  <c r="R2189" i="1"/>
  <c r="T2189" i="1" s="1"/>
  <c r="R2188" i="1"/>
  <c r="T2188" i="1" s="1"/>
  <c r="R2187" i="1"/>
  <c r="T2187" i="1" s="1"/>
  <c r="R2186" i="1"/>
  <c r="T2186" i="1" s="1"/>
  <c r="R2185" i="1"/>
  <c r="T2185" i="1" s="1"/>
  <c r="R2184" i="1"/>
  <c r="T2184" i="1" s="1"/>
  <c r="R2183" i="1"/>
  <c r="T2183" i="1" s="1"/>
  <c r="R2182" i="1"/>
  <c r="T2182" i="1" s="1"/>
  <c r="R2181" i="1"/>
  <c r="T2181" i="1" s="1"/>
  <c r="R2180" i="1"/>
  <c r="T2180" i="1" s="1"/>
  <c r="R2179" i="1"/>
  <c r="T2179" i="1" s="1"/>
  <c r="R2178" i="1"/>
  <c r="T2178" i="1" s="1"/>
  <c r="R2177" i="1"/>
  <c r="T2177" i="1" s="1"/>
  <c r="R2176" i="1"/>
  <c r="T2176" i="1" s="1"/>
  <c r="R2175" i="1"/>
  <c r="T2175" i="1" s="1"/>
  <c r="R2174" i="1"/>
  <c r="T2174" i="1" s="1"/>
  <c r="R2173" i="1"/>
  <c r="T2173" i="1" s="1"/>
  <c r="R2172" i="1"/>
  <c r="T2172" i="1" s="1"/>
  <c r="R2171" i="1"/>
  <c r="T2171" i="1" s="1"/>
  <c r="R2170" i="1"/>
  <c r="T2170" i="1" s="1"/>
  <c r="R2169" i="1"/>
  <c r="T2169" i="1" s="1"/>
  <c r="R2168" i="1"/>
  <c r="T2168" i="1" s="1"/>
  <c r="R2167" i="1"/>
  <c r="T2167" i="1" s="1"/>
  <c r="R2166" i="1"/>
  <c r="T2166" i="1" s="1"/>
  <c r="R2165" i="1"/>
  <c r="T2165" i="1" s="1"/>
  <c r="R2164" i="1"/>
  <c r="T2164" i="1" s="1"/>
  <c r="R2163" i="1"/>
  <c r="T2163" i="1" s="1"/>
  <c r="R2162" i="1"/>
  <c r="T2162" i="1" s="1"/>
  <c r="R2161" i="1"/>
  <c r="T2161" i="1" s="1"/>
  <c r="R2160" i="1"/>
  <c r="T2160" i="1" s="1"/>
  <c r="R2159" i="1"/>
  <c r="T2159" i="1" s="1"/>
  <c r="R2158" i="1"/>
  <c r="T2158" i="1" s="1"/>
  <c r="R2157" i="1"/>
  <c r="T2157" i="1" s="1"/>
  <c r="R2156" i="1"/>
  <c r="T2156" i="1" s="1"/>
  <c r="R2155" i="1"/>
  <c r="T2155" i="1" s="1"/>
  <c r="R2154" i="1"/>
  <c r="T2154" i="1" s="1"/>
  <c r="R2153" i="1"/>
  <c r="T2153" i="1" s="1"/>
  <c r="R2152" i="1"/>
  <c r="T2152" i="1" s="1"/>
  <c r="R2151" i="1"/>
  <c r="T2151" i="1" s="1"/>
  <c r="R2150" i="1"/>
  <c r="T2150" i="1" s="1"/>
  <c r="R2149" i="1"/>
  <c r="T2149" i="1" s="1"/>
  <c r="R2148" i="1"/>
  <c r="T2148" i="1" s="1"/>
  <c r="R2147" i="1"/>
  <c r="T2147" i="1" s="1"/>
  <c r="R2146" i="1"/>
  <c r="T2146" i="1" s="1"/>
  <c r="R2145" i="1"/>
  <c r="T2145" i="1" s="1"/>
  <c r="R2144" i="1"/>
  <c r="T2144" i="1" s="1"/>
  <c r="R2143" i="1"/>
  <c r="T2143" i="1" s="1"/>
  <c r="R2142" i="1"/>
  <c r="T2142" i="1" s="1"/>
  <c r="R2141" i="1"/>
  <c r="T2141" i="1" s="1"/>
  <c r="R2140" i="1"/>
  <c r="T2140" i="1" s="1"/>
  <c r="R2139" i="1"/>
  <c r="T2139" i="1" s="1"/>
  <c r="R2138" i="1"/>
  <c r="T2138" i="1" s="1"/>
  <c r="R2137" i="1"/>
  <c r="T2137" i="1" s="1"/>
  <c r="R2136" i="1"/>
  <c r="T2136" i="1" s="1"/>
  <c r="R2135" i="1"/>
  <c r="T2135" i="1" s="1"/>
  <c r="R2134" i="1"/>
  <c r="T2134" i="1" s="1"/>
  <c r="R2133" i="1"/>
  <c r="T2133" i="1" s="1"/>
  <c r="R2132" i="1"/>
  <c r="T2132" i="1" s="1"/>
  <c r="R2131" i="1"/>
  <c r="T2131" i="1" s="1"/>
  <c r="R2130" i="1"/>
  <c r="T2130" i="1" s="1"/>
  <c r="R2129" i="1"/>
  <c r="T2129" i="1" s="1"/>
  <c r="R2128" i="1"/>
  <c r="T2128" i="1" s="1"/>
  <c r="R2127" i="1"/>
  <c r="T2127" i="1" s="1"/>
  <c r="R2126" i="1"/>
  <c r="T2126" i="1" s="1"/>
  <c r="R2125" i="1"/>
  <c r="T2125" i="1" s="1"/>
  <c r="R2124" i="1"/>
  <c r="T2124" i="1" s="1"/>
  <c r="R2123" i="1"/>
  <c r="T2123" i="1" s="1"/>
  <c r="R2122" i="1"/>
  <c r="T2122" i="1" s="1"/>
  <c r="R2121" i="1"/>
  <c r="T2121" i="1" s="1"/>
  <c r="R2120" i="1"/>
  <c r="T2120" i="1" s="1"/>
  <c r="R2119" i="1"/>
  <c r="T2119" i="1" s="1"/>
  <c r="R2118" i="1"/>
  <c r="T2118" i="1" s="1"/>
  <c r="R2117" i="1"/>
  <c r="T2117" i="1" s="1"/>
  <c r="R2116" i="1"/>
  <c r="T2116" i="1" s="1"/>
  <c r="R2115" i="1"/>
  <c r="T2115" i="1" s="1"/>
  <c r="R2114" i="1"/>
  <c r="T2114" i="1" s="1"/>
  <c r="R2113" i="1"/>
  <c r="T2113" i="1" s="1"/>
  <c r="R2112" i="1"/>
  <c r="T2112" i="1" s="1"/>
  <c r="R2111" i="1"/>
  <c r="T2111" i="1" s="1"/>
  <c r="R2110" i="1"/>
  <c r="T2110" i="1" s="1"/>
  <c r="R2109" i="1"/>
  <c r="T2109" i="1" s="1"/>
  <c r="R2108" i="1"/>
  <c r="T2108" i="1" s="1"/>
  <c r="R2107" i="1"/>
  <c r="T2107" i="1" s="1"/>
  <c r="R2106" i="1"/>
  <c r="T2106" i="1" s="1"/>
  <c r="R2105" i="1"/>
  <c r="T2105" i="1" s="1"/>
  <c r="R2104" i="1"/>
  <c r="T2104" i="1" s="1"/>
  <c r="R2103" i="1"/>
  <c r="T2103" i="1" s="1"/>
  <c r="R2102" i="1"/>
  <c r="T2102" i="1" s="1"/>
  <c r="R2101" i="1"/>
  <c r="T2101" i="1" s="1"/>
  <c r="R2100" i="1"/>
  <c r="T2100" i="1" s="1"/>
  <c r="R2099" i="1"/>
  <c r="T2099" i="1" s="1"/>
  <c r="R2098" i="1"/>
  <c r="T2098" i="1" s="1"/>
  <c r="R2097" i="1"/>
  <c r="T2097" i="1" s="1"/>
  <c r="R2096" i="1"/>
  <c r="T2096" i="1" s="1"/>
  <c r="R2095" i="1"/>
  <c r="T2095" i="1" s="1"/>
  <c r="R2094" i="1"/>
  <c r="T2094" i="1" s="1"/>
  <c r="R2093" i="1"/>
  <c r="T2093" i="1" s="1"/>
  <c r="R2092" i="1"/>
  <c r="T2092" i="1" s="1"/>
  <c r="R2091" i="1"/>
  <c r="T2091" i="1" s="1"/>
  <c r="R2090" i="1"/>
  <c r="T2090" i="1" s="1"/>
  <c r="R2089" i="1"/>
  <c r="T2089" i="1" s="1"/>
  <c r="R2088" i="1"/>
  <c r="T2088" i="1" s="1"/>
  <c r="R2087" i="1"/>
  <c r="T2087" i="1" s="1"/>
  <c r="R2086" i="1"/>
  <c r="T2086" i="1" s="1"/>
  <c r="R2085" i="1"/>
  <c r="T2085" i="1" s="1"/>
  <c r="R2084" i="1"/>
  <c r="T2084" i="1" s="1"/>
  <c r="R2083" i="1"/>
  <c r="T2083" i="1" s="1"/>
  <c r="R2082" i="1"/>
  <c r="T2082" i="1" s="1"/>
  <c r="R2081" i="1"/>
  <c r="T2081" i="1" s="1"/>
  <c r="R2080" i="1"/>
  <c r="T2080" i="1" s="1"/>
  <c r="R2079" i="1"/>
  <c r="T2079" i="1" s="1"/>
  <c r="R2078" i="1"/>
  <c r="T2078" i="1" s="1"/>
  <c r="R2077" i="1"/>
  <c r="T2077" i="1" s="1"/>
  <c r="R2076" i="1"/>
  <c r="T2076" i="1" s="1"/>
  <c r="R2075" i="1"/>
  <c r="T2075" i="1" s="1"/>
  <c r="R2074" i="1"/>
  <c r="T2074" i="1" s="1"/>
  <c r="R2073" i="1"/>
  <c r="T2073" i="1" s="1"/>
  <c r="R2072" i="1"/>
  <c r="T2072" i="1" s="1"/>
  <c r="R2071" i="1"/>
  <c r="T2071" i="1" s="1"/>
  <c r="R2070" i="1"/>
  <c r="T2070" i="1" s="1"/>
  <c r="R2069" i="1"/>
  <c r="T2069" i="1" s="1"/>
  <c r="R2068" i="1"/>
  <c r="T2068" i="1" s="1"/>
  <c r="R2067" i="1"/>
  <c r="T2067" i="1" s="1"/>
  <c r="R2066" i="1"/>
  <c r="T2066" i="1" s="1"/>
  <c r="R2065" i="1"/>
  <c r="T2065" i="1" s="1"/>
  <c r="R2064" i="1"/>
  <c r="T2064" i="1" s="1"/>
  <c r="R2063" i="1"/>
  <c r="T2063" i="1" s="1"/>
  <c r="R2062" i="1"/>
  <c r="T2062" i="1" s="1"/>
  <c r="R2061" i="1"/>
  <c r="T2061" i="1" s="1"/>
  <c r="R2060" i="1"/>
  <c r="T2060" i="1" s="1"/>
  <c r="R2059" i="1"/>
  <c r="T2059" i="1" s="1"/>
  <c r="R2058" i="1"/>
  <c r="T2058" i="1" s="1"/>
  <c r="R2057" i="1"/>
  <c r="T2057" i="1" s="1"/>
  <c r="R2056" i="1"/>
  <c r="T2056" i="1" s="1"/>
  <c r="R2055" i="1"/>
  <c r="T2055" i="1" s="1"/>
  <c r="R2054" i="1"/>
  <c r="T2054" i="1" s="1"/>
  <c r="R2053" i="1"/>
  <c r="T2053" i="1" s="1"/>
  <c r="R2052" i="1"/>
  <c r="T2052" i="1" s="1"/>
  <c r="R2051" i="1"/>
  <c r="T2051" i="1" s="1"/>
  <c r="R2050" i="1"/>
  <c r="T2050" i="1" s="1"/>
  <c r="R2049" i="1"/>
  <c r="T2049" i="1" s="1"/>
  <c r="R2048" i="1"/>
  <c r="T2048" i="1" s="1"/>
  <c r="R2047" i="1"/>
  <c r="T2047" i="1" s="1"/>
  <c r="R2046" i="1"/>
  <c r="T2046" i="1" s="1"/>
  <c r="R2045" i="1"/>
  <c r="T2045" i="1" s="1"/>
  <c r="R2044" i="1"/>
  <c r="T2044" i="1" s="1"/>
  <c r="R2043" i="1"/>
  <c r="T2043" i="1" s="1"/>
  <c r="R2042" i="1"/>
  <c r="T2042" i="1" s="1"/>
  <c r="R2041" i="1"/>
  <c r="T2041" i="1" s="1"/>
  <c r="R2040" i="1"/>
  <c r="T2040" i="1" s="1"/>
  <c r="R2039" i="1"/>
  <c r="T2039" i="1" s="1"/>
  <c r="R2038" i="1"/>
  <c r="T2038" i="1" s="1"/>
  <c r="R2037" i="1"/>
  <c r="T2037" i="1" s="1"/>
  <c r="R2036" i="1"/>
  <c r="T2036" i="1" s="1"/>
  <c r="R2035" i="1"/>
  <c r="T2035" i="1" s="1"/>
  <c r="R2034" i="1"/>
  <c r="T2034" i="1" s="1"/>
  <c r="R2033" i="1"/>
  <c r="T2033" i="1" s="1"/>
  <c r="R2032" i="1"/>
  <c r="T2032" i="1" s="1"/>
  <c r="R2031" i="1"/>
  <c r="T2031" i="1" s="1"/>
  <c r="R2030" i="1"/>
  <c r="T2030" i="1" s="1"/>
  <c r="R2029" i="1"/>
  <c r="T2029" i="1" s="1"/>
  <c r="R2028" i="1"/>
  <c r="T2028" i="1" s="1"/>
  <c r="R2027" i="1"/>
  <c r="T2027" i="1" s="1"/>
  <c r="R2026" i="1"/>
  <c r="T2026" i="1" s="1"/>
  <c r="R2025" i="1"/>
  <c r="T2025" i="1" s="1"/>
  <c r="R2024" i="1"/>
  <c r="T2024" i="1" s="1"/>
  <c r="R2023" i="1"/>
  <c r="T2023" i="1" s="1"/>
  <c r="R2022" i="1"/>
  <c r="T2022" i="1" s="1"/>
  <c r="R2021" i="1"/>
  <c r="T2021" i="1" s="1"/>
  <c r="R2020" i="1"/>
  <c r="T2020" i="1" s="1"/>
  <c r="R2019" i="1"/>
  <c r="T2019" i="1" s="1"/>
  <c r="R2018" i="1"/>
  <c r="T2018" i="1" s="1"/>
  <c r="R2017" i="1"/>
  <c r="T2017" i="1" s="1"/>
  <c r="R2016" i="1"/>
  <c r="T2016" i="1" s="1"/>
  <c r="R2015" i="1"/>
  <c r="T2015" i="1" s="1"/>
  <c r="R2014" i="1"/>
  <c r="T2014" i="1" s="1"/>
  <c r="R2013" i="1"/>
  <c r="T2013" i="1" s="1"/>
  <c r="R2012" i="1"/>
  <c r="T2012" i="1" s="1"/>
  <c r="R2011" i="1"/>
  <c r="T2011" i="1" s="1"/>
  <c r="R2010" i="1"/>
  <c r="T2010" i="1" s="1"/>
  <c r="R2009" i="1"/>
  <c r="T2009" i="1" s="1"/>
  <c r="R2008" i="1"/>
  <c r="T2008" i="1" s="1"/>
  <c r="R2007" i="1"/>
  <c r="T2007" i="1" s="1"/>
  <c r="R2006" i="1"/>
  <c r="T2006" i="1" s="1"/>
  <c r="R2005" i="1"/>
  <c r="T2005" i="1" s="1"/>
  <c r="R2004" i="1"/>
  <c r="T2004" i="1" s="1"/>
  <c r="R2003" i="1"/>
  <c r="T2003" i="1" s="1"/>
  <c r="R2002" i="1"/>
  <c r="T2002" i="1" s="1"/>
  <c r="R2001" i="1"/>
  <c r="T2001" i="1" s="1"/>
  <c r="R2000" i="1"/>
  <c r="T2000" i="1" s="1"/>
  <c r="R1999" i="1"/>
  <c r="T1999" i="1" s="1"/>
  <c r="R1998" i="1"/>
  <c r="T1998" i="1" s="1"/>
  <c r="R1997" i="1"/>
  <c r="T1997" i="1" s="1"/>
  <c r="R1996" i="1"/>
  <c r="T1996" i="1" s="1"/>
  <c r="R1995" i="1"/>
  <c r="T1995" i="1" s="1"/>
  <c r="R1994" i="1"/>
  <c r="T1994" i="1" s="1"/>
  <c r="R1993" i="1"/>
  <c r="T1993" i="1" s="1"/>
  <c r="R1992" i="1"/>
  <c r="T1992" i="1" s="1"/>
  <c r="R1991" i="1"/>
  <c r="T1991" i="1" s="1"/>
  <c r="R1990" i="1"/>
  <c r="T1990" i="1" s="1"/>
  <c r="R1989" i="1"/>
  <c r="T1989" i="1" s="1"/>
  <c r="R1988" i="1"/>
  <c r="T1988" i="1" s="1"/>
  <c r="R1987" i="1"/>
  <c r="T1987" i="1" s="1"/>
  <c r="R1986" i="1"/>
  <c r="T1986" i="1" s="1"/>
  <c r="R1985" i="1"/>
  <c r="T1985" i="1" s="1"/>
  <c r="R1984" i="1"/>
  <c r="T1984" i="1" s="1"/>
  <c r="R1983" i="1"/>
  <c r="T1983" i="1" s="1"/>
  <c r="R1982" i="1"/>
  <c r="T1982" i="1" s="1"/>
  <c r="R1981" i="1"/>
  <c r="T1981" i="1" s="1"/>
  <c r="R1980" i="1"/>
  <c r="T1980" i="1" s="1"/>
  <c r="R1979" i="1"/>
  <c r="T1979" i="1" s="1"/>
  <c r="R1978" i="1"/>
  <c r="T1978" i="1" s="1"/>
  <c r="R1977" i="1"/>
  <c r="T1977" i="1" s="1"/>
  <c r="R1976" i="1"/>
  <c r="T1976" i="1" s="1"/>
  <c r="R1975" i="1"/>
  <c r="T1975" i="1" s="1"/>
  <c r="R1974" i="1"/>
  <c r="T1974" i="1" s="1"/>
  <c r="R1973" i="1"/>
  <c r="T1973" i="1" s="1"/>
  <c r="R1972" i="1"/>
  <c r="T1972" i="1" s="1"/>
  <c r="R1971" i="1"/>
  <c r="T1971" i="1" s="1"/>
  <c r="R1970" i="1"/>
  <c r="T1970" i="1" s="1"/>
  <c r="R1969" i="1"/>
  <c r="T1969" i="1" s="1"/>
  <c r="R1968" i="1"/>
  <c r="T1968" i="1" s="1"/>
  <c r="R1967" i="1"/>
  <c r="T1967" i="1" s="1"/>
  <c r="R1966" i="1"/>
  <c r="T1966" i="1" s="1"/>
  <c r="R1965" i="1"/>
  <c r="T1965" i="1" s="1"/>
  <c r="R1964" i="1"/>
  <c r="T1964" i="1" s="1"/>
  <c r="R1963" i="1"/>
  <c r="T1963" i="1" s="1"/>
  <c r="R1962" i="1"/>
  <c r="T1962" i="1" s="1"/>
  <c r="R1961" i="1"/>
  <c r="T1961" i="1" s="1"/>
  <c r="R1960" i="1"/>
  <c r="T1960" i="1" s="1"/>
  <c r="R1959" i="1"/>
  <c r="T1959" i="1" s="1"/>
  <c r="R1958" i="1"/>
  <c r="T1958" i="1" s="1"/>
  <c r="R1957" i="1"/>
  <c r="T1957" i="1" s="1"/>
  <c r="R1956" i="1"/>
  <c r="T1956" i="1" s="1"/>
  <c r="R1955" i="1"/>
  <c r="T1955" i="1" s="1"/>
  <c r="R1954" i="1"/>
  <c r="T1954" i="1" s="1"/>
  <c r="R1953" i="1"/>
  <c r="T1953" i="1" s="1"/>
  <c r="R1952" i="1"/>
  <c r="T1952" i="1" s="1"/>
  <c r="R1951" i="1"/>
  <c r="T1951" i="1" s="1"/>
  <c r="R1950" i="1"/>
  <c r="T1950" i="1" s="1"/>
  <c r="R1949" i="1"/>
  <c r="T1949" i="1" s="1"/>
  <c r="R1948" i="1"/>
  <c r="T1948" i="1" s="1"/>
  <c r="R1947" i="1"/>
  <c r="T1947" i="1" s="1"/>
  <c r="R1946" i="1"/>
  <c r="T1946" i="1" s="1"/>
  <c r="R1945" i="1"/>
  <c r="T1945" i="1" s="1"/>
  <c r="R1944" i="1"/>
  <c r="T1944" i="1" s="1"/>
  <c r="R1943" i="1"/>
  <c r="T1943" i="1" s="1"/>
  <c r="R1942" i="1"/>
  <c r="T1942" i="1" s="1"/>
  <c r="R1941" i="1"/>
  <c r="T1941" i="1" s="1"/>
  <c r="R1940" i="1"/>
  <c r="T1940" i="1" s="1"/>
  <c r="R1939" i="1"/>
  <c r="T1939" i="1" s="1"/>
  <c r="R1938" i="1"/>
  <c r="T1938" i="1" s="1"/>
  <c r="R1937" i="1"/>
  <c r="T1937" i="1" s="1"/>
  <c r="R1936" i="1"/>
  <c r="T1936" i="1" s="1"/>
  <c r="R1935" i="1"/>
  <c r="T1935" i="1" s="1"/>
  <c r="R1934" i="1"/>
  <c r="T1934" i="1" s="1"/>
  <c r="R1933" i="1"/>
  <c r="T1933" i="1" s="1"/>
  <c r="R1932" i="1"/>
  <c r="T1932" i="1" s="1"/>
  <c r="R1931" i="1"/>
  <c r="T1931" i="1" s="1"/>
  <c r="R1930" i="1"/>
  <c r="T1930" i="1" s="1"/>
  <c r="R1929" i="1"/>
  <c r="T1929" i="1" s="1"/>
  <c r="R1928" i="1"/>
  <c r="T1928" i="1" s="1"/>
  <c r="R1927" i="1"/>
  <c r="T1927" i="1" s="1"/>
  <c r="R1926" i="1"/>
  <c r="T1926" i="1" s="1"/>
  <c r="R1925" i="1"/>
  <c r="T1925" i="1" s="1"/>
  <c r="R1924" i="1"/>
  <c r="T1924" i="1" s="1"/>
  <c r="R1923" i="1"/>
  <c r="T1923" i="1" s="1"/>
  <c r="R1922" i="1"/>
  <c r="T1922" i="1" s="1"/>
  <c r="R1921" i="1"/>
  <c r="T1921" i="1" s="1"/>
  <c r="R1920" i="1"/>
  <c r="T1920" i="1" s="1"/>
  <c r="R1919" i="1"/>
  <c r="T1919" i="1" s="1"/>
  <c r="R1918" i="1"/>
  <c r="T1918" i="1" s="1"/>
  <c r="R1917" i="1"/>
  <c r="T1917" i="1" s="1"/>
  <c r="R1916" i="1"/>
  <c r="T1916" i="1" s="1"/>
  <c r="R1915" i="1"/>
  <c r="T1915" i="1" s="1"/>
  <c r="R1914" i="1"/>
  <c r="T1914" i="1" s="1"/>
  <c r="R1913" i="1"/>
  <c r="T1913" i="1" s="1"/>
  <c r="R1912" i="1"/>
  <c r="T1912" i="1" s="1"/>
  <c r="R1911" i="1"/>
  <c r="T1911" i="1" s="1"/>
  <c r="R1910" i="1"/>
  <c r="T1910" i="1" s="1"/>
  <c r="R1909" i="1"/>
  <c r="T1909" i="1" s="1"/>
  <c r="R1908" i="1"/>
  <c r="T1908" i="1" s="1"/>
  <c r="R1907" i="1"/>
  <c r="T1907" i="1" s="1"/>
  <c r="R1906" i="1"/>
  <c r="T1906" i="1" s="1"/>
  <c r="R1905" i="1"/>
  <c r="T1905" i="1" s="1"/>
  <c r="R1904" i="1"/>
  <c r="T1904" i="1" s="1"/>
  <c r="R1903" i="1"/>
  <c r="T1903" i="1" s="1"/>
  <c r="R1902" i="1"/>
  <c r="T1902" i="1" s="1"/>
  <c r="R1901" i="1"/>
  <c r="T1901" i="1" s="1"/>
  <c r="R1900" i="1"/>
  <c r="T1900" i="1" s="1"/>
  <c r="R1899" i="1"/>
  <c r="T1899" i="1" s="1"/>
  <c r="R1898" i="1"/>
  <c r="T1898" i="1" s="1"/>
  <c r="R1897" i="1"/>
  <c r="T1897" i="1" s="1"/>
  <c r="R1896" i="1"/>
  <c r="T1896" i="1" s="1"/>
  <c r="R1895" i="1"/>
  <c r="T1895" i="1" s="1"/>
  <c r="R1894" i="1"/>
  <c r="T1894" i="1" s="1"/>
  <c r="R1893" i="1"/>
  <c r="T1893" i="1" s="1"/>
  <c r="R1892" i="1"/>
  <c r="T1892" i="1" s="1"/>
  <c r="R1891" i="1"/>
  <c r="T1891" i="1" s="1"/>
  <c r="R1890" i="1"/>
  <c r="T1890" i="1" s="1"/>
  <c r="R1889" i="1"/>
  <c r="T1889" i="1" s="1"/>
  <c r="R1888" i="1"/>
  <c r="T1888" i="1" s="1"/>
  <c r="R1887" i="1"/>
  <c r="T1887" i="1" s="1"/>
  <c r="R1886" i="1"/>
  <c r="T1886" i="1" s="1"/>
  <c r="R1885" i="1"/>
  <c r="T1885" i="1" s="1"/>
  <c r="R1884" i="1"/>
  <c r="T1884" i="1" s="1"/>
  <c r="R1883" i="1"/>
  <c r="T1883" i="1" s="1"/>
  <c r="R1882" i="1"/>
  <c r="T1882" i="1" s="1"/>
  <c r="R1881" i="1"/>
  <c r="T1881" i="1" s="1"/>
  <c r="R1880" i="1"/>
  <c r="T1880" i="1" s="1"/>
  <c r="R1879" i="1"/>
  <c r="T1879" i="1" s="1"/>
  <c r="R1878" i="1"/>
  <c r="T1878" i="1" s="1"/>
  <c r="R1877" i="1"/>
  <c r="T1877" i="1" s="1"/>
  <c r="R1876" i="1"/>
  <c r="T1876" i="1" s="1"/>
  <c r="R1875" i="1"/>
  <c r="T1875" i="1" s="1"/>
  <c r="R1874" i="1"/>
  <c r="T1874" i="1" s="1"/>
  <c r="R1873" i="1"/>
  <c r="T1873" i="1" s="1"/>
  <c r="R1872" i="1"/>
  <c r="T1872" i="1" s="1"/>
  <c r="R1871" i="1"/>
  <c r="T1871" i="1" s="1"/>
  <c r="R1870" i="1"/>
  <c r="T1870" i="1" s="1"/>
  <c r="R1869" i="1"/>
  <c r="T1869" i="1" s="1"/>
  <c r="R1868" i="1"/>
  <c r="T1868" i="1" s="1"/>
  <c r="R1867" i="1"/>
  <c r="T1867" i="1" s="1"/>
  <c r="R1866" i="1"/>
  <c r="T1866" i="1" s="1"/>
  <c r="R1865" i="1"/>
  <c r="T1865" i="1" s="1"/>
  <c r="R1864" i="1"/>
  <c r="T1864" i="1" s="1"/>
  <c r="R1863" i="1"/>
  <c r="T1863" i="1" s="1"/>
  <c r="R1862" i="1"/>
  <c r="T1862" i="1" s="1"/>
  <c r="R1861" i="1"/>
  <c r="T1861" i="1" s="1"/>
  <c r="R1860" i="1"/>
  <c r="T1860" i="1" s="1"/>
  <c r="R1859" i="1"/>
  <c r="T1859" i="1" s="1"/>
  <c r="R1858" i="1"/>
  <c r="T1858" i="1" s="1"/>
  <c r="R1857" i="1"/>
  <c r="T1857" i="1" s="1"/>
  <c r="R1856" i="1"/>
  <c r="T1856" i="1" s="1"/>
  <c r="R1855" i="1"/>
  <c r="T1855" i="1" s="1"/>
  <c r="R1854" i="1"/>
  <c r="T1854" i="1" s="1"/>
  <c r="R1853" i="1"/>
  <c r="T1853" i="1" s="1"/>
  <c r="R1852" i="1"/>
  <c r="T1852" i="1" s="1"/>
  <c r="R1851" i="1"/>
  <c r="T1851" i="1" s="1"/>
  <c r="R1850" i="1"/>
  <c r="T1850" i="1" s="1"/>
  <c r="R1849" i="1"/>
  <c r="T1849" i="1" s="1"/>
  <c r="R1848" i="1"/>
  <c r="T1848" i="1" s="1"/>
  <c r="R1847" i="1"/>
  <c r="T1847" i="1" s="1"/>
  <c r="R1846" i="1"/>
  <c r="T1846" i="1" s="1"/>
  <c r="R1845" i="1"/>
  <c r="T1845" i="1" s="1"/>
  <c r="R1844" i="1"/>
  <c r="T1844" i="1" s="1"/>
  <c r="R1843" i="1"/>
  <c r="T1843" i="1" s="1"/>
  <c r="R1842" i="1"/>
  <c r="T1842" i="1" s="1"/>
  <c r="R1841" i="1"/>
  <c r="T1841" i="1" s="1"/>
  <c r="R1840" i="1"/>
  <c r="T1840" i="1" s="1"/>
  <c r="R1839" i="1"/>
  <c r="T1839" i="1" s="1"/>
  <c r="R1838" i="1"/>
  <c r="T1838" i="1" s="1"/>
  <c r="R1837" i="1"/>
  <c r="T1837" i="1" s="1"/>
  <c r="R1836" i="1"/>
  <c r="T1836" i="1" s="1"/>
  <c r="R1835" i="1"/>
  <c r="T1835" i="1" s="1"/>
  <c r="R1834" i="1"/>
  <c r="T1834" i="1" s="1"/>
  <c r="R1833" i="1"/>
  <c r="T1833" i="1" s="1"/>
  <c r="R1832" i="1"/>
  <c r="T1832" i="1" s="1"/>
  <c r="R1831" i="1"/>
  <c r="T1831" i="1" s="1"/>
  <c r="R1830" i="1"/>
  <c r="T1830" i="1" s="1"/>
  <c r="R1829" i="1"/>
  <c r="T1829" i="1" s="1"/>
  <c r="R1828" i="1"/>
  <c r="T1828" i="1" s="1"/>
  <c r="R1827" i="1"/>
  <c r="T1827" i="1" s="1"/>
  <c r="R1826" i="1"/>
  <c r="T1826" i="1" s="1"/>
  <c r="R1825" i="1"/>
  <c r="T1825" i="1" s="1"/>
  <c r="R1824" i="1"/>
  <c r="T1824" i="1" s="1"/>
  <c r="R1823" i="1"/>
  <c r="T1823" i="1" s="1"/>
  <c r="R1822" i="1"/>
  <c r="T1822" i="1" s="1"/>
  <c r="R1821" i="1"/>
  <c r="T1821" i="1" s="1"/>
  <c r="R1820" i="1"/>
  <c r="T1820" i="1" s="1"/>
  <c r="R1819" i="1"/>
  <c r="T1819" i="1" s="1"/>
  <c r="R1818" i="1"/>
  <c r="T1818" i="1" s="1"/>
  <c r="R1817" i="1"/>
  <c r="T1817" i="1" s="1"/>
  <c r="R1816" i="1"/>
  <c r="T1816" i="1" s="1"/>
  <c r="R1815" i="1"/>
  <c r="T1815" i="1" s="1"/>
  <c r="R1814" i="1"/>
  <c r="T1814" i="1" s="1"/>
  <c r="R1813" i="1"/>
  <c r="T1813" i="1" s="1"/>
  <c r="R1812" i="1"/>
  <c r="T1812" i="1" s="1"/>
  <c r="R1811" i="1"/>
  <c r="T1811" i="1" s="1"/>
  <c r="R1810" i="1"/>
  <c r="T1810" i="1" s="1"/>
  <c r="R1809" i="1"/>
  <c r="T1809" i="1" s="1"/>
  <c r="R1808" i="1"/>
  <c r="T1808" i="1" s="1"/>
  <c r="R1807" i="1"/>
  <c r="T1807" i="1" s="1"/>
  <c r="R1806" i="1"/>
  <c r="T1806" i="1" s="1"/>
  <c r="R1805" i="1"/>
  <c r="T1805" i="1" s="1"/>
  <c r="R1804" i="1"/>
  <c r="T1804" i="1" s="1"/>
  <c r="R1803" i="1"/>
  <c r="T1803" i="1" s="1"/>
  <c r="R1802" i="1"/>
  <c r="T1802" i="1" s="1"/>
  <c r="R1801" i="1"/>
  <c r="T1801" i="1" s="1"/>
  <c r="R1800" i="1"/>
  <c r="T1800" i="1" s="1"/>
  <c r="R1799" i="1"/>
  <c r="T1799" i="1" s="1"/>
  <c r="R1798" i="1"/>
  <c r="T1798" i="1" s="1"/>
  <c r="R1797" i="1"/>
  <c r="T1797" i="1" s="1"/>
  <c r="R1796" i="1"/>
  <c r="T1796" i="1" s="1"/>
  <c r="R1795" i="1"/>
  <c r="T1795" i="1" s="1"/>
  <c r="R1794" i="1"/>
  <c r="T1794" i="1" s="1"/>
  <c r="R1793" i="1"/>
  <c r="T1793" i="1" s="1"/>
  <c r="R1792" i="1"/>
  <c r="T1792" i="1" s="1"/>
  <c r="R1791" i="1"/>
  <c r="T1791" i="1" s="1"/>
  <c r="R1790" i="1"/>
  <c r="T1790" i="1" s="1"/>
  <c r="R1789" i="1"/>
  <c r="T1789" i="1" s="1"/>
  <c r="R1788" i="1"/>
  <c r="T1788" i="1" s="1"/>
  <c r="R1787" i="1"/>
  <c r="T1787" i="1" s="1"/>
  <c r="R1786" i="1"/>
  <c r="T1786" i="1" s="1"/>
  <c r="R1785" i="1"/>
  <c r="T1785" i="1" s="1"/>
  <c r="R1784" i="1"/>
  <c r="T1784" i="1" s="1"/>
  <c r="R1783" i="1"/>
  <c r="T1783" i="1" s="1"/>
  <c r="R1782" i="1"/>
  <c r="T1782" i="1" s="1"/>
  <c r="R1781" i="1"/>
  <c r="T1781" i="1" s="1"/>
  <c r="R1780" i="1"/>
  <c r="T1780" i="1" s="1"/>
  <c r="R1779" i="1"/>
  <c r="T1779" i="1" s="1"/>
  <c r="R1778" i="1"/>
  <c r="T1778" i="1" s="1"/>
  <c r="R1777" i="1"/>
  <c r="T1777" i="1" s="1"/>
  <c r="R1776" i="1"/>
  <c r="T1776" i="1" s="1"/>
  <c r="R1775" i="1"/>
  <c r="T1775" i="1" s="1"/>
  <c r="R1774" i="1"/>
  <c r="T1774" i="1" s="1"/>
  <c r="R1773" i="1"/>
  <c r="T1773" i="1" s="1"/>
  <c r="R1772" i="1"/>
  <c r="T1772" i="1" s="1"/>
  <c r="R1771" i="1"/>
  <c r="T1771" i="1" s="1"/>
  <c r="R1770" i="1"/>
  <c r="T1770" i="1" s="1"/>
  <c r="R1769" i="1"/>
  <c r="T1769" i="1" s="1"/>
  <c r="R1768" i="1"/>
  <c r="T1768" i="1" s="1"/>
  <c r="R1767" i="1"/>
  <c r="T1767" i="1" s="1"/>
  <c r="R1766" i="1"/>
  <c r="T1766" i="1" s="1"/>
  <c r="R1765" i="1"/>
  <c r="T1765" i="1" s="1"/>
  <c r="R1764" i="1"/>
  <c r="T1764" i="1" s="1"/>
  <c r="R1763" i="1"/>
  <c r="T1763" i="1" s="1"/>
  <c r="R1762" i="1"/>
  <c r="T1762" i="1" s="1"/>
  <c r="R1761" i="1"/>
  <c r="T1761" i="1" s="1"/>
  <c r="R1760" i="1"/>
  <c r="T1760" i="1" s="1"/>
  <c r="R1759" i="1"/>
  <c r="T1759" i="1" s="1"/>
  <c r="R1758" i="1"/>
  <c r="T1758" i="1" s="1"/>
  <c r="R1757" i="1"/>
  <c r="T1757" i="1" s="1"/>
  <c r="R1756" i="1"/>
  <c r="T1756" i="1" s="1"/>
  <c r="R1755" i="1"/>
  <c r="T1755" i="1" s="1"/>
  <c r="R1754" i="1"/>
  <c r="T1754" i="1" s="1"/>
  <c r="R1753" i="1"/>
  <c r="T1753" i="1" s="1"/>
  <c r="R1752" i="1"/>
  <c r="T1752" i="1" s="1"/>
  <c r="R1751" i="1"/>
  <c r="T1751" i="1" s="1"/>
  <c r="R1750" i="1"/>
  <c r="T1750" i="1" s="1"/>
  <c r="R1749" i="1"/>
  <c r="T1749" i="1" s="1"/>
  <c r="R1748" i="1"/>
  <c r="T1748" i="1" s="1"/>
  <c r="R1747" i="1"/>
  <c r="T1747" i="1" s="1"/>
  <c r="R1746" i="1"/>
  <c r="T1746" i="1" s="1"/>
  <c r="R1745" i="1"/>
  <c r="T1745" i="1" s="1"/>
  <c r="R1744" i="1"/>
  <c r="T1744" i="1" s="1"/>
  <c r="R1743" i="1"/>
  <c r="T1743" i="1" s="1"/>
  <c r="R1742" i="1"/>
  <c r="T1742" i="1" s="1"/>
  <c r="R1741" i="1"/>
  <c r="T1741" i="1" s="1"/>
  <c r="R1740" i="1"/>
  <c r="T1740" i="1" s="1"/>
  <c r="R1739" i="1"/>
  <c r="T1739" i="1" s="1"/>
  <c r="R1738" i="1"/>
  <c r="T1738" i="1" s="1"/>
  <c r="R1737" i="1"/>
  <c r="T1737" i="1" s="1"/>
  <c r="R1736" i="1"/>
  <c r="T1736" i="1" s="1"/>
  <c r="R1735" i="1"/>
  <c r="T1735" i="1" s="1"/>
  <c r="R1734" i="1"/>
  <c r="T1734" i="1" s="1"/>
  <c r="R1733" i="1"/>
  <c r="T1733" i="1" s="1"/>
  <c r="R1732" i="1"/>
  <c r="T1732" i="1" s="1"/>
  <c r="R1731" i="1"/>
  <c r="T1731" i="1" s="1"/>
  <c r="R1730" i="1"/>
  <c r="T1730" i="1" s="1"/>
  <c r="R1729" i="1"/>
  <c r="T1729" i="1" s="1"/>
  <c r="R1728" i="1"/>
  <c r="T1728" i="1" s="1"/>
  <c r="R1727" i="1"/>
  <c r="T1727" i="1" s="1"/>
  <c r="R1726" i="1"/>
  <c r="T1726" i="1" s="1"/>
  <c r="R1725" i="1"/>
  <c r="T1725" i="1" s="1"/>
  <c r="R1724" i="1"/>
  <c r="T1724" i="1" s="1"/>
  <c r="R1723" i="1"/>
  <c r="T1723" i="1" s="1"/>
  <c r="R1722" i="1"/>
  <c r="T1722" i="1" s="1"/>
  <c r="R1721" i="1"/>
  <c r="T1721" i="1" s="1"/>
  <c r="R1720" i="1"/>
  <c r="T1720" i="1" s="1"/>
  <c r="R1719" i="1"/>
  <c r="T1719" i="1" s="1"/>
  <c r="R1718" i="1"/>
  <c r="T1718" i="1" s="1"/>
  <c r="R1717" i="1"/>
  <c r="T1717" i="1" s="1"/>
  <c r="R1716" i="1"/>
  <c r="T1716" i="1" s="1"/>
  <c r="R1715" i="1"/>
  <c r="T1715" i="1" s="1"/>
  <c r="R1714" i="1"/>
  <c r="T1714" i="1" s="1"/>
  <c r="R1713" i="1"/>
  <c r="T1713" i="1" s="1"/>
  <c r="R1712" i="1"/>
  <c r="T1712" i="1" s="1"/>
  <c r="R1711" i="1"/>
  <c r="T1711" i="1" s="1"/>
  <c r="R1710" i="1"/>
  <c r="T1710" i="1" s="1"/>
  <c r="R1709" i="1"/>
  <c r="T1709" i="1" s="1"/>
  <c r="R1708" i="1"/>
  <c r="T1708" i="1" s="1"/>
  <c r="R1707" i="1"/>
  <c r="T1707" i="1" s="1"/>
  <c r="R1706" i="1"/>
  <c r="T1706" i="1" s="1"/>
  <c r="R1705" i="1"/>
  <c r="T1705" i="1" s="1"/>
  <c r="R1704" i="1"/>
  <c r="T1704" i="1" s="1"/>
  <c r="R1703" i="1"/>
  <c r="T1703" i="1" s="1"/>
  <c r="R1702" i="1"/>
  <c r="T1702" i="1" s="1"/>
  <c r="R1701" i="1"/>
  <c r="T1701" i="1" s="1"/>
  <c r="R1700" i="1"/>
  <c r="T1700" i="1" s="1"/>
  <c r="R1699" i="1"/>
  <c r="T1699" i="1" s="1"/>
  <c r="R1698" i="1"/>
  <c r="T1698" i="1" s="1"/>
  <c r="R1697" i="1"/>
  <c r="T1697" i="1" s="1"/>
  <c r="R1696" i="1"/>
  <c r="T1696" i="1" s="1"/>
  <c r="R1695" i="1"/>
  <c r="T1695" i="1" s="1"/>
  <c r="R1694" i="1"/>
  <c r="T1694" i="1" s="1"/>
  <c r="R1693" i="1"/>
  <c r="T1693" i="1" s="1"/>
  <c r="R1692" i="1"/>
  <c r="T1692" i="1" s="1"/>
  <c r="R1691" i="1"/>
  <c r="T1691" i="1" s="1"/>
  <c r="R1690" i="1"/>
  <c r="T1690" i="1" s="1"/>
  <c r="R1689" i="1"/>
  <c r="T1689" i="1" s="1"/>
  <c r="R1688" i="1"/>
  <c r="T1688" i="1" s="1"/>
  <c r="R1687" i="1"/>
  <c r="T1687" i="1" s="1"/>
  <c r="R1686" i="1"/>
  <c r="T1686" i="1" s="1"/>
  <c r="R1685" i="1"/>
  <c r="T1685" i="1" s="1"/>
  <c r="R1684" i="1"/>
  <c r="T1684" i="1" s="1"/>
  <c r="R1683" i="1"/>
  <c r="T1683" i="1" s="1"/>
  <c r="R1681" i="1"/>
  <c r="T1681" i="1" s="1"/>
  <c r="R1680" i="1"/>
  <c r="T1680" i="1" s="1"/>
  <c r="R1679" i="1"/>
  <c r="T1679" i="1" s="1"/>
  <c r="R1678" i="1"/>
  <c r="T1678" i="1" s="1"/>
  <c r="R1677" i="1"/>
  <c r="T1677" i="1" s="1"/>
  <c r="R1676" i="1"/>
  <c r="T1676" i="1" s="1"/>
  <c r="R1675" i="1"/>
  <c r="T1675" i="1" s="1"/>
  <c r="R1674" i="1"/>
  <c r="T1674" i="1" s="1"/>
  <c r="R1673" i="1"/>
  <c r="T1673" i="1" s="1"/>
  <c r="R1672" i="1"/>
  <c r="T1672" i="1" s="1"/>
  <c r="R1671" i="1"/>
  <c r="T1671" i="1" s="1"/>
  <c r="R1670" i="1"/>
  <c r="T1670" i="1" s="1"/>
  <c r="R1669" i="1"/>
  <c r="T1669" i="1" s="1"/>
  <c r="R1668" i="1"/>
  <c r="T1668" i="1" s="1"/>
  <c r="R1666" i="1"/>
  <c r="T1666" i="1" s="1"/>
  <c r="R1665" i="1"/>
  <c r="T1665" i="1" s="1"/>
  <c r="R1664" i="1"/>
  <c r="T1664" i="1" s="1"/>
  <c r="R1663" i="1"/>
  <c r="T1663" i="1" s="1"/>
  <c r="R1662" i="1"/>
  <c r="T1662" i="1" s="1"/>
  <c r="R1661" i="1"/>
  <c r="T1661" i="1" s="1"/>
  <c r="R1660" i="1"/>
  <c r="T1660" i="1" s="1"/>
  <c r="R1658" i="1"/>
  <c r="T1658" i="1" s="1"/>
  <c r="R1657" i="1"/>
  <c r="T1657" i="1" s="1"/>
  <c r="R1656" i="1"/>
  <c r="T1656" i="1" s="1"/>
  <c r="R1655" i="1"/>
  <c r="T1655" i="1" s="1"/>
  <c r="R1654" i="1"/>
  <c r="T1654" i="1" s="1"/>
  <c r="R1653" i="1"/>
  <c r="T1653" i="1" s="1"/>
  <c r="R1652" i="1"/>
  <c r="T1652" i="1" s="1"/>
  <c r="R1650" i="1"/>
  <c r="T1650" i="1" s="1"/>
  <c r="R1649" i="1"/>
  <c r="T1649" i="1" s="1"/>
  <c r="R1648" i="1"/>
  <c r="T1648" i="1" s="1"/>
  <c r="R1647" i="1"/>
  <c r="T1647" i="1" s="1"/>
  <c r="R1646" i="1"/>
  <c r="T1646" i="1" s="1"/>
  <c r="R1644" i="1"/>
  <c r="T1644" i="1" s="1"/>
  <c r="R1643" i="1"/>
  <c r="T1643" i="1" s="1"/>
  <c r="R1642" i="1"/>
  <c r="T1642" i="1" s="1"/>
  <c r="R1641" i="1"/>
  <c r="T1641" i="1" s="1"/>
  <c r="R1640" i="1"/>
  <c r="T1640" i="1" s="1"/>
  <c r="R1639" i="1"/>
  <c r="T1639" i="1" s="1"/>
  <c r="R1638" i="1"/>
  <c r="T1638" i="1" s="1"/>
  <c r="R1637" i="1"/>
  <c r="T1637" i="1" s="1"/>
  <c r="R1636" i="1"/>
  <c r="T1636" i="1" s="1"/>
  <c r="R1635" i="1"/>
  <c r="T1635" i="1" s="1"/>
  <c r="R1634" i="1"/>
  <c r="T1634" i="1" s="1"/>
  <c r="R1633" i="1"/>
  <c r="T1633" i="1" s="1"/>
  <c r="R1632" i="1"/>
  <c r="T1632" i="1" s="1"/>
  <c r="R1631" i="1"/>
  <c r="T1631" i="1" s="1"/>
  <c r="R1630" i="1"/>
  <c r="T1630" i="1" s="1"/>
  <c r="R1629" i="1"/>
  <c r="T1629" i="1" s="1"/>
  <c r="R1628" i="1"/>
  <c r="T1628" i="1" s="1"/>
  <c r="R1627" i="1"/>
  <c r="T1627" i="1" s="1"/>
  <c r="R1626" i="1"/>
  <c r="T1626" i="1" s="1"/>
  <c r="R1625" i="1"/>
  <c r="T1625" i="1" s="1"/>
  <c r="R1624" i="1"/>
  <c r="T1624" i="1" s="1"/>
  <c r="R1623" i="1"/>
  <c r="T1623" i="1" s="1"/>
  <c r="R1622" i="1"/>
  <c r="T1622" i="1" s="1"/>
  <c r="R1621" i="1"/>
  <c r="T1621" i="1" s="1"/>
  <c r="R1620" i="1"/>
  <c r="T1620" i="1" s="1"/>
  <c r="R1619" i="1"/>
  <c r="T1619" i="1" s="1"/>
  <c r="R1618" i="1"/>
  <c r="T1618" i="1" s="1"/>
  <c r="R1617" i="1"/>
  <c r="T1617" i="1" s="1"/>
  <c r="R1616" i="1"/>
  <c r="T1616" i="1" s="1"/>
  <c r="R1615" i="1"/>
  <c r="T1615" i="1" s="1"/>
  <c r="R1614" i="1"/>
  <c r="T1614" i="1" s="1"/>
  <c r="R1613" i="1"/>
  <c r="T1613" i="1" s="1"/>
  <c r="R1612" i="1"/>
  <c r="T1612" i="1" s="1"/>
  <c r="R1611" i="1"/>
  <c r="T1611" i="1" s="1"/>
  <c r="R1610" i="1"/>
  <c r="T1610" i="1" s="1"/>
  <c r="R1609" i="1"/>
  <c r="T1609" i="1" s="1"/>
  <c r="R1608" i="1"/>
  <c r="T1608" i="1" s="1"/>
  <c r="R1606" i="1"/>
  <c r="T1606" i="1" s="1"/>
  <c r="R1605" i="1"/>
  <c r="T1605" i="1" s="1"/>
  <c r="R1604" i="1"/>
  <c r="T1604" i="1" s="1"/>
  <c r="R1603" i="1"/>
  <c r="T1603" i="1" s="1"/>
  <c r="R1602" i="1"/>
  <c r="T1602" i="1" s="1"/>
  <c r="R1601" i="1"/>
  <c r="T1601" i="1" s="1"/>
  <c r="R1600" i="1"/>
  <c r="T1600" i="1" s="1"/>
  <c r="R1599" i="1"/>
  <c r="T1599" i="1" s="1"/>
  <c r="R1598" i="1"/>
  <c r="T1598" i="1" s="1"/>
  <c r="R1597" i="1"/>
  <c r="T1597" i="1" s="1"/>
  <c r="R1596" i="1"/>
  <c r="T1596" i="1" s="1"/>
  <c r="R1594" i="1"/>
  <c r="T1594" i="1" s="1"/>
  <c r="R1593" i="1"/>
  <c r="T1593" i="1" s="1"/>
  <c r="R1592" i="1"/>
  <c r="T1592" i="1" s="1"/>
  <c r="R1591" i="1"/>
  <c r="T1591" i="1" s="1"/>
  <c r="R1590" i="1"/>
  <c r="T1590" i="1" s="1"/>
  <c r="R1589" i="1"/>
  <c r="T1589" i="1" s="1"/>
  <c r="R1588" i="1"/>
  <c r="T1588" i="1" s="1"/>
  <c r="R1587" i="1"/>
  <c r="T1587" i="1" s="1"/>
  <c r="R1584" i="1"/>
  <c r="T1584" i="1" s="1"/>
  <c r="R1583" i="1"/>
  <c r="T1583" i="1" s="1"/>
  <c r="R1581" i="1"/>
  <c r="T1581" i="1" s="1"/>
  <c r="R1580" i="1"/>
  <c r="T1580" i="1" s="1"/>
  <c r="R1579" i="1"/>
  <c r="T1579" i="1" s="1"/>
  <c r="R1578" i="1"/>
  <c r="T1578" i="1" s="1"/>
  <c r="R1577" i="1"/>
  <c r="T1577" i="1" s="1"/>
  <c r="R1576" i="1"/>
  <c r="T1576" i="1" s="1"/>
  <c r="R1575" i="1"/>
  <c r="T1575" i="1" s="1"/>
  <c r="R1574" i="1"/>
  <c r="T1574" i="1" s="1"/>
  <c r="R1572" i="1"/>
  <c r="T1572" i="1" s="1"/>
  <c r="R1571" i="1"/>
  <c r="T1571" i="1" s="1"/>
  <c r="R1569" i="1"/>
  <c r="T1569" i="1" s="1"/>
  <c r="R1567" i="1"/>
  <c r="T1567" i="1" s="1"/>
  <c r="R1566" i="1"/>
  <c r="T1566" i="1" s="1"/>
  <c r="R1565" i="1"/>
  <c r="T1565" i="1" s="1"/>
  <c r="R1564" i="1"/>
  <c r="T1564" i="1" s="1"/>
  <c r="R1563" i="1"/>
  <c r="T1563" i="1" s="1"/>
  <c r="R1562" i="1"/>
  <c r="T1562" i="1" s="1"/>
  <c r="R1561" i="1"/>
  <c r="T1561" i="1" s="1"/>
  <c r="R1560" i="1"/>
  <c r="T1560" i="1" s="1"/>
  <c r="R1559" i="1"/>
  <c r="T1559" i="1" s="1"/>
  <c r="R1558" i="1"/>
  <c r="T1558" i="1" s="1"/>
  <c r="R1557" i="1"/>
  <c r="T1557" i="1" s="1"/>
  <c r="R1556" i="1"/>
  <c r="T1556" i="1" s="1"/>
  <c r="R1555" i="1"/>
  <c r="T1555" i="1" s="1"/>
  <c r="R1554" i="1"/>
  <c r="T1554" i="1" s="1"/>
  <c r="R1553" i="1"/>
  <c r="T1553" i="1" s="1"/>
  <c r="R1550" i="1"/>
  <c r="T1550" i="1" s="1"/>
  <c r="R1549" i="1"/>
  <c r="T1549" i="1" s="1"/>
  <c r="R1548" i="1"/>
  <c r="T1548" i="1" s="1"/>
  <c r="R1547" i="1"/>
  <c r="T1547" i="1" s="1"/>
  <c r="R1546" i="1"/>
  <c r="T1546" i="1" s="1"/>
  <c r="R1545" i="1"/>
  <c r="T1545" i="1" s="1"/>
  <c r="R1543" i="1"/>
  <c r="T1543" i="1" s="1"/>
  <c r="R1542" i="1"/>
  <c r="T1542" i="1" s="1"/>
  <c r="R1541" i="1"/>
  <c r="T1541" i="1" s="1"/>
  <c r="R1540" i="1"/>
  <c r="T1540" i="1" s="1"/>
  <c r="R1539" i="1"/>
  <c r="T1539" i="1" s="1"/>
  <c r="R1538" i="1"/>
  <c r="T1538" i="1" s="1"/>
  <c r="R1537" i="1"/>
  <c r="T1537" i="1" s="1"/>
  <c r="R1536" i="1"/>
  <c r="T1536" i="1" s="1"/>
  <c r="R1535" i="1"/>
  <c r="T1535" i="1" s="1"/>
  <c r="R1534" i="1"/>
  <c r="T1534" i="1" s="1"/>
  <c r="R1533" i="1"/>
  <c r="T1533" i="1" s="1"/>
  <c r="R1532" i="1"/>
  <c r="T1532" i="1" s="1"/>
  <c r="R1531" i="1"/>
  <c r="T1531" i="1" s="1"/>
  <c r="R1530" i="1"/>
  <c r="T1530" i="1" s="1"/>
  <c r="R1529" i="1"/>
  <c r="T1529" i="1" s="1"/>
  <c r="R1528" i="1"/>
  <c r="T1528" i="1" s="1"/>
  <c r="R1527" i="1"/>
  <c r="T1527" i="1" s="1"/>
  <c r="R1526" i="1"/>
  <c r="T1526" i="1" s="1"/>
  <c r="R1525" i="1"/>
  <c r="T1525" i="1" s="1"/>
  <c r="R1524" i="1"/>
  <c r="T1524" i="1" s="1"/>
  <c r="R1523" i="1"/>
  <c r="T1523" i="1" s="1"/>
  <c r="R1522" i="1"/>
  <c r="T1522" i="1" s="1"/>
  <c r="R1521" i="1"/>
  <c r="T1521" i="1" s="1"/>
  <c r="R1520" i="1"/>
  <c r="T1520" i="1" s="1"/>
  <c r="R1519" i="1"/>
  <c r="T1519" i="1" s="1"/>
  <c r="R1518" i="1"/>
  <c r="T1518" i="1" s="1"/>
  <c r="R1517" i="1"/>
  <c r="T1517" i="1" s="1"/>
  <c r="R1516" i="1"/>
  <c r="T1516" i="1" s="1"/>
  <c r="R1515" i="1"/>
  <c r="T1515" i="1" s="1"/>
  <c r="R1514" i="1"/>
  <c r="T1514" i="1" s="1"/>
  <c r="R1512" i="1"/>
  <c r="T1512" i="1" s="1"/>
  <c r="R1511" i="1"/>
  <c r="T1511" i="1" s="1"/>
  <c r="R1509" i="1"/>
  <c r="T1509" i="1" s="1"/>
  <c r="R1508" i="1"/>
  <c r="T1508" i="1" s="1"/>
  <c r="R1507" i="1"/>
  <c r="T1507" i="1" s="1"/>
  <c r="R1506" i="1"/>
  <c r="T1506" i="1" s="1"/>
  <c r="R1505" i="1"/>
  <c r="T1505" i="1" s="1"/>
  <c r="R1504" i="1"/>
  <c r="T1504" i="1" s="1"/>
  <c r="R1503" i="1"/>
  <c r="T1503" i="1" s="1"/>
  <c r="R1500" i="1"/>
  <c r="T1500" i="1" s="1"/>
  <c r="R1499" i="1"/>
  <c r="T1499" i="1" s="1"/>
  <c r="R1498" i="1"/>
  <c r="T1498" i="1" s="1"/>
  <c r="R1497" i="1"/>
  <c r="T1497" i="1" s="1"/>
  <c r="R1495" i="1"/>
  <c r="T1495" i="1" s="1"/>
  <c r="R1494" i="1"/>
  <c r="T1494" i="1" s="1"/>
  <c r="R1493" i="1"/>
  <c r="T1493" i="1" s="1"/>
  <c r="R1492" i="1"/>
  <c r="T1492" i="1" s="1"/>
  <c r="R1491" i="1"/>
  <c r="T1491" i="1" s="1"/>
  <c r="R1490" i="1"/>
  <c r="T1490" i="1" s="1"/>
  <c r="R1489" i="1"/>
  <c r="T1489" i="1" s="1"/>
  <c r="R1488" i="1"/>
  <c r="T1488" i="1" s="1"/>
  <c r="R1487" i="1"/>
  <c r="T1487" i="1" s="1"/>
  <c r="R1486" i="1"/>
  <c r="T1486" i="1" s="1"/>
  <c r="R1485" i="1"/>
  <c r="T1485" i="1" s="1"/>
  <c r="R1484" i="1"/>
  <c r="T1484" i="1" s="1"/>
  <c r="R1483" i="1"/>
  <c r="T1483" i="1" s="1"/>
  <c r="R1482" i="1"/>
  <c r="T1482" i="1" s="1"/>
  <c r="R1481" i="1"/>
  <c r="T1481" i="1" s="1"/>
  <c r="R1478" i="1"/>
  <c r="T1478" i="1" s="1"/>
  <c r="R1477" i="1"/>
  <c r="T1477" i="1" s="1"/>
  <c r="R1476" i="1"/>
  <c r="T1476" i="1" s="1"/>
  <c r="R1475" i="1"/>
  <c r="T1475" i="1" s="1"/>
  <c r="R1474" i="1"/>
  <c r="T1474" i="1" s="1"/>
  <c r="R1473" i="1"/>
  <c r="T1473" i="1" s="1"/>
  <c r="R1472" i="1"/>
  <c r="T1472" i="1" s="1"/>
  <c r="R1471" i="1"/>
  <c r="T1471" i="1" s="1"/>
  <c r="R1470" i="1"/>
  <c r="T1470" i="1" s="1"/>
  <c r="R1469" i="1"/>
  <c r="T1469" i="1" s="1"/>
  <c r="R1468" i="1"/>
  <c r="T1468" i="1" s="1"/>
  <c r="R1466" i="1"/>
  <c r="T1466" i="1" s="1"/>
  <c r="R1465" i="1"/>
  <c r="T1465" i="1" s="1"/>
  <c r="R1464" i="1"/>
  <c r="T1464" i="1" s="1"/>
  <c r="R1463" i="1"/>
  <c r="T1463" i="1" s="1"/>
  <c r="R1462" i="1"/>
  <c r="T1462" i="1" s="1"/>
  <c r="R1460" i="1"/>
  <c r="T1460" i="1" s="1"/>
  <c r="R1459" i="1"/>
  <c r="T1459" i="1" s="1"/>
  <c r="R1457" i="1"/>
  <c r="T1457" i="1" s="1"/>
  <c r="R1456" i="1"/>
  <c r="T1456" i="1" s="1"/>
  <c r="R1455" i="1"/>
  <c r="T1455" i="1" s="1"/>
  <c r="R1454" i="1"/>
  <c r="T1454" i="1" s="1"/>
  <c r="R1453" i="1"/>
  <c r="T1453" i="1" s="1"/>
  <c r="R1451" i="1"/>
  <c r="T1451" i="1" s="1"/>
  <c r="R1449" i="1"/>
  <c r="T1449" i="1" s="1"/>
  <c r="R1447" i="1"/>
  <c r="T1447" i="1" s="1"/>
  <c r="R1446" i="1"/>
  <c r="T1446" i="1" s="1"/>
  <c r="R1445" i="1"/>
  <c r="T1445" i="1" s="1"/>
  <c r="R1444" i="1"/>
  <c r="T1444" i="1" s="1"/>
  <c r="R1443" i="1"/>
  <c r="T1443" i="1" s="1"/>
  <c r="R1441" i="1"/>
  <c r="T1441" i="1" s="1"/>
  <c r="R1440" i="1"/>
  <c r="T1440" i="1" s="1"/>
  <c r="R1439" i="1"/>
  <c r="T1439" i="1" s="1"/>
  <c r="R1437" i="1"/>
  <c r="T1437" i="1" s="1"/>
  <c r="R1436" i="1"/>
  <c r="T1436" i="1" s="1"/>
  <c r="R1435" i="1"/>
  <c r="T1435" i="1" s="1"/>
  <c r="R1434" i="1"/>
  <c r="T1434" i="1" s="1"/>
  <c r="R1433" i="1"/>
  <c r="T1433" i="1" s="1"/>
  <c r="R1432" i="1"/>
  <c r="T1432" i="1" s="1"/>
  <c r="R1430" i="1"/>
  <c r="T1430" i="1" s="1"/>
  <c r="R1429" i="1"/>
  <c r="T1429" i="1" s="1"/>
  <c r="R1428" i="1"/>
  <c r="T1428" i="1" s="1"/>
  <c r="R1427" i="1"/>
  <c r="T1427" i="1" s="1"/>
  <c r="R1426" i="1"/>
  <c r="T1426" i="1" s="1"/>
  <c r="R1425" i="1"/>
  <c r="T1425" i="1" s="1"/>
  <c r="R1423" i="1"/>
  <c r="T1423" i="1" s="1"/>
  <c r="R1422" i="1"/>
  <c r="T1422" i="1" s="1"/>
  <c r="R1420" i="1"/>
  <c r="T1420" i="1" s="1"/>
  <c r="R1419" i="1"/>
  <c r="T1419" i="1" s="1"/>
  <c r="R1418" i="1"/>
  <c r="T1418" i="1" s="1"/>
  <c r="R1417" i="1"/>
  <c r="T1417" i="1" s="1"/>
  <c r="R1416" i="1"/>
  <c r="T1416" i="1" s="1"/>
  <c r="R1415" i="1"/>
  <c r="T1415" i="1" s="1"/>
  <c r="R1414" i="1"/>
  <c r="T1414" i="1" s="1"/>
  <c r="R1413" i="1"/>
  <c r="T1413" i="1" s="1"/>
  <c r="R1412" i="1"/>
  <c r="T1412" i="1" s="1"/>
  <c r="R1411" i="1"/>
  <c r="T1411" i="1" s="1"/>
  <c r="R1410" i="1"/>
  <c r="T1410" i="1" s="1"/>
  <c r="R1409" i="1"/>
  <c r="T1409" i="1" s="1"/>
  <c r="R1408" i="1"/>
  <c r="T1408" i="1" s="1"/>
  <c r="R1407" i="1"/>
  <c r="T1407" i="1" s="1"/>
  <c r="R1406" i="1"/>
  <c r="T1406" i="1" s="1"/>
  <c r="R1405" i="1"/>
  <c r="T1405" i="1" s="1"/>
  <c r="R1403" i="1"/>
  <c r="T1403" i="1" s="1"/>
  <c r="R1401" i="1"/>
  <c r="T1401" i="1" s="1"/>
  <c r="R1400" i="1"/>
  <c r="T1400" i="1" s="1"/>
  <c r="R1399" i="1"/>
  <c r="T1399" i="1" s="1"/>
  <c r="R1398" i="1"/>
  <c r="T1398" i="1" s="1"/>
  <c r="R1397" i="1"/>
  <c r="T1397" i="1" s="1"/>
  <c r="R1396" i="1"/>
  <c r="T1396" i="1" s="1"/>
  <c r="R1395" i="1"/>
  <c r="T1395" i="1" s="1"/>
  <c r="R1393" i="1"/>
  <c r="T1393" i="1" s="1"/>
  <c r="R1392" i="1"/>
  <c r="T1392" i="1" s="1"/>
  <c r="R1391" i="1"/>
  <c r="T1391" i="1" s="1"/>
  <c r="R1389" i="1"/>
  <c r="T1389" i="1" s="1"/>
  <c r="R1388" i="1"/>
  <c r="T1388" i="1" s="1"/>
  <c r="R1387" i="1"/>
  <c r="T1387" i="1" s="1"/>
  <c r="R1386" i="1"/>
  <c r="T1386" i="1" s="1"/>
  <c r="R1384" i="1"/>
  <c r="T1384" i="1" s="1"/>
  <c r="R1383" i="1"/>
  <c r="T1383" i="1" s="1"/>
  <c r="R1380" i="1"/>
  <c r="T1380" i="1" s="1"/>
  <c r="R1379" i="1"/>
  <c r="T1379" i="1" s="1"/>
  <c r="R1378" i="1"/>
  <c r="T1378" i="1" s="1"/>
  <c r="R1377" i="1"/>
  <c r="T1377" i="1" s="1"/>
  <c r="R1376" i="1"/>
  <c r="T1376" i="1" s="1"/>
  <c r="R1375" i="1"/>
  <c r="T1375" i="1" s="1"/>
  <c r="R1374" i="1"/>
  <c r="T1374" i="1" s="1"/>
  <c r="R1371" i="1"/>
  <c r="T1371" i="1" s="1"/>
  <c r="R1370" i="1"/>
  <c r="T1370" i="1" s="1"/>
  <c r="R1369" i="1"/>
  <c r="T1369" i="1" s="1"/>
  <c r="R1368" i="1"/>
  <c r="T1368" i="1" s="1"/>
  <c r="R1367" i="1"/>
  <c r="T1367" i="1" s="1"/>
  <c r="R1364" i="1"/>
  <c r="T1364" i="1" s="1"/>
  <c r="R1363" i="1"/>
  <c r="T1363" i="1" s="1"/>
  <c r="R1362" i="1"/>
  <c r="T1362" i="1" s="1"/>
  <c r="R1361" i="1"/>
  <c r="T1361" i="1" s="1"/>
  <c r="R1360" i="1"/>
  <c r="T1360" i="1" s="1"/>
  <c r="R1359" i="1"/>
  <c r="T1359" i="1" s="1"/>
  <c r="R1358" i="1"/>
  <c r="T1358" i="1" s="1"/>
  <c r="R1357" i="1"/>
  <c r="T1357" i="1" s="1"/>
  <c r="R1356" i="1"/>
  <c r="T1356" i="1" s="1"/>
  <c r="R1355" i="1"/>
  <c r="T1355" i="1" s="1"/>
  <c r="R1354" i="1"/>
  <c r="T1354" i="1" s="1"/>
  <c r="R1353" i="1"/>
  <c r="T1353" i="1" s="1"/>
  <c r="R1352" i="1"/>
  <c r="T1352" i="1" s="1"/>
  <c r="R1351" i="1"/>
  <c r="T1351" i="1" s="1"/>
  <c r="R1350" i="1"/>
  <c r="T1350" i="1" s="1"/>
  <c r="R1349" i="1"/>
  <c r="T1349" i="1" s="1"/>
  <c r="R1348" i="1"/>
  <c r="T1348" i="1" s="1"/>
  <c r="R1347" i="1"/>
  <c r="T1347" i="1" s="1"/>
  <c r="R1345" i="1"/>
  <c r="T1345" i="1" s="1"/>
  <c r="R1344" i="1"/>
  <c r="T1344" i="1" s="1"/>
  <c r="R1343" i="1"/>
  <c r="T1343" i="1" s="1"/>
  <c r="R1342" i="1"/>
  <c r="T1342" i="1" s="1"/>
  <c r="R1341" i="1"/>
  <c r="T1341" i="1" s="1"/>
  <c r="R1340" i="1"/>
  <c r="T1340" i="1" s="1"/>
  <c r="R1339" i="1"/>
  <c r="T1339" i="1" s="1"/>
  <c r="R1338" i="1"/>
  <c r="T1338" i="1" s="1"/>
  <c r="R1337" i="1"/>
  <c r="T1337" i="1" s="1"/>
  <c r="R1336" i="1"/>
  <c r="T1336" i="1" s="1"/>
  <c r="R1335" i="1"/>
  <c r="T1335" i="1" s="1"/>
  <c r="R1334" i="1"/>
  <c r="T1334" i="1" s="1"/>
  <c r="R1333" i="1"/>
  <c r="T1333" i="1" s="1"/>
  <c r="R1332" i="1"/>
  <c r="T1332" i="1" s="1"/>
  <c r="R1331" i="1"/>
  <c r="T1331" i="1" s="1"/>
  <c r="R1330" i="1"/>
  <c r="T1330" i="1" s="1"/>
  <c r="R1329" i="1"/>
  <c r="T1329" i="1" s="1"/>
  <c r="R1328" i="1"/>
  <c r="T1328" i="1" s="1"/>
  <c r="R1327" i="1"/>
  <c r="T1327" i="1" s="1"/>
  <c r="R1326" i="1"/>
  <c r="T1326" i="1" s="1"/>
  <c r="R1325" i="1"/>
  <c r="T1325" i="1" s="1"/>
  <c r="R1324" i="1"/>
  <c r="T1324" i="1" s="1"/>
  <c r="R1323" i="1"/>
  <c r="T1323" i="1" s="1"/>
  <c r="R1322" i="1"/>
  <c r="T1322" i="1" s="1"/>
  <c r="R1321" i="1"/>
  <c r="T1321" i="1" s="1"/>
  <c r="R1320" i="1"/>
  <c r="T1320" i="1" s="1"/>
  <c r="R1319" i="1"/>
  <c r="T1319" i="1" s="1"/>
  <c r="R1318" i="1"/>
  <c r="T1318" i="1" s="1"/>
  <c r="R1317" i="1"/>
  <c r="T1317" i="1" s="1"/>
  <c r="R1316" i="1"/>
  <c r="T1316" i="1" s="1"/>
  <c r="R1315" i="1"/>
  <c r="T1315" i="1" s="1"/>
  <c r="R1314" i="1"/>
  <c r="T1314" i="1" s="1"/>
  <c r="R1313" i="1"/>
  <c r="T1313" i="1" s="1"/>
  <c r="R1312" i="1"/>
  <c r="T1312" i="1" s="1"/>
  <c r="R1311" i="1"/>
  <c r="T1311" i="1" s="1"/>
  <c r="R1310" i="1"/>
  <c r="T1310" i="1" s="1"/>
  <c r="R1309" i="1"/>
  <c r="T1309" i="1" s="1"/>
  <c r="R1308" i="1"/>
  <c r="T1308" i="1" s="1"/>
  <c r="R1307" i="1"/>
  <c r="T1307" i="1" s="1"/>
  <c r="R1306" i="1"/>
  <c r="T1306" i="1" s="1"/>
  <c r="R1305" i="1"/>
  <c r="T1305" i="1" s="1"/>
  <c r="R1304" i="1"/>
  <c r="T1304" i="1" s="1"/>
  <c r="R1303" i="1"/>
  <c r="T1303" i="1" s="1"/>
  <c r="R1302" i="1"/>
  <c r="T1302" i="1" s="1"/>
  <c r="R1301" i="1"/>
  <c r="T1301" i="1" s="1"/>
  <c r="R1300" i="1"/>
  <c r="T1300" i="1" s="1"/>
  <c r="R1299" i="1"/>
  <c r="T1299" i="1" s="1"/>
  <c r="R1298" i="1"/>
  <c r="T1298" i="1" s="1"/>
  <c r="R1297" i="1"/>
  <c r="T1297" i="1" s="1"/>
  <c r="R1296" i="1"/>
  <c r="T1296" i="1" s="1"/>
  <c r="R1295" i="1"/>
  <c r="T1295" i="1" s="1"/>
  <c r="R1294" i="1"/>
  <c r="T1294" i="1" s="1"/>
  <c r="R1293" i="1"/>
  <c r="T1293" i="1" s="1"/>
  <c r="R1291" i="1"/>
  <c r="T1291" i="1" s="1"/>
  <c r="R1290" i="1"/>
  <c r="T1290" i="1" s="1"/>
  <c r="R1289" i="1"/>
  <c r="T1289" i="1" s="1"/>
  <c r="R1288" i="1"/>
  <c r="T1288" i="1" s="1"/>
  <c r="R1287" i="1"/>
  <c r="T1287" i="1" s="1"/>
  <c r="R1286" i="1"/>
  <c r="T1286" i="1" s="1"/>
  <c r="R1285" i="1"/>
  <c r="T1285" i="1" s="1"/>
  <c r="R1284" i="1"/>
  <c r="T1284" i="1" s="1"/>
  <c r="R1283" i="1"/>
  <c r="T1283" i="1" s="1"/>
  <c r="R1282" i="1"/>
  <c r="T1282" i="1" s="1"/>
  <c r="R1281" i="1"/>
  <c r="T1281" i="1" s="1"/>
  <c r="R1280" i="1"/>
  <c r="T1280" i="1" s="1"/>
  <c r="R1279" i="1"/>
  <c r="T1279" i="1" s="1"/>
  <c r="R1278" i="1"/>
  <c r="T1278" i="1" s="1"/>
  <c r="R1277" i="1"/>
  <c r="T1277" i="1" s="1"/>
  <c r="R1276" i="1"/>
  <c r="T1276" i="1" s="1"/>
  <c r="R1275" i="1"/>
  <c r="T1275" i="1" s="1"/>
  <c r="R1274" i="1"/>
  <c r="T1274" i="1" s="1"/>
  <c r="R1273" i="1"/>
  <c r="T1273" i="1" s="1"/>
  <c r="R1271" i="1"/>
  <c r="T1271" i="1" s="1"/>
  <c r="R1270" i="1"/>
  <c r="T1270" i="1" s="1"/>
  <c r="R1269" i="1"/>
  <c r="T1269" i="1" s="1"/>
  <c r="R1268" i="1"/>
  <c r="T1268" i="1" s="1"/>
  <c r="R1267" i="1"/>
  <c r="T1267" i="1" s="1"/>
  <c r="R1265" i="1"/>
  <c r="T1265" i="1" s="1"/>
  <c r="R1264" i="1"/>
  <c r="T1264" i="1" s="1"/>
  <c r="R1263" i="1"/>
  <c r="T1263" i="1" s="1"/>
  <c r="R1262" i="1"/>
  <c r="T1262" i="1" s="1"/>
  <c r="R1261" i="1"/>
  <c r="T1261" i="1" s="1"/>
  <c r="R1260" i="1"/>
  <c r="T1260" i="1" s="1"/>
  <c r="R1259" i="1"/>
  <c r="T1259" i="1" s="1"/>
  <c r="R1258" i="1"/>
  <c r="T1258" i="1" s="1"/>
  <c r="R1257" i="1"/>
  <c r="T1257" i="1" s="1"/>
  <c r="R1256" i="1"/>
  <c r="T1256" i="1" s="1"/>
  <c r="R1255" i="1"/>
  <c r="T1255" i="1" s="1"/>
  <c r="R1254" i="1"/>
  <c r="T1254" i="1" s="1"/>
  <c r="R1252" i="1"/>
  <c r="T1252" i="1" s="1"/>
  <c r="R1251" i="1"/>
  <c r="T1251" i="1" s="1"/>
  <c r="R1250" i="1"/>
  <c r="T1250" i="1" s="1"/>
  <c r="R1249" i="1"/>
  <c r="T1249" i="1" s="1"/>
  <c r="R1248" i="1"/>
  <c r="T1248" i="1" s="1"/>
  <c r="R1247" i="1"/>
  <c r="T1247" i="1" s="1"/>
  <c r="R1246" i="1"/>
  <c r="T1246" i="1" s="1"/>
  <c r="R1245" i="1"/>
  <c r="T1245" i="1" s="1"/>
  <c r="R1244" i="1"/>
  <c r="T1244" i="1" s="1"/>
  <c r="R1243" i="1"/>
  <c r="T1243" i="1" s="1"/>
  <c r="R1242" i="1"/>
  <c r="T1242" i="1" s="1"/>
  <c r="R1241" i="1"/>
  <c r="T1241" i="1" s="1"/>
  <c r="R1240" i="1"/>
  <c r="T1240" i="1" s="1"/>
  <c r="R1239" i="1"/>
  <c r="T1239" i="1" s="1"/>
  <c r="R1238" i="1"/>
  <c r="T1238" i="1" s="1"/>
  <c r="R1237" i="1"/>
  <c r="T1237" i="1" s="1"/>
  <c r="R1236" i="1"/>
  <c r="T1236" i="1" s="1"/>
  <c r="R1235" i="1"/>
  <c r="T1235" i="1" s="1"/>
  <c r="R1233" i="1"/>
  <c r="T1233" i="1" s="1"/>
  <c r="R1232" i="1"/>
  <c r="T1232" i="1" s="1"/>
  <c r="R1231" i="1"/>
  <c r="T1231" i="1" s="1"/>
  <c r="R1230" i="1"/>
  <c r="T1230" i="1" s="1"/>
  <c r="R1229" i="1"/>
  <c r="T1229" i="1" s="1"/>
  <c r="R1228" i="1"/>
  <c r="T1228" i="1" s="1"/>
  <c r="R1227" i="1"/>
  <c r="T1227" i="1" s="1"/>
  <c r="R1226" i="1"/>
  <c r="T1226" i="1" s="1"/>
  <c r="R1225" i="1"/>
  <c r="T1225" i="1" s="1"/>
  <c r="R1224" i="1"/>
  <c r="T1224" i="1" s="1"/>
  <c r="R1223" i="1"/>
  <c r="T1223" i="1" s="1"/>
  <c r="R1222" i="1"/>
  <c r="T1222" i="1" s="1"/>
  <c r="R1221" i="1"/>
  <c r="T1221" i="1" s="1"/>
  <c r="R1220" i="1"/>
  <c r="T1220" i="1" s="1"/>
  <c r="R1219" i="1"/>
  <c r="T1219" i="1" s="1"/>
  <c r="R1218" i="1"/>
  <c r="T1218" i="1" s="1"/>
  <c r="R1217" i="1"/>
  <c r="T1217" i="1" s="1"/>
  <c r="R1216" i="1"/>
  <c r="T1216" i="1" s="1"/>
  <c r="R1215" i="1"/>
  <c r="T1215" i="1" s="1"/>
  <c r="R1214" i="1"/>
  <c r="T1214" i="1" s="1"/>
  <c r="R1213" i="1"/>
  <c r="T1213" i="1" s="1"/>
  <c r="R1212" i="1"/>
  <c r="T1212" i="1" s="1"/>
  <c r="R1211" i="1"/>
  <c r="T1211" i="1" s="1"/>
  <c r="R1210" i="1"/>
  <c r="T1210" i="1" s="1"/>
  <c r="R1209" i="1"/>
  <c r="T1209" i="1" s="1"/>
  <c r="R1208" i="1"/>
  <c r="T1208" i="1" s="1"/>
  <c r="R1207" i="1"/>
  <c r="T1207" i="1" s="1"/>
  <c r="R1206" i="1"/>
  <c r="T1206" i="1" s="1"/>
  <c r="R1205" i="1"/>
  <c r="T1205" i="1" s="1"/>
  <c r="R1204" i="1"/>
  <c r="T1204" i="1" s="1"/>
  <c r="R1203" i="1"/>
  <c r="T1203" i="1" s="1"/>
  <c r="R1202" i="1"/>
  <c r="T1202" i="1" s="1"/>
  <c r="R1201" i="1"/>
  <c r="T1201" i="1" s="1"/>
  <c r="R1200" i="1"/>
  <c r="T1200" i="1" s="1"/>
  <c r="R1199" i="1"/>
  <c r="T1199" i="1" s="1"/>
  <c r="R1198" i="1"/>
  <c r="T1198" i="1" s="1"/>
  <c r="R1196" i="1"/>
  <c r="T1196" i="1" s="1"/>
  <c r="R1195" i="1"/>
  <c r="T1195" i="1" s="1"/>
  <c r="R1194" i="1"/>
  <c r="T1194" i="1" s="1"/>
  <c r="R1193" i="1"/>
  <c r="T1193" i="1" s="1"/>
  <c r="R1192" i="1"/>
  <c r="T1192" i="1" s="1"/>
  <c r="R1191" i="1"/>
  <c r="T1191" i="1" s="1"/>
  <c r="R1190" i="1"/>
  <c r="T1190" i="1" s="1"/>
  <c r="R1189" i="1"/>
  <c r="T1189" i="1" s="1"/>
  <c r="R1188" i="1"/>
  <c r="T1188" i="1" s="1"/>
  <c r="R1187" i="1"/>
  <c r="T1187" i="1" s="1"/>
  <c r="R1186" i="1"/>
  <c r="T1186" i="1" s="1"/>
  <c r="R1185" i="1"/>
  <c r="T1185" i="1" s="1"/>
  <c r="R1184" i="1"/>
  <c r="T1184" i="1" s="1"/>
  <c r="R1183" i="1"/>
  <c r="T1183" i="1" s="1"/>
  <c r="R1181" i="1"/>
  <c r="T1181" i="1" s="1"/>
  <c r="R1180" i="1"/>
  <c r="T1180" i="1" s="1"/>
  <c r="R1178" i="1"/>
  <c r="T1178" i="1" s="1"/>
  <c r="R1177" i="1"/>
  <c r="T1177" i="1" s="1"/>
  <c r="R1176" i="1"/>
  <c r="T1176" i="1" s="1"/>
  <c r="R1175" i="1"/>
  <c r="T1175" i="1" s="1"/>
  <c r="R1174" i="1"/>
  <c r="T1174" i="1" s="1"/>
  <c r="R1173" i="1"/>
  <c r="T1173" i="1" s="1"/>
  <c r="R1172" i="1"/>
  <c r="T1172" i="1" s="1"/>
  <c r="R1170" i="1"/>
  <c r="T1170" i="1" s="1"/>
  <c r="R1169" i="1"/>
  <c r="T1169" i="1" s="1"/>
  <c r="R1168" i="1"/>
  <c r="T1168" i="1" s="1"/>
  <c r="R1167" i="1"/>
  <c r="T1167" i="1" s="1"/>
  <c r="R1166" i="1"/>
  <c r="T1166" i="1" s="1"/>
  <c r="R1163" i="1"/>
  <c r="T1163" i="1" s="1"/>
  <c r="R1162" i="1"/>
  <c r="T1162" i="1" s="1"/>
  <c r="R1160" i="1"/>
  <c r="T1160" i="1" s="1"/>
  <c r="R1159" i="1"/>
  <c r="T1159" i="1" s="1"/>
  <c r="R1158" i="1"/>
  <c r="T1158" i="1" s="1"/>
  <c r="R1157" i="1"/>
  <c r="T1157" i="1" s="1"/>
  <c r="R1156" i="1"/>
  <c r="T1156" i="1" s="1"/>
  <c r="R1155" i="1"/>
  <c r="T1155" i="1" s="1"/>
  <c r="R1154" i="1"/>
  <c r="T1154" i="1" s="1"/>
  <c r="R1153" i="1"/>
  <c r="T1153" i="1" s="1"/>
  <c r="R1152" i="1"/>
  <c r="T1152" i="1" s="1"/>
  <c r="R1151" i="1"/>
  <c r="T1151" i="1" s="1"/>
  <c r="R1150" i="1"/>
  <c r="T1150" i="1" s="1"/>
  <c r="R1149" i="1"/>
  <c r="T1149" i="1" s="1"/>
  <c r="R1148" i="1"/>
  <c r="T1148" i="1" s="1"/>
  <c r="R1147" i="1"/>
  <c r="T1147" i="1" s="1"/>
  <c r="R1146" i="1"/>
  <c r="T1146" i="1" s="1"/>
  <c r="R1145" i="1"/>
  <c r="T1145" i="1" s="1"/>
  <c r="R1144" i="1"/>
  <c r="T1144" i="1" s="1"/>
  <c r="R1143" i="1"/>
  <c r="T1143" i="1" s="1"/>
  <c r="R1142" i="1"/>
  <c r="T1142" i="1" s="1"/>
  <c r="R1141" i="1"/>
  <c r="T1141" i="1" s="1"/>
  <c r="R1140" i="1"/>
  <c r="T1140" i="1" s="1"/>
  <c r="R1139" i="1"/>
  <c r="T1139" i="1" s="1"/>
  <c r="R1138" i="1"/>
  <c r="T1138" i="1" s="1"/>
  <c r="R1137" i="1"/>
  <c r="T1137" i="1" s="1"/>
  <c r="R1136" i="1"/>
  <c r="T1136" i="1" s="1"/>
  <c r="R1135" i="1"/>
  <c r="T1135" i="1" s="1"/>
  <c r="R1134" i="1"/>
  <c r="T1134" i="1" s="1"/>
  <c r="R1133" i="1"/>
  <c r="T1133" i="1" s="1"/>
  <c r="R1132" i="1"/>
  <c r="T1132" i="1" s="1"/>
  <c r="R1131" i="1"/>
  <c r="T1131" i="1" s="1"/>
  <c r="R1130" i="1"/>
  <c r="T1130" i="1" s="1"/>
  <c r="R1129" i="1"/>
  <c r="T1129" i="1" s="1"/>
  <c r="R1128" i="1"/>
  <c r="T1128" i="1" s="1"/>
  <c r="R1127" i="1"/>
  <c r="T1127" i="1" s="1"/>
  <c r="R1126" i="1"/>
  <c r="T1126" i="1" s="1"/>
  <c r="R1125" i="1"/>
  <c r="T1125" i="1" s="1"/>
  <c r="R1124" i="1"/>
  <c r="T1124" i="1" s="1"/>
  <c r="R1123" i="1"/>
  <c r="T1123" i="1" s="1"/>
  <c r="R1122" i="1"/>
  <c r="T1122" i="1" s="1"/>
  <c r="R1121" i="1"/>
  <c r="T1121" i="1" s="1"/>
  <c r="R1120" i="1"/>
  <c r="T1120" i="1" s="1"/>
  <c r="R1119" i="1"/>
  <c r="T1119" i="1" s="1"/>
  <c r="R1118" i="1"/>
  <c r="T1118" i="1" s="1"/>
  <c r="R1117" i="1"/>
  <c r="T1117" i="1" s="1"/>
  <c r="R1116" i="1"/>
  <c r="T1116" i="1" s="1"/>
  <c r="R1108" i="1"/>
  <c r="T1108" i="1" s="1"/>
  <c r="R1107" i="1"/>
  <c r="T1107" i="1" s="1"/>
  <c r="R1106" i="1"/>
  <c r="T1106" i="1" s="1"/>
  <c r="R1105" i="1"/>
  <c r="T1105" i="1" s="1"/>
  <c r="R1104" i="1"/>
  <c r="T1104" i="1" s="1"/>
  <c r="R1103" i="1"/>
  <c r="T1103" i="1" s="1"/>
  <c r="R1102" i="1"/>
  <c r="T1102" i="1" s="1"/>
  <c r="R1101" i="1"/>
  <c r="T1101" i="1" s="1"/>
  <c r="R1100" i="1"/>
  <c r="T1100" i="1" s="1"/>
  <c r="R1099" i="1"/>
  <c r="T1099" i="1" s="1"/>
  <c r="R1098" i="1"/>
  <c r="T1098" i="1" s="1"/>
  <c r="R1097" i="1"/>
  <c r="T1097" i="1" s="1"/>
  <c r="R1096" i="1"/>
  <c r="T1096" i="1" s="1"/>
  <c r="R1095" i="1"/>
  <c r="T1095" i="1" s="1"/>
  <c r="R1094" i="1"/>
  <c r="T1094" i="1" s="1"/>
  <c r="R1093" i="1"/>
  <c r="T1093" i="1" s="1"/>
  <c r="R1092" i="1"/>
  <c r="T1092" i="1" s="1"/>
  <c r="R1091" i="1"/>
  <c r="T1091" i="1" s="1"/>
  <c r="R1090" i="1"/>
  <c r="T1090" i="1" s="1"/>
  <c r="R1089" i="1"/>
  <c r="T1089" i="1" s="1"/>
  <c r="R1088" i="1"/>
  <c r="T1088" i="1" s="1"/>
  <c r="R1087" i="1"/>
  <c r="T1087" i="1" s="1"/>
  <c r="R1086" i="1"/>
  <c r="T1086" i="1" s="1"/>
  <c r="R1085" i="1"/>
  <c r="T1085" i="1" s="1"/>
  <c r="R1084" i="1"/>
  <c r="T1084" i="1" s="1"/>
  <c r="R1083" i="1"/>
  <c r="T1083" i="1" s="1"/>
  <c r="R1082" i="1"/>
  <c r="T1082" i="1" s="1"/>
  <c r="R1081" i="1"/>
  <c r="T1081" i="1" s="1"/>
  <c r="R1080" i="1"/>
  <c r="T1080" i="1" s="1"/>
  <c r="R1079" i="1"/>
  <c r="T1079" i="1" s="1"/>
  <c r="R1078" i="1"/>
  <c r="T1078" i="1" s="1"/>
  <c r="R1077" i="1"/>
  <c r="T1077" i="1" s="1"/>
  <c r="R1076" i="1"/>
  <c r="T1076" i="1" s="1"/>
  <c r="R1075" i="1"/>
  <c r="T1075" i="1" s="1"/>
  <c r="R1074" i="1"/>
  <c r="T1074" i="1" s="1"/>
  <c r="R1073" i="1"/>
  <c r="T1073" i="1" s="1"/>
  <c r="R1072" i="1"/>
  <c r="T1072" i="1" s="1"/>
  <c r="R1071" i="1"/>
  <c r="T1071" i="1" s="1"/>
  <c r="R1070" i="1"/>
  <c r="T1070" i="1" s="1"/>
  <c r="R1069" i="1"/>
  <c r="T1069" i="1" s="1"/>
  <c r="R1068" i="1"/>
  <c r="T1068" i="1" s="1"/>
  <c r="R1067" i="1"/>
  <c r="T1067" i="1" s="1"/>
  <c r="R1066" i="1"/>
  <c r="T1066" i="1" s="1"/>
  <c r="R1065" i="1"/>
  <c r="T1065" i="1" s="1"/>
  <c r="R1064" i="1"/>
  <c r="T1064" i="1" s="1"/>
  <c r="R1063" i="1"/>
  <c r="T1063" i="1" s="1"/>
  <c r="R1062" i="1"/>
  <c r="T1062" i="1" s="1"/>
  <c r="R1061" i="1"/>
  <c r="T1061" i="1" s="1"/>
  <c r="R1060" i="1"/>
  <c r="T1060" i="1" s="1"/>
  <c r="R1059" i="1"/>
  <c r="T1059" i="1" s="1"/>
  <c r="R1058" i="1"/>
  <c r="T1058" i="1" s="1"/>
  <c r="R1057" i="1"/>
  <c r="T1057" i="1" s="1"/>
  <c r="R1056" i="1"/>
  <c r="T1056" i="1" s="1"/>
  <c r="R1055" i="1"/>
  <c r="T1055" i="1" s="1"/>
  <c r="R1054" i="1"/>
  <c r="T1054" i="1" s="1"/>
  <c r="R1053" i="1"/>
  <c r="T1053" i="1" s="1"/>
  <c r="R1052" i="1"/>
  <c r="T1052" i="1" s="1"/>
  <c r="R1051" i="1"/>
  <c r="T1051" i="1" s="1"/>
  <c r="R1050" i="1"/>
  <c r="T1050" i="1" s="1"/>
  <c r="R1049" i="1"/>
  <c r="T1049" i="1" s="1"/>
  <c r="R1048" i="1"/>
  <c r="T1048" i="1" s="1"/>
  <c r="R1047" i="1"/>
  <c r="T1047" i="1" s="1"/>
  <c r="R1046" i="1"/>
  <c r="T1046" i="1" s="1"/>
  <c r="R1045" i="1"/>
  <c r="T1045" i="1" s="1"/>
  <c r="R1044" i="1"/>
  <c r="T1044" i="1" s="1"/>
  <c r="R1043" i="1"/>
  <c r="T1043" i="1" s="1"/>
  <c r="R1042" i="1"/>
  <c r="T1042" i="1" s="1"/>
  <c r="R1041" i="1"/>
  <c r="T1041" i="1" s="1"/>
  <c r="R1040" i="1"/>
  <c r="T1040" i="1" s="1"/>
  <c r="R1039" i="1"/>
  <c r="T1039" i="1" s="1"/>
  <c r="R1038" i="1"/>
  <c r="T1038" i="1" s="1"/>
  <c r="R1037" i="1"/>
  <c r="T1037" i="1" s="1"/>
  <c r="R1036" i="1"/>
  <c r="T1036" i="1" s="1"/>
  <c r="R1034" i="1"/>
  <c r="T1034" i="1" s="1"/>
  <c r="R1033" i="1"/>
  <c r="T1033" i="1" s="1"/>
  <c r="R1032" i="1"/>
  <c r="T1032" i="1" s="1"/>
  <c r="R1031" i="1"/>
  <c r="T1031" i="1" s="1"/>
  <c r="R1030" i="1"/>
  <c r="T1030" i="1" s="1"/>
  <c r="R1029" i="1"/>
  <c r="T1029" i="1" s="1"/>
  <c r="R1028" i="1"/>
  <c r="T1028" i="1" s="1"/>
  <c r="R1027" i="1"/>
  <c r="T1027" i="1" s="1"/>
  <c r="R1026" i="1"/>
  <c r="T1026" i="1" s="1"/>
  <c r="R1025" i="1"/>
  <c r="T1025" i="1" s="1"/>
  <c r="R1024" i="1"/>
  <c r="T1024" i="1" s="1"/>
  <c r="R1023" i="1"/>
  <c r="T1023" i="1" s="1"/>
  <c r="R1022" i="1"/>
  <c r="T1022" i="1" s="1"/>
  <c r="R1020" i="1"/>
  <c r="T1020" i="1" s="1"/>
  <c r="R1019" i="1"/>
  <c r="T1019" i="1" s="1"/>
  <c r="R1018" i="1"/>
  <c r="T1018" i="1" s="1"/>
  <c r="R1017" i="1"/>
  <c r="T1017" i="1" s="1"/>
  <c r="R1016" i="1"/>
  <c r="T1016" i="1" s="1"/>
  <c r="R1015" i="1"/>
  <c r="T1015" i="1" s="1"/>
  <c r="R1014" i="1"/>
  <c r="T1014" i="1" s="1"/>
  <c r="R1013" i="1"/>
  <c r="T1013" i="1" s="1"/>
  <c r="R1012" i="1"/>
  <c r="T1012" i="1" s="1"/>
  <c r="R1011" i="1"/>
  <c r="T1011" i="1" s="1"/>
  <c r="R1010" i="1"/>
  <c r="T1010" i="1" s="1"/>
  <c r="R1008" i="1"/>
  <c r="T1008" i="1" s="1"/>
  <c r="R1006" i="1"/>
  <c r="T1006" i="1" s="1"/>
  <c r="R1005" i="1"/>
  <c r="T1005" i="1" s="1"/>
  <c r="R1004" i="1"/>
  <c r="T1004" i="1" s="1"/>
  <c r="R1003" i="1"/>
  <c r="T1003" i="1" s="1"/>
  <c r="R1002" i="1"/>
  <c r="T1002" i="1" s="1"/>
  <c r="R999" i="1"/>
  <c r="T999" i="1" s="1"/>
  <c r="R998" i="1"/>
  <c r="T998" i="1" s="1"/>
  <c r="R997" i="1"/>
  <c r="T997" i="1" s="1"/>
  <c r="R996" i="1"/>
  <c r="T996" i="1" s="1"/>
  <c r="R995" i="1"/>
  <c r="T995" i="1" s="1"/>
  <c r="R994" i="1"/>
  <c r="T994" i="1" s="1"/>
  <c r="R993" i="1"/>
  <c r="T993" i="1" s="1"/>
  <c r="R992" i="1"/>
  <c r="T992" i="1" s="1"/>
  <c r="R991" i="1"/>
  <c r="T991" i="1" s="1"/>
  <c r="R990" i="1"/>
  <c r="T990" i="1" s="1"/>
  <c r="R988" i="1"/>
  <c r="T988" i="1" s="1"/>
  <c r="R987" i="1"/>
  <c r="T987" i="1" s="1"/>
  <c r="R984" i="1"/>
  <c r="T984" i="1" s="1"/>
  <c r="R983" i="1"/>
  <c r="T983" i="1" s="1"/>
  <c r="R982" i="1"/>
  <c r="T982" i="1" s="1"/>
  <c r="R981" i="1"/>
  <c r="T981" i="1" s="1"/>
  <c r="R980" i="1"/>
  <c r="T980" i="1" s="1"/>
  <c r="R979" i="1"/>
  <c r="T979" i="1" s="1"/>
  <c r="R978" i="1"/>
  <c r="T978" i="1" s="1"/>
  <c r="R977" i="1"/>
  <c r="T977" i="1" s="1"/>
  <c r="R975" i="1"/>
  <c r="T975" i="1" s="1"/>
  <c r="R974" i="1"/>
  <c r="T974" i="1" s="1"/>
  <c r="R973" i="1"/>
  <c r="T973" i="1" s="1"/>
  <c r="R972" i="1"/>
  <c r="T972" i="1" s="1"/>
  <c r="R971" i="1"/>
  <c r="T971" i="1" s="1"/>
  <c r="R970" i="1"/>
  <c r="T970" i="1" s="1"/>
  <c r="R969" i="1"/>
  <c r="T969" i="1" s="1"/>
  <c r="R965" i="1"/>
  <c r="T965" i="1" s="1"/>
  <c r="R964" i="1"/>
  <c r="T964" i="1" s="1"/>
  <c r="R963" i="1"/>
  <c r="T963" i="1" s="1"/>
  <c r="R962" i="1"/>
  <c r="T962" i="1" s="1"/>
  <c r="R961" i="1"/>
  <c r="T961" i="1" s="1"/>
  <c r="R960" i="1"/>
  <c r="T960" i="1" s="1"/>
  <c r="R959" i="1"/>
  <c r="T959" i="1" s="1"/>
  <c r="R958" i="1"/>
  <c r="T958" i="1" s="1"/>
  <c r="R957" i="1"/>
  <c r="T957" i="1" s="1"/>
  <c r="R956" i="1"/>
  <c r="T956" i="1" s="1"/>
  <c r="R955" i="1"/>
  <c r="T955" i="1" s="1"/>
  <c r="R954" i="1"/>
  <c r="T954" i="1" s="1"/>
  <c r="R953" i="1"/>
  <c r="T953" i="1" s="1"/>
  <c r="R952" i="1"/>
  <c r="T952" i="1" s="1"/>
  <c r="R951" i="1"/>
  <c r="T951" i="1" s="1"/>
  <c r="R950" i="1"/>
  <c r="T950" i="1" s="1"/>
  <c r="R949" i="1"/>
  <c r="T949" i="1" s="1"/>
  <c r="R948" i="1"/>
  <c r="T948" i="1" s="1"/>
  <c r="R947" i="1"/>
  <c r="T947" i="1" s="1"/>
  <c r="R945" i="1"/>
  <c r="T945" i="1" s="1"/>
  <c r="R944" i="1"/>
  <c r="T944" i="1" s="1"/>
  <c r="R943" i="1"/>
  <c r="T943" i="1" s="1"/>
  <c r="R942" i="1"/>
  <c r="T942" i="1" s="1"/>
  <c r="R941" i="1"/>
  <c r="T941" i="1" s="1"/>
  <c r="R940" i="1"/>
  <c r="T940" i="1" s="1"/>
  <c r="R939" i="1"/>
  <c r="T939" i="1" s="1"/>
  <c r="R937" i="1"/>
  <c r="T937" i="1" s="1"/>
  <c r="R936" i="1"/>
  <c r="T936" i="1" s="1"/>
  <c r="R935" i="1"/>
  <c r="T935" i="1" s="1"/>
  <c r="R934" i="1"/>
  <c r="T934" i="1" s="1"/>
  <c r="R933" i="1"/>
  <c r="T933" i="1" s="1"/>
  <c r="R932" i="1"/>
  <c r="T932" i="1" s="1"/>
  <c r="R931" i="1"/>
  <c r="T931" i="1" s="1"/>
  <c r="R930" i="1"/>
  <c r="T930" i="1" s="1"/>
  <c r="R929" i="1"/>
  <c r="T929" i="1" s="1"/>
  <c r="R928" i="1"/>
  <c r="T928" i="1" s="1"/>
  <c r="R927" i="1"/>
  <c r="T927" i="1" s="1"/>
  <c r="R926" i="1"/>
  <c r="T926" i="1" s="1"/>
  <c r="R925" i="1"/>
  <c r="T925" i="1" s="1"/>
  <c r="R924" i="1"/>
  <c r="T924" i="1" s="1"/>
  <c r="R923" i="1"/>
  <c r="T923" i="1" s="1"/>
  <c r="R922" i="1"/>
  <c r="T922" i="1" s="1"/>
  <c r="R921" i="1"/>
  <c r="T921" i="1" s="1"/>
  <c r="R919" i="1"/>
  <c r="T919" i="1" s="1"/>
  <c r="R918" i="1"/>
  <c r="T918" i="1" s="1"/>
  <c r="R917" i="1"/>
  <c r="T917" i="1" s="1"/>
  <c r="R916" i="1"/>
  <c r="T916" i="1" s="1"/>
  <c r="R915" i="1"/>
  <c r="T915" i="1" s="1"/>
  <c r="R914" i="1"/>
  <c r="T914" i="1" s="1"/>
  <c r="R913" i="1"/>
  <c r="T913" i="1" s="1"/>
  <c r="R912" i="1"/>
  <c r="T912" i="1" s="1"/>
  <c r="R911" i="1"/>
  <c r="T911" i="1" s="1"/>
  <c r="R910" i="1"/>
  <c r="T910" i="1" s="1"/>
  <c r="R909" i="1"/>
  <c r="T909" i="1" s="1"/>
  <c r="R908" i="1"/>
  <c r="T908" i="1" s="1"/>
  <c r="R907" i="1"/>
  <c r="T907" i="1" s="1"/>
  <c r="R906" i="1"/>
  <c r="T906" i="1" s="1"/>
  <c r="R905" i="1"/>
  <c r="T905" i="1" s="1"/>
  <c r="R904" i="1"/>
  <c r="T904" i="1" s="1"/>
  <c r="R903" i="1"/>
  <c r="T903" i="1" s="1"/>
  <c r="R902" i="1"/>
  <c r="T902" i="1" s="1"/>
  <c r="R900" i="1"/>
  <c r="T900" i="1" s="1"/>
  <c r="R899" i="1"/>
  <c r="T899" i="1" s="1"/>
  <c r="R898" i="1"/>
  <c r="T898" i="1" s="1"/>
  <c r="R897" i="1"/>
  <c r="T897" i="1" s="1"/>
  <c r="R896" i="1"/>
  <c r="T896" i="1" s="1"/>
  <c r="R895" i="1"/>
  <c r="T895" i="1" s="1"/>
  <c r="R894" i="1"/>
  <c r="T894" i="1" s="1"/>
  <c r="R893" i="1"/>
  <c r="T893" i="1" s="1"/>
  <c r="R892" i="1"/>
  <c r="T892" i="1" s="1"/>
  <c r="R891" i="1"/>
  <c r="T891" i="1" s="1"/>
  <c r="R890" i="1"/>
  <c r="T890" i="1" s="1"/>
  <c r="R889" i="1"/>
  <c r="T889" i="1" s="1"/>
  <c r="R888" i="1"/>
  <c r="T888" i="1" s="1"/>
  <c r="R887" i="1"/>
  <c r="T887" i="1" s="1"/>
  <c r="R886" i="1"/>
  <c r="T886" i="1" s="1"/>
  <c r="R885" i="1"/>
  <c r="T885" i="1" s="1"/>
  <c r="R884" i="1"/>
  <c r="T884" i="1" s="1"/>
  <c r="R883" i="1"/>
  <c r="T883" i="1" s="1"/>
  <c r="R881" i="1"/>
  <c r="T881" i="1" s="1"/>
  <c r="R880" i="1"/>
  <c r="T880" i="1" s="1"/>
  <c r="R879" i="1"/>
  <c r="T879" i="1" s="1"/>
  <c r="R877" i="1"/>
  <c r="T877" i="1" s="1"/>
  <c r="R876" i="1"/>
  <c r="T876" i="1" s="1"/>
  <c r="R875" i="1"/>
  <c r="T875" i="1" s="1"/>
  <c r="R873" i="1"/>
  <c r="T873" i="1" s="1"/>
  <c r="R872" i="1"/>
  <c r="T872" i="1" s="1"/>
  <c r="R867" i="1"/>
  <c r="T867" i="1" s="1"/>
  <c r="R866" i="1"/>
  <c r="T866" i="1" s="1"/>
  <c r="R865" i="1"/>
  <c r="T865" i="1" s="1"/>
  <c r="R864" i="1"/>
  <c r="T864" i="1" s="1"/>
  <c r="R863" i="1"/>
  <c r="T863" i="1" s="1"/>
  <c r="R862" i="1"/>
  <c r="T862" i="1" s="1"/>
  <c r="R861" i="1"/>
  <c r="T861" i="1" s="1"/>
  <c r="R860" i="1"/>
  <c r="T860" i="1" s="1"/>
  <c r="R859" i="1"/>
  <c r="T859" i="1" s="1"/>
  <c r="R858" i="1"/>
  <c r="T858" i="1" s="1"/>
  <c r="R857" i="1"/>
  <c r="T857" i="1" s="1"/>
  <c r="R856" i="1"/>
  <c r="T856" i="1" s="1"/>
  <c r="R855" i="1"/>
  <c r="T855" i="1" s="1"/>
  <c r="R854" i="1"/>
  <c r="T854" i="1" s="1"/>
  <c r="R853" i="1"/>
  <c r="T853" i="1" s="1"/>
  <c r="R851" i="1"/>
  <c r="T851" i="1" s="1"/>
  <c r="R850" i="1"/>
  <c r="T850" i="1" s="1"/>
  <c r="R849" i="1"/>
  <c r="T849" i="1" s="1"/>
  <c r="R848" i="1"/>
  <c r="T848" i="1" s="1"/>
  <c r="R847" i="1"/>
  <c r="T847" i="1" s="1"/>
  <c r="R846" i="1"/>
  <c r="T846" i="1" s="1"/>
  <c r="R845" i="1"/>
  <c r="T845" i="1" s="1"/>
  <c r="R844" i="1"/>
  <c r="T844" i="1" s="1"/>
  <c r="R843" i="1"/>
  <c r="T843" i="1" s="1"/>
  <c r="R842" i="1"/>
  <c r="T842" i="1" s="1"/>
  <c r="R841" i="1"/>
  <c r="T841" i="1" s="1"/>
  <c r="R840" i="1"/>
  <c r="T840" i="1" s="1"/>
  <c r="R839" i="1"/>
  <c r="T839" i="1" s="1"/>
  <c r="R838" i="1"/>
  <c r="T838" i="1" s="1"/>
  <c r="R837" i="1"/>
  <c r="T837" i="1" s="1"/>
  <c r="R836" i="1"/>
  <c r="T836" i="1" s="1"/>
  <c r="R835" i="1"/>
  <c r="T835" i="1" s="1"/>
  <c r="R834" i="1"/>
  <c r="T834" i="1" s="1"/>
  <c r="R833" i="1"/>
  <c r="T833" i="1" s="1"/>
  <c r="R832" i="1"/>
  <c r="T832" i="1" s="1"/>
  <c r="R831" i="1"/>
  <c r="T831" i="1" s="1"/>
  <c r="R830" i="1"/>
  <c r="T830" i="1" s="1"/>
  <c r="R829" i="1"/>
  <c r="T829" i="1" s="1"/>
  <c r="R828" i="1"/>
  <c r="T828" i="1" s="1"/>
  <c r="R827" i="1"/>
  <c r="T827" i="1" s="1"/>
  <c r="R826" i="1"/>
  <c r="T826" i="1" s="1"/>
  <c r="R825" i="1"/>
  <c r="T825" i="1" s="1"/>
  <c r="R824" i="1"/>
  <c r="T824" i="1" s="1"/>
  <c r="R823" i="1"/>
  <c r="T823" i="1" s="1"/>
  <c r="R822" i="1"/>
  <c r="T822" i="1" s="1"/>
  <c r="R821" i="1"/>
  <c r="T821" i="1" s="1"/>
  <c r="R820" i="1"/>
  <c r="T820" i="1" s="1"/>
  <c r="R819" i="1"/>
  <c r="T819" i="1" s="1"/>
  <c r="R818" i="1"/>
  <c r="T818" i="1" s="1"/>
  <c r="R817" i="1"/>
  <c r="T817" i="1" s="1"/>
  <c r="R816" i="1"/>
  <c r="T816" i="1" s="1"/>
  <c r="R815" i="1"/>
  <c r="T815" i="1" s="1"/>
  <c r="R813" i="1"/>
  <c r="T813" i="1" s="1"/>
  <c r="R812" i="1"/>
  <c r="T812" i="1" s="1"/>
  <c r="R811" i="1"/>
  <c r="T811" i="1" s="1"/>
  <c r="R810" i="1"/>
  <c r="T810" i="1" s="1"/>
  <c r="R809" i="1"/>
  <c r="T809" i="1" s="1"/>
  <c r="R808" i="1"/>
  <c r="T808" i="1" s="1"/>
  <c r="R807" i="1"/>
  <c r="T807" i="1" s="1"/>
  <c r="R805" i="1"/>
  <c r="T805" i="1" s="1"/>
  <c r="R804" i="1"/>
  <c r="T804" i="1" s="1"/>
  <c r="R803" i="1"/>
  <c r="T803" i="1" s="1"/>
  <c r="R802" i="1"/>
  <c r="T802" i="1" s="1"/>
  <c r="R801" i="1"/>
  <c r="T801" i="1" s="1"/>
  <c r="R800" i="1"/>
  <c r="T800" i="1" s="1"/>
  <c r="R799" i="1"/>
  <c r="T799" i="1" s="1"/>
  <c r="R798" i="1"/>
  <c r="T798" i="1" s="1"/>
  <c r="R797" i="1"/>
  <c r="T797" i="1" s="1"/>
  <c r="R796" i="1"/>
  <c r="T796" i="1" s="1"/>
  <c r="R795" i="1"/>
  <c r="T795" i="1" s="1"/>
  <c r="R794" i="1"/>
  <c r="T794" i="1" s="1"/>
  <c r="R793" i="1"/>
  <c r="T793" i="1" s="1"/>
  <c r="R792" i="1"/>
  <c r="T792" i="1" s="1"/>
  <c r="R791" i="1"/>
  <c r="T791" i="1" s="1"/>
  <c r="R790" i="1"/>
  <c r="T790" i="1" s="1"/>
  <c r="R789" i="1"/>
  <c r="T789" i="1" s="1"/>
  <c r="R788" i="1"/>
  <c r="T788" i="1" s="1"/>
  <c r="R787" i="1"/>
  <c r="T787" i="1" s="1"/>
  <c r="R786" i="1"/>
  <c r="T786" i="1" s="1"/>
  <c r="R785" i="1"/>
  <c r="T785" i="1" s="1"/>
  <c r="R784" i="1"/>
  <c r="T784" i="1" s="1"/>
  <c r="R783" i="1"/>
  <c r="T783" i="1" s="1"/>
  <c r="R782" i="1"/>
  <c r="T782" i="1" s="1"/>
  <c r="R781" i="1"/>
  <c r="T781" i="1" s="1"/>
  <c r="R780" i="1"/>
  <c r="T780" i="1" s="1"/>
  <c r="R779" i="1"/>
  <c r="T779" i="1" s="1"/>
  <c r="R778" i="1"/>
  <c r="T778" i="1" s="1"/>
  <c r="R777" i="1"/>
  <c r="T777" i="1" s="1"/>
  <c r="R776" i="1"/>
  <c r="T776" i="1" s="1"/>
  <c r="R775" i="1"/>
  <c r="T775" i="1" s="1"/>
  <c r="R774" i="1"/>
  <c r="T774" i="1" s="1"/>
  <c r="R773" i="1"/>
  <c r="T773" i="1" s="1"/>
  <c r="R772" i="1"/>
  <c r="T772" i="1" s="1"/>
  <c r="R771" i="1"/>
  <c r="T771" i="1" s="1"/>
  <c r="R770" i="1"/>
  <c r="T770" i="1" s="1"/>
  <c r="R769" i="1"/>
  <c r="T769" i="1" s="1"/>
  <c r="R768" i="1"/>
  <c r="T768" i="1" s="1"/>
  <c r="R767" i="1"/>
  <c r="T767" i="1" s="1"/>
  <c r="R766" i="1"/>
  <c r="T766" i="1" s="1"/>
  <c r="R765" i="1"/>
  <c r="T765" i="1" s="1"/>
  <c r="R764" i="1"/>
  <c r="T764" i="1" s="1"/>
  <c r="R763" i="1"/>
  <c r="T763" i="1" s="1"/>
  <c r="R762" i="1"/>
  <c r="T762" i="1" s="1"/>
  <c r="R761" i="1"/>
  <c r="T761" i="1" s="1"/>
  <c r="R760" i="1"/>
  <c r="T760" i="1" s="1"/>
  <c r="R759" i="1"/>
  <c r="T759" i="1" s="1"/>
  <c r="R758" i="1"/>
  <c r="T758" i="1" s="1"/>
  <c r="R757" i="1"/>
  <c r="T757" i="1" s="1"/>
  <c r="R756" i="1"/>
  <c r="T756" i="1" s="1"/>
  <c r="R755" i="1"/>
  <c r="T755" i="1" s="1"/>
  <c r="R754" i="1"/>
  <c r="T754" i="1" s="1"/>
  <c r="R753" i="1"/>
  <c r="T753" i="1" s="1"/>
  <c r="R752" i="1"/>
  <c r="T752" i="1" s="1"/>
  <c r="R751" i="1"/>
  <c r="T751" i="1" s="1"/>
  <c r="R750" i="1"/>
  <c r="T750" i="1" s="1"/>
  <c r="R749" i="1"/>
  <c r="T749" i="1" s="1"/>
  <c r="R748" i="1"/>
  <c r="T748" i="1" s="1"/>
  <c r="R747" i="1"/>
  <c r="T747" i="1" s="1"/>
  <c r="R746" i="1"/>
  <c r="T746" i="1" s="1"/>
  <c r="R745" i="1"/>
  <c r="T745" i="1" s="1"/>
  <c r="R744" i="1"/>
  <c r="T744" i="1" s="1"/>
  <c r="R742" i="1"/>
  <c r="T742" i="1" s="1"/>
  <c r="R741" i="1"/>
  <c r="T741" i="1" s="1"/>
  <c r="R740" i="1"/>
  <c r="T740" i="1" s="1"/>
  <c r="R739" i="1"/>
  <c r="T739" i="1" s="1"/>
  <c r="R738" i="1"/>
  <c r="T738" i="1" s="1"/>
  <c r="R737" i="1"/>
  <c r="T737" i="1" s="1"/>
  <c r="R736" i="1"/>
  <c r="T736" i="1" s="1"/>
  <c r="R735" i="1"/>
  <c r="T735" i="1" s="1"/>
  <c r="R734" i="1"/>
  <c r="T734" i="1" s="1"/>
  <c r="R733" i="1"/>
  <c r="T733" i="1" s="1"/>
  <c r="R732" i="1"/>
  <c r="T732" i="1" s="1"/>
  <c r="R731" i="1"/>
  <c r="T731" i="1" s="1"/>
  <c r="R730" i="1"/>
  <c r="T730" i="1" s="1"/>
  <c r="R729" i="1"/>
  <c r="T729" i="1" s="1"/>
  <c r="R728" i="1"/>
  <c r="T728" i="1" s="1"/>
  <c r="R727" i="1"/>
  <c r="T727" i="1" s="1"/>
  <c r="R726" i="1"/>
  <c r="T726" i="1" s="1"/>
  <c r="R725" i="1"/>
  <c r="T725" i="1" s="1"/>
  <c r="R724" i="1"/>
  <c r="T724" i="1" s="1"/>
  <c r="R723" i="1"/>
  <c r="T723" i="1" s="1"/>
  <c r="R721" i="1"/>
  <c r="T721" i="1" s="1"/>
  <c r="R720" i="1"/>
  <c r="T720" i="1" s="1"/>
  <c r="R718" i="1"/>
  <c r="T718" i="1" s="1"/>
  <c r="R717" i="1"/>
  <c r="T717" i="1" s="1"/>
  <c r="R716" i="1"/>
  <c r="T716" i="1" s="1"/>
  <c r="R715" i="1"/>
  <c r="T715" i="1" s="1"/>
  <c r="R714" i="1"/>
  <c r="T714" i="1" s="1"/>
  <c r="R713" i="1"/>
  <c r="T713" i="1" s="1"/>
  <c r="R712" i="1"/>
  <c r="T712" i="1" s="1"/>
  <c r="R710" i="1"/>
  <c r="T710" i="1" s="1"/>
  <c r="R709" i="1"/>
  <c r="T709" i="1" s="1"/>
  <c r="R708" i="1"/>
  <c r="T708" i="1" s="1"/>
  <c r="R706" i="1"/>
  <c r="T706" i="1" s="1"/>
  <c r="R705" i="1"/>
  <c r="T705" i="1" s="1"/>
  <c r="R703" i="1"/>
  <c r="T703" i="1" s="1"/>
  <c r="R702" i="1"/>
  <c r="T702" i="1" s="1"/>
  <c r="R700" i="1"/>
  <c r="T700" i="1" s="1"/>
  <c r="R699" i="1"/>
  <c r="T699" i="1" s="1"/>
  <c r="R698" i="1"/>
  <c r="T698" i="1" s="1"/>
  <c r="R697" i="1"/>
  <c r="T697" i="1" s="1"/>
  <c r="R696" i="1"/>
  <c r="T696" i="1" s="1"/>
  <c r="R695" i="1"/>
  <c r="T695" i="1" s="1"/>
  <c r="R694" i="1"/>
  <c r="T694" i="1" s="1"/>
  <c r="R693" i="1"/>
  <c r="T693" i="1" s="1"/>
  <c r="R692" i="1"/>
  <c r="T692" i="1" s="1"/>
  <c r="R691" i="1"/>
  <c r="T691" i="1" s="1"/>
  <c r="R689" i="1"/>
  <c r="T689" i="1" s="1"/>
  <c r="R688" i="1"/>
  <c r="T688" i="1" s="1"/>
  <c r="R687" i="1"/>
  <c r="T687" i="1" s="1"/>
  <c r="R686" i="1"/>
  <c r="T686" i="1" s="1"/>
  <c r="R685" i="1"/>
  <c r="T685" i="1" s="1"/>
  <c r="R684" i="1"/>
  <c r="T684" i="1" s="1"/>
  <c r="R682" i="1"/>
  <c r="T682" i="1" s="1"/>
  <c r="R681" i="1"/>
  <c r="T681" i="1" s="1"/>
  <c r="R680" i="1"/>
  <c r="T680" i="1" s="1"/>
  <c r="R679" i="1"/>
  <c r="T679" i="1" s="1"/>
  <c r="R678" i="1"/>
  <c r="T678" i="1" s="1"/>
  <c r="R677" i="1"/>
  <c r="T677" i="1" s="1"/>
  <c r="R676" i="1"/>
  <c r="T676" i="1" s="1"/>
  <c r="R675" i="1"/>
  <c r="T675" i="1" s="1"/>
  <c r="R674" i="1"/>
  <c r="T674" i="1" s="1"/>
  <c r="R673" i="1"/>
  <c r="T673" i="1" s="1"/>
  <c r="R672" i="1"/>
  <c r="T672" i="1" s="1"/>
  <c r="R671" i="1"/>
  <c r="T671" i="1" s="1"/>
  <c r="R670" i="1"/>
  <c r="T670" i="1" s="1"/>
  <c r="R668" i="1"/>
  <c r="T668" i="1" s="1"/>
  <c r="R667" i="1"/>
  <c r="T667" i="1" s="1"/>
  <c r="R666" i="1"/>
  <c r="T666" i="1" s="1"/>
  <c r="R665" i="1"/>
  <c r="T665" i="1" s="1"/>
  <c r="R664" i="1"/>
  <c r="T664" i="1" s="1"/>
  <c r="R662" i="1"/>
  <c r="T662" i="1" s="1"/>
  <c r="R661" i="1"/>
  <c r="T661" i="1" s="1"/>
  <c r="R660" i="1"/>
  <c r="T660" i="1" s="1"/>
  <c r="R657" i="1"/>
  <c r="T657" i="1" s="1"/>
  <c r="R656" i="1"/>
  <c r="T656" i="1" s="1"/>
  <c r="R655" i="1"/>
  <c r="T655" i="1" s="1"/>
  <c r="R654" i="1"/>
  <c r="T654" i="1" s="1"/>
  <c r="R652" i="1"/>
  <c r="T652" i="1" s="1"/>
  <c r="R651" i="1"/>
  <c r="T651" i="1" s="1"/>
  <c r="R650" i="1"/>
  <c r="T650" i="1" s="1"/>
  <c r="R649" i="1"/>
  <c r="T649" i="1" s="1"/>
  <c r="R648" i="1"/>
  <c r="T648" i="1" s="1"/>
  <c r="R647" i="1"/>
  <c r="T647" i="1" s="1"/>
  <c r="R646" i="1"/>
  <c r="T646" i="1" s="1"/>
  <c r="R645" i="1"/>
  <c r="T645" i="1" s="1"/>
  <c r="R642" i="1"/>
  <c r="T642" i="1" s="1"/>
  <c r="R641" i="1"/>
  <c r="T641" i="1" s="1"/>
  <c r="R640" i="1"/>
  <c r="T640" i="1" s="1"/>
  <c r="R639" i="1"/>
  <c r="T639" i="1" s="1"/>
  <c r="R635" i="1"/>
  <c r="T635" i="1" s="1"/>
  <c r="R634" i="1"/>
  <c r="T634" i="1" s="1"/>
  <c r="R633" i="1"/>
  <c r="T633" i="1" s="1"/>
  <c r="R626" i="1"/>
  <c r="T626" i="1" s="1"/>
  <c r="R625" i="1"/>
  <c r="T625" i="1" s="1"/>
  <c r="R623" i="1"/>
  <c r="T623" i="1" s="1"/>
  <c r="R622" i="1"/>
  <c r="T622" i="1" s="1"/>
  <c r="R620" i="1"/>
  <c r="T620" i="1" s="1"/>
  <c r="R618" i="1"/>
  <c r="T618" i="1" s="1"/>
  <c r="R617" i="1"/>
  <c r="T617" i="1" s="1"/>
  <c r="R616" i="1"/>
  <c r="T616" i="1" s="1"/>
  <c r="R615" i="1"/>
  <c r="T615" i="1" s="1"/>
  <c r="R614" i="1"/>
  <c r="T614" i="1" s="1"/>
  <c r="R613" i="1"/>
  <c r="T613" i="1" s="1"/>
  <c r="R612" i="1"/>
  <c r="T612" i="1" s="1"/>
  <c r="R611" i="1"/>
  <c r="T611" i="1" s="1"/>
  <c r="R610" i="1"/>
  <c r="T610" i="1" s="1"/>
  <c r="R609" i="1"/>
  <c r="T609" i="1" s="1"/>
  <c r="R608" i="1"/>
  <c r="T608" i="1" s="1"/>
  <c r="R607" i="1"/>
  <c r="T607" i="1" s="1"/>
  <c r="R606" i="1"/>
  <c r="T606" i="1" s="1"/>
  <c r="R605" i="1"/>
  <c r="T605" i="1" s="1"/>
  <c r="R602" i="1"/>
  <c r="T602" i="1" s="1"/>
  <c r="R601" i="1"/>
  <c r="T601" i="1" s="1"/>
  <c r="R600" i="1"/>
  <c r="T600" i="1" s="1"/>
  <c r="R599" i="1"/>
  <c r="T599" i="1" s="1"/>
  <c r="R598" i="1"/>
  <c r="T598" i="1" s="1"/>
  <c r="R597" i="1"/>
  <c r="T597" i="1" s="1"/>
  <c r="R596" i="1"/>
  <c r="T596" i="1" s="1"/>
  <c r="R595" i="1"/>
  <c r="T595" i="1" s="1"/>
  <c r="R594" i="1"/>
  <c r="T594" i="1" s="1"/>
  <c r="R593" i="1"/>
  <c r="T593" i="1" s="1"/>
  <c r="R592" i="1"/>
  <c r="T592" i="1" s="1"/>
  <c r="R590" i="1"/>
  <c r="T590" i="1" s="1"/>
  <c r="R589" i="1"/>
  <c r="T589" i="1" s="1"/>
  <c r="R588" i="1"/>
  <c r="T588" i="1" s="1"/>
  <c r="R583" i="1"/>
  <c r="T583" i="1" s="1"/>
  <c r="R582" i="1"/>
  <c r="T582" i="1" s="1"/>
  <c r="R581" i="1"/>
  <c r="T581" i="1" s="1"/>
  <c r="R580" i="1"/>
  <c r="T580" i="1" s="1"/>
  <c r="R579" i="1"/>
  <c r="T579" i="1" s="1"/>
  <c r="R578" i="1"/>
  <c r="T578" i="1" s="1"/>
  <c r="R577" i="1"/>
  <c r="T577" i="1" s="1"/>
  <c r="R576" i="1"/>
  <c r="T576" i="1" s="1"/>
  <c r="R575" i="1"/>
  <c r="T575" i="1" s="1"/>
  <c r="R574" i="1"/>
  <c r="T574" i="1" s="1"/>
  <c r="R573" i="1"/>
  <c r="T573" i="1" s="1"/>
  <c r="R570" i="1"/>
  <c r="T570" i="1" s="1"/>
  <c r="R568" i="1"/>
  <c r="T568" i="1" s="1"/>
  <c r="R567" i="1"/>
  <c r="T567" i="1" s="1"/>
  <c r="R566" i="1"/>
  <c r="T566" i="1" s="1"/>
  <c r="R564" i="1"/>
  <c r="T564" i="1" s="1"/>
  <c r="R562" i="1"/>
  <c r="T562" i="1" s="1"/>
  <c r="R559" i="1"/>
  <c r="T559" i="1" s="1"/>
  <c r="R557" i="1"/>
  <c r="T557" i="1" s="1"/>
  <c r="R556" i="1"/>
  <c r="T556" i="1" s="1"/>
  <c r="R554" i="1"/>
  <c r="T554" i="1" s="1"/>
  <c r="R553" i="1"/>
  <c r="T553" i="1" s="1"/>
  <c r="R552" i="1"/>
  <c r="T552" i="1" s="1"/>
  <c r="R551" i="1"/>
  <c r="T551" i="1" s="1"/>
  <c r="R549" i="1"/>
  <c r="T549" i="1" s="1"/>
  <c r="R548" i="1"/>
  <c r="T548" i="1" s="1"/>
  <c r="R547" i="1"/>
  <c r="T547" i="1" s="1"/>
  <c r="R546" i="1"/>
  <c r="T546" i="1" s="1"/>
  <c r="R545" i="1"/>
  <c r="T545" i="1" s="1"/>
  <c r="R544" i="1"/>
  <c r="T544" i="1" s="1"/>
  <c r="R543" i="1"/>
  <c r="T543" i="1" s="1"/>
  <c r="R542" i="1"/>
  <c r="T542" i="1" s="1"/>
  <c r="R540" i="1"/>
  <c r="T540" i="1" s="1"/>
  <c r="R539" i="1"/>
  <c r="T539" i="1" s="1"/>
  <c r="R538" i="1"/>
  <c r="T538" i="1" s="1"/>
  <c r="R536" i="1"/>
  <c r="T536" i="1" s="1"/>
  <c r="R535" i="1"/>
  <c r="T535" i="1" s="1"/>
  <c r="R532" i="1"/>
  <c r="T532" i="1" s="1"/>
  <c r="R531" i="1"/>
  <c r="T531" i="1" s="1"/>
  <c r="R530" i="1"/>
  <c r="T530" i="1" s="1"/>
  <c r="R528" i="1"/>
  <c r="T528" i="1" s="1"/>
  <c r="R527" i="1"/>
  <c r="T527" i="1" s="1"/>
  <c r="R526" i="1"/>
  <c r="T526" i="1" s="1"/>
  <c r="R525" i="1"/>
  <c r="T525" i="1" s="1"/>
  <c r="R524" i="1"/>
  <c r="T524" i="1" s="1"/>
  <c r="R523" i="1"/>
  <c r="T523" i="1" s="1"/>
  <c r="R522" i="1"/>
  <c r="T522" i="1" s="1"/>
  <c r="R521" i="1"/>
  <c r="T521" i="1" s="1"/>
  <c r="R520" i="1"/>
  <c r="T520" i="1" s="1"/>
  <c r="R519" i="1"/>
  <c r="T519" i="1" s="1"/>
  <c r="R518" i="1"/>
  <c r="T518" i="1" s="1"/>
  <c r="R517" i="1"/>
  <c r="T517" i="1" s="1"/>
  <c r="R516" i="1"/>
  <c r="T516" i="1" s="1"/>
  <c r="R513" i="1"/>
  <c r="T513" i="1" s="1"/>
  <c r="R512" i="1"/>
  <c r="T512" i="1" s="1"/>
  <c r="R510" i="1"/>
  <c r="T510" i="1" s="1"/>
  <c r="R507" i="1"/>
  <c r="T507" i="1" s="1"/>
  <c r="R506" i="1"/>
  <c r="T506" i="1" s="1"/>
  <c r="R504" i="1"/>
  <c r="T504" i="1" s="1"/>
  <c r="R502" i="1"/>
  <c r="T502" i="1" s="1"/>
  <c r="R501" i="1"/>
  <c r="T501" i="1" s="1"/>
  <c r="R500" i="1"/>
  <c r="T500" i="1" s="1"/>
  <c r="R499" i="1"/>
  <c r="T499" i="1" s="1"/>
  <c r="R498" i="1"/>
  <c r="T498" i="1" s="1"/>
  <c r="R497" i="1"/>
  <c r="T497" i="1" s="1"/>
  <c r="R496" i="1"/>
  <c r="T496" i="1" s="1"/>
  <c r="R495" i="1"/>
  <c r="T495" i="1" s="1"/>
  <c r="R494" i="1"/>
  <c r="T494" i="1" s="1"/>
  <c r="R493" i="1"/>
  <c r="T493" i="1" s="1"/>
  <c r="R492" i="1"/>
  <c r="T492" i="1" s="1"/>
  <c r="R491" i="1"/>
  <c r="T491" i="1" s="1"/>
  <c r="R490" i="1"/>
  <c r="T490" i="1" s="1"/>
  <c r="R489" i="1"/>
  <c r="T489" i="1" s="1"/>
  <c r="R488" i="1"/>
  <c r="T488" i="1" s="1"/>
  <c r="R487" i="1"/>
  <c r="T487" i="1" s="1"/>
  <c r="R486" i="1"/>
  <c r="T486" i="1" s="1"/>
  <c r="R485" i="1"/>
  <c r="T485" i="1" s="1"/>
  <c r="R484" i="1"/>
  <c r="T484" i="1" s="1"/>
  <c r="R483" i="1"/>
  <c r="T483" i="1" s="1"/>
  <c r="R481" i="1"/>
  <c r="T481" i="1" s="1"/>
  <c r="R479" i="1"/>
  <c r="T479" i="1" s="1"/>
  <c r="R478" i="1"/>
  <c r="T478" i="1" s="1"/>
  <c r="R477" i="1"/>
  <c r="T477" i="1" s="1"/>
  <c r="R476" i="1"/>
  <c r="T476" i="1" s="1"/>
  <c r="R474" i="1"/>
  <c r="T474" i="1" s="1"/>
  <c r="R468" i="1"/>
  <c r="T468" i="1" s="1"/>
  <c r="R467" i="1"/>
  <c r="T467" i="1" s="1"/>
  <c r="R466" i="1"/>
  <c r="T466" i="1" s="1"/>
  <c r="R465" i="1"/>
  <c r="T465" i="1" s="1"/>
  <c r="R463" i="1"/>
  <c r="T463" i="1" s="1"/>
  <c r="R462" i="1"/>
  <c r="T462" i="1" s="1"/>
  <c r="R461" i="1"/>
  <c r="T461" i="1" s="1"/>
  <c r="R460" i="1"/>
  <c r="T460" i="1" s="1"/>
  <c r="R459" i="1"/>
  <c r="T459" i="1" s="1"/>
  <c r="R458" i="1"/>
  <c r="T458" i="1" s="1"/>
  <c r="R457" i="1"/>
  <c r="T457" i="1" s="1"/>
  <c r="R456" i="1"/>
  <c r="T456" i="1" s="1"/>
  <c r="R455" i="1"/>
  <c r="T455" i="1" s="1"/>
  <c r="R454" i="1"/>
  <c r="T454" i="1" s="1"/>
  <c r="R453" i="1"/>
  <c r="T453" i="1" s="1"/>
  <c r="R452" i="1"/>
  <c r="T452" i="1" s="1"/>
  <c r="R451" i="1"/>
  <c r="T451" i="1" s="1"/>
  <c r="R450" i="1"/>
  <c r="T450" i="1" s="1"/>
  <c r="R449" i="1"/>
  <c r="T449" i="1" s="1"/>
  <c r="R448" i="1"/>
  <c r="T448" i="1" s="1"/>
  <c r="R447" i="1"/>
  <c r="T447" i="1" s="1"/>
  <c r="R446" i="1"/>
  <c r="T446" i="1" s="1"/>
  <c r="R445" i="1"/>
  <c r="T445" i="1" s="1"/>
  <c r="R444" i="1"/>
  <c r="T444" i="1" s="1"/>
  <c r="R443" i="1"/>
  <c r="T443" i="1" s="1"/>
  <c r="R442" i="1"/>
  <c r="T442" i="1" s="1"/>
  <c r="R441" i="1"/>
  <c r="T441" i="1" s="1"/>
  <c r="R440" i="1"/>
  <c r="T440" i="1" s="1"/>
  <c r="R439" i="1"/>
  <c r="T439" i="1" s="1"/>
  <c r="R438" i="1"/>
  <c r="T438" i="1" s="1"/>
  <c r="R437" i="1"/>
  <c r="T437" i="1" s="1"/>
  <c r="R436" i="1"/>
  <c r="T436" i="1" s="1"/>
  <c r="R435" i="1"/>
  <c r="T435" i="1" s="1"/>
  <c r="R434" i="1"/>
  <c r="T434" i="1" s="1"/>
  <c r="R433" i="1"/>
  <c r="T433" i="1" s="1"/>
  <c r="R432" i="1"/>
  <c r="T432" i="1" s="1"/>
  <c r="R425" i="1"/>
  <c r="T425" i="1" s="1"/>
  <c r="R424" i="1"/>
  <c r="T424" i="1" s="1"/>
  <c r="R423" i="1"/>
  <c r="T423" i="1" s="1"/>
  <c r="R422" i="1"/>
  <c r="T422" i="1" s="1"/>
  <c r="R421" i="1"/>
  <c r="T421" i="1" s="1"/>
  <c r="R420" i="1"/>
  <c r="T420" i="1" s="1"/>
  <c r="R419" i="1"/>
  <c r="T419" i="1" s="1"/>
  <c r="R418" i="1"/>
  <c r="T418" i="1" s="1"/>
  <c r="R417" i="1"/>
  <c r="T417" i="1" s="1"/>
  <c r="R416" i="1"/>
  <c r="T416" i="1" s="1"/>
  <c r="R415" i="1"/>
  <c r="T415" i="1" s="1"/>
  <c r="R414" i="1"/>
  <c r="T414" i="1" s="1"/>
  <c r="R413" i="1"/>
  <c r="T413" i="1" s="1"/>
  <c r="R412" i="1"/>
  <c r="T412" i="1" s="1"/>
  <c r="R411" i="1"/>
  <c r="T411" i="1" s="1"/>
  <c r="R410" i="1"/>
  <c r="T410" i="1" s="1"/>
  <c r="R408" i="1"/>
  <c r="T408" i="1" s="1"/>
  <c r="R407" i="1"/>
  <c r="T407" i="1" s="1"/>
  <c r="R406" i="1"/>
  <c r="T406" i="1" s="1"/>
  <c r="R405" i="1"/>
  <c r="T405" i="1" s="1"/>
  <c r="R403" i="1"/>
  <c r="T403" i="1" s="1"/>
  <c r="R400" i="1"/>
  <c r="T400" i="1" s="1"/>
  <c r="R399" i="1"/>
  <c r="T399" i="1" s="1"/>
  <c r="R398" i="1"/>
  <c r="T398" i="1" s="1"/>
  <c r="R397" i="1"/>
  <c r="T397" i="1" s="1"/>
  <c r="R393" i="1"/>
  <c r="T393" i="1" s="1"/>
  <c r="R392" i="1"/>
  <c r="T392" i="1" s="1"/>
  <c r="R391" i="1"/>
  <c r="T391" i="1" s="1"/>
  <c r="R390" i="1"/>
  <c r="T390" i="1" s="1"/>
  <c r="R389" i="1"/>
  <c r="T389" i="1" s="1"/>
  <c r="R387" i="1"/>
  <c r="T387" i="1" s="1"/>
  <c r="R386" i="1"/>
  <c r="T386" i="1" s="1"/>
  <c r="R384" i="1"/>
  <c r="T384" i="1" s="1"/>
  <c r="R383" i="1"/>
  <c r="T383" i="1" s="1"/>
  <c r="R382" i="1"/>
  <c r="T382" i="1" s="1"/>
  <c r="R379" i="1"/>
  <c r="T379" i="1" s="1"/>
  <c r="R376" i="1"/>
  <c r="T376" i="1" s="1"/>
  <c r="R375" i="1"/>
  <c r="T375" i="1" s="1"/>
  <c r="R374" i="1"/>
  <c r="T374" i="1" s="1"/>
  <c r="R373" i="1"/>
  <c r="T373" i="1" s="1"/>
  <c r="R372" i="1"/>
  <c r="T372" i="1" s="1"/>
  <c r="R371" i="1"/>
  <c r="T371" i="1" s="1"/>
  <c r="R370" i="1"/>
  <c r="T370" i="1" s="1"/>
  <c r="R369" i="1"/>
  <c r="T369" i="1" s="1"/>
  <c r="R368" i="1"/>
  <c r="T368" i="1" s="1"/>
  <c r="R367" i="1"/>
  <c r="T367" i="1" s="1"/>
  <c r="R366" i="1"/>
  <c r="T366" i="1" s="1"/>
  <c r="R365" i="1"/>
  <c r="T365" i="1" s="1"/>
  <c r="R364" i="1"/>
  <c r="T364" i="1" s="1"/>
  <c r="R363" i="1"/>
  <c r="T363" i="1" s="1"/>
  <c r="R362" i="1"/>
  <c r="T362" i="1" s="1"/>
  <c r="R361" i="1"/>
  <c r="T361" i="1" s="1"/>
  <c r="R360" i="1"/>
  <c r="T360" i="1" s="1"/>
  <c r="R359" i="1"/>
  <c r="T359" i="1" s="1"/>
  <c r="R358" i="1"/>
  <c r="T358" i="1" s="1"/>
  <c r="R357" i="1"/>
  <c r="T357" i="1" s="1"/>
  <c r="R356" i="1"/>
  <c r="T356" i="1" s="1"/>
  <c r="R355" i="1"/>
  <c r="T355" i="1" s="1"/>
  <c r="R354" i="1"/>
  <c r="T354" i="1" s="1"/>
  <c r="R353" i="1"/>
  <c r="T353" i="1" s="1"/>
  <c r="R352" i="1"/>
  <c r="T352" i="1" s="1"/>
  <c r="R351" i="1"/>
  <c r="T351" i="1" s="1"/>
  <c r="R350" i="1"/>
  <c r="T350" i="1" s="1"/>
  <c r="R349" i="1"/>
  <c r="T349" i="1" s="1"/>
  <c r="R348" i="1"/>
  <c r="T348" i="1" s="1"/>
  <c r="R347" i="1"/>
  <c r="T347" i="1" s="1"/>
  <c r="R346" i="1"/>
  <c r="T346" i="1" s="1"/>
  <c r="R345" i="1"/>
  <c r="T345" i="1" s="1"/>
  <c r="R344" i="1"/>
  <c r="T344" i="1" s="1"/>
  <c r="R343" i="1"/>
  <c r="T343" i="1" s="1"/>
  <c r="R342" i="1"/>
  <c r="T342" i="1" s="1"/>
  <c r="R341" i="1"/>
  <c r="T341" i="1" s="1"/>
  <c r="R340" i="1"/>
  <c r="T340" i="1" s="1"/>
  <c r="R339" i="1"/>
  <c r="T339" i="1" s="1"/>
  <c r="R336" i="1"/>
  <c r="T336" i="1" s="1"/>
  <c r="R335" i="1"/>
  <c r="T335" i="1" s="1"/>
  <c r="R334" i="1"/>
  <c r="T334" i="1" s="1"/>
  <c r="R333" i="1"/>
  <c r="T333" i="1" s="1"/>
  <c r="R330" i="1"/>
  <c r="T330" i="1" s="1"/>
  <c r="R329" i="1"/>
  <c r="T329" i="1" s="1"/>
  <c r="R328" i="1"/>
  <c r="T328" i="1" s="1"/>
  <c r="R326" i="1"/>
  <c r="T326" i="1" s="1"/>
  <c r="R324" i="1"/>
  <c r="T324" i="1" s="1"/>
  <c r="R320" i="1"/>
  <c r="T320" i="1" s="1"/>
  <c r="R318" i="1"/>
  <c r="T318" i="1" s="1"/>
  <c r="R317" i="1"/>
  <c r="T317" i="1" s="1"/>
  <c r="R313" i="1"/>
  <c r="T313" i="1" s="1"/>
  <c r="R312" i="1"/>
  <c r="T312" i="1" s="1"/>
  <c r="R311" i="1"/>
  <c r="T311" i="1" s="1"/>
  <c r="R310" i="1"/>
  <c r="T310" i="1" s="1"/>
  <c r="R309" i="1"/>
  <c r="T309" i="1" s="1"/>
  <c r="R308" i="1"/>
  <c r="T308" i="1" s="1"/>
  <c r="R307" i="1"/>
  <c r="T307" i="1" s="1"/>
  <c r="R306" i="1"/>
  <c r="T306" i="1" s="1"/>
  <c r="R305" i="1"/>
  <c r="T305" i="1" s="1"/>
  <c r="R304" i="1"/>
  <c r="T304" i="1" s="1"/>
  <c r="R303" i="1"/>
  <c r="T303" i="1" s="1"/>
  <c r="R302" i="1"/>
  <c r="T302" i="1" s="1"/>
  <c r="R301" i="1"/>
  <c r="T301" i="1" s="1"/>
  <c r="R300" i="1"/>
  <c r="T300" i="1" s="1"/>
  <c r="R299" i="1"/>
  <c r="T299" i="1" s="1"/>
  <c r="R298" i="1"/>
  <c r="T298" i="1" s="1"/>
  <c r="R297" i="1"/>
  <c r="T297" i="1" s="1"/>
  <c r="R296" i="1"/>
  <c r="T296" i="1" s="1"/>
  <c r="R295" i="1"/>
  <c r="T295" i="1" s="1"/>
  <c r="R294" i="1"/>
  <c r="T294" i="1" s="1"/>
  <c r="R293" i="1"/>
  <c r="T293" i="1" s="1"/>
  <c r="R292" i="1"/>
  <c r="T292" i="1" s="1"/>
  <c r="R291" i="1"/>
  <c r="T291" i="1" s="1"/>
  <c r="R290" i="1"/>
  <c r="T290" i="1" s="1"/>
  <c r="R289" i="1"/>
  <c r="T289" i="1" s="1"/>
  <c r="R288" i="1"/>
  <c r="T288" i="1" s="1"/>
  <c r="R287" i="1"/>
  <c r="T287" i="1" s="1"/>
  <c r="R286" i="1"/>
  <c r="T286" i="1" s="1"/>
  <c r="R285" i="1"/>
  <c r="T285" i="1" s="1"/>
  <c r="R284" i="1"/>
  <c r="T284" i="1" s="1"/>
  <c r="R283" i="1"/>
  <c r="T283" i="1" s="1"/>
  <c r="R282" i="1"/>
  <c r="T282" i="1" s="1"/>
  <c r="R279" i="1"/>
  <c r="T279" i="1" s="1"/>
  <c r="R278" i="1"/>
  <c r="T278" i="1" s="1"/>
  <c r="R277" i="1"/>
  <c r="T277" i="1" s="1"/>
  <c r="R276" i="1"/>
  <c r="T276" i="1" s="1"/>
  <c r="R275" i="1"/>
  <c r="T275" i="1" s="1"/>
  <c r="R270" i="1"/>
  <c r="T270" i="1" s="1"/>
  <c r="R269" i="1"/>
  <c r="T269" i="1" s="1"/>
  <c r="R267" i="1"/>
  <c r="T267" i="1" s="1"/>
  <c r="R261" i="1"/>
  <c r="T261" i="1" s="1"/>
  <c r="R260" i="1"/>
  <c r="T260" i="1" s="1"/>
  <c r="R258" i="1"/>
  <c r="T258" i="1" s="1"/>
  <c r="R257" i="1"/>
  <c r="T257" i="1" s="1"/>
  <c r="R256" i="1"/>
  <c r="T256" i="1" s="1"/>
  <c r="R255" i="1"/>
  <c r="T255" i="1" s="1"/>
  <c r="R253" i="1"/>
  <c r="T253" i="1" s="1"/>
  <c r="R252" i="1"/>
  <c r="T252" i="1" s="1"/>
  <c r="R251" i="1"/>
  <c r="T251" i="1" s="1"/>
  <c r="R250" i="1"/>
  <c r="T250" i="1" s="1"/>
  <c r="R249" i="1"/>
  <c r="T249" i="1" s="1"/>
  <c r="R248" i="1"/>
  <c r="T248" i="1" s="1"/>
  <c r="R247" i="1"/>
  <c r="T247" i="1" s="1"/>
  <c r="R246" i="1"/>
  <c r="T246" i="1" s="1"/>
  <c r="R245" i="1"/>
  <c r="T245" i="1" s="1"/>
  <c r="R244" i="1"/>
  <c r="T244" i="1" s="1"/>
  <c r="R243" i="1"/>
  <c r="T243" i="1" s="1"/>
  <c r="R242" i="1"/>
  <c r="T242" i="1" s="1"/>
  <c r="R241" i="1"/>
  <c r="T241" i="1" s="1"/>
  <c r="R240" i="1"/>
  <c r="T240" i="1" s="1"/>
  <c r="R239" i="1"/>
  <c r="T239" i="1" s="1"/>
  <c r="R238" i="1"/>
  <c r="T238" i="1" s="1"/>
  <c r="R237" i="1"/>
  <c r="T237" i="1" s="1"/>
  <c r="R236" i="1"/>
  <c r="T236" i="1" s="1"/>
  <c r="R235" i="1"/>
  <c r="T235" i="1" s="1"/>
  <c r="R234" i="1"/>
  <c r="T234" i="1" s="1"/>
  <c r="R233" i="1"/>
  <c r="T233" i="1" s="1"/>
  <c r="R232" i="1"/>
  <c r="T232" i="1" s="1"/>
  <c r="R231" i="1"/>
  <c r="T231" i="1" s="1"/>
  <c r="R230" i="1"/>
  <c r="T230" i="1" s="1"/>
  <c r="R229" i="1"/>
  <c r="T229" i="1" s="1"/>
  <c r="R228" i="1"/>
  <c r="T228" i="1" s="1"/>
  <c r="R227" i="1"/>
  <c r="T227" i="1" s="1"/>
  <c r="R226" i="1"/>
  <c r="T226" i="1" s="1"/>
  <c r="R225" i="1"/>
  <c r="T225" i="1" s="1"/>
  <c r="R224" i="1"/>
  <c r="T224" i="1" s="1"/>
  <c r="R223" i="1"/>
  <c r="T223" i="1" s="1"/>
  <c r="R222" i="1"/>
  <c r="T222" i="1" s="1"/>
  <c r="R221" i="1"/>
  <c r="T221" i="1" s="1"/>
  <c r="R220" i="1"/>
  <c r="T220" i="1" s="1"/>
  <c r="R219" i="1"/>
  <c r="T219" i="1" s="1"/>
  <c r="R218" i="1"/>
  <c r="T218" i="1" s="1"/>
  <c r="R217" i="1"/>
  <c r="T217" i="1" s="1"/>
  <c r="R216" i="1"/>
  <c r="T216" i="1" s="1"/>
  <c r="R215" i="1"/>
  <c r="T215" i="1" s="1"/>
  <c r="R214" i="1"/>
  <c r="T214" i="1" s="1"/>
  <c r="R213" i="1"/>
  <c r="T213" i="1" s="1"/>
  <c r="R212" i="1"/>
  <c r="T212" i="1" s="1"/>
  <c r="R211" i="1"/>
  <c r="T211" i="1" s="1"/>
  <c r="R210" i="1"/>
  <c r="T210" i="1" s="1"/>
  <c r="R209" i="1"/>
  <c r="T209" i="1" s="1"/>
  <c r="R208" i="1"/>
  <c r="T208" i="1" s="1"/>
  <c r="R207" i="1"/>
  <c r="T207" i="1" s="1"/>
  <c r="R206" i="1"/>
  <c r="T206" i="1" s="1"/>
  <c r="R205" i="1"/>
  <c r="T205" i="1" s="1"/>
  <c r="R204" i="1"/>
  <c r="T204" i="1" s="1"/>
  <c r="R203" i="1"/>
  <c r="T203" i="1" s="1"/>
  <c r="R201" i="1"/>
  <c r="T201" i="1" s="1"/>
  <c r="R200" i="1"/>
  <c r="T200" i="1" s="1"/>
  <c r="R199" i="1"/>
  <c r="T199" i="1" s="1"/>
  <c r="R198" i="1"/>
  <c r="T198" i="1" s="1"/>
  <c r="R197" i="1"/>
  <c r="T197" i="1" s="1"/>
  <c r="R196" i="1"/>
  <c r="T196" i="1" s="1"/>
  <c r="R195" i="1"/>
  <c r="T195" i="1" s="1"/>
  <c r="R194" i="1"/>
  <c r="T194" i="1" s="1"/>
  <c r="R193" i="1"/>
  <c r="T193" i="1" s="1"/>
  <c r="R192" i="1"/>
  <c r="T192" i="1" s="1"/>
  <c r="R191" i="1"/>
  <c r="T191" i="1" s="1"/>
  <c r="R190" i="1"/>
  <c r="T190" i="1" s="1"/>
  <c r="R189" i="1"/>
  <c r="T189" i="1" s="1"/>
  <c r="R188" i="1"/>
  <c r="T188" i="1" s="1"/>
  <c r="R187" i="1"/>
  <c r="T187" i="1" s="1"/>
  <c r="R186" i="1"/>
  <c r="T186" i="1" s="1"/>
  <c r="R185" i="1"/>
  <c r="T185" i="1" s="1"/>
  <c r="R183" i="1"/>
  <c r="T183" i="1" s="1"/>
  <c r="R182" i="1"/>
  <c r="T182" i="1" s="1"/>
  <c r="R181" i="1"/>
  <c r="T181" i="1" s="1"/>
  <c r="R179" i="1"/>
  <c r="T179" i="1" s="1"/>
  <c r="R178" i="1"/>
  <c r="T178" i="1" s="1"/>
  <c r="R176" i="1"/>
  <c r="T176" i="1" s="1"/>
  <c r="R175" i="1"/>
  <c r="T175" i="1" s="1"/>
  <c r="R174" i="1"/>
  <c r="T174" i="1" s="1"/>
  <c r="R173" i="1"/>
  <c r="T173" i="1" s="1"/>
  <c r="R171" i="1"/>
  <c r="T171" i="1" s="1"/>
  <c r="R170" i="1"/>
  <c r="T170" i="1" s="1"/>
  <c r="R169" i="1"/>
  <c r="T169" i="1" s="1"/>
  <c r="R165" i="1"/>
  <c r="T165" i="1" s="1"/>
  <c r="R164" i="1"/>
  <c r="T164" i="1" s="1"/>
  <c r="R163" i="1"/>
  <c r="T163" i="1" s="1"/>
  <c r="R162" i="1"/>
  <c r="T162" i="1" s="1"/>
  <c r="R161" i="1"/>
  <c r="T161" i="1" s="1"/>
  <c r="R160" i="1"/>
  <c r="T160" i="1" s="1"/>
  <c r="R159" i="1"/>
  <c r="T159" i="1" s="1"/>
  <c r="R158" i="1"/>
  <c r="T158" i="1" s="1"/>
  <c r="R157" i="1"/>
  <c r="T157" i="1" s="1"/>
  <c r="R156" i="1"/>
  <c r="T156" i="1" s="1"/>
  <c r="R155" i="1"/>
  <c r="T155" i="1" s="1"/>
  <c r="R154" i="1"/>
  <c r="T154" i="1" s="1"/>
  <c r="R153" i="1"/>
  <c r="T153" i="1" s="1"/>
  <c r="R152" i="1"/>
  <c r="T152" i="1" s="1"/>
  <c r="R151" i="1"/>
  <c r="T151" i="1" s="1"/>
  <c r="R149" i="1"/>
  <c r="T149" i="1" s="1"/>
  <c r="R148" i="1"/>
  <c r="T148" i="1" s="1"/>
  <c r="R146" i="1"/>
  <c r="T146" i="1" s="1"/>
  <c r="R144" i="1"/>
  <c r="T144" i="1" s="1"/>
  <c r="R143" i="1"/>
  <c r="T143" i="1" s="1"/>
  <c r="R138" i="1"/>
  <c r="T138" i="1" s="1"/>
  <c r="R136" i="1"/>
  <c r="T136" i="1" s="1"/>
  <c r="R135" i="1"/>
  <c r="T135" i="1" s="1"/>
  <c r="R134" i="1"/>
  <c r="T134" i="1" s="1"/>
  <c r="R133" i="1"/>
  <c r="T133" i="1" s="1"/>
  <c r="R131" i="1"/>
  <c r="T131" i="1" s="1"/>
  <c r="R130" i="1"/>
  <c r="T130" i="1" s="1"/>
  <c r="R129" i="1"/>
  <c r="T129" i="1" s="1"/>
  <c r="R128" i="1"/>
  <c r="T128" i="1" s="1"/>
  <c r="R125" i="1"/>
  <c r="T125" i="1" s="1"/>
  <c r="R123" i="1"/>
  <c r="T123" i="1" s="1"/>
  <c r="R122" i="1"/>
  <c r="T122" i="1" s="1"/>
  <c r="R114" i="1"/>
  <c r="T114" i="1" s="1"/>
  <c r="R113" i="1"/>
  <c r="T113" i="1" s="1"/>
  <c r="R112" i="1"/>
  <c r="T112" i="1" s="1"/>
  <c r="R111" i="1"/>
  <c r="T111" i="1" s="1"/>
  <c r="R110" i="1"/>
  <c r="T110" i="1" s="1"/>
  <c r="R109" i="1"/>
  <c r="T109" i="1" s="1"/>
  <c r="R108" i="1"/>
  <c r="T108" i="1" s="1"/>
  <c r="R107" i="1"/>
  <c r="T107" i="1" s="1"/>
  <c r="R104" i="1"/>
  <c r="T104" i="1" s="1"/>
  <c r="R91" i="1"/>
  <c r="T91" i="1" s="1"/>
  <c r="R90" i="1"/>
  <c r="T90" i="1" s="1"/>
  <c r="R89" i="1"/>
  <c r="T89" i="1" s="1"/>
  <c r="R88" i="1"/>
  <c r="T88" i="1" s="1"/>
  <c r="R87" i="1"/>
  <c r="T87" i="1" s="1"/>
  <c r="R86" i="1"/>
  <c r="T86" i="1" s="1"/>
  <c r="R85" i="1"/>
  <c r="T85" i="1" s="1"/>
  <c r="R84" i="1"/>
  <c r="T84" i="1" s="1"/>
  <c r="R83" i="1"/>
  <c r="T83" i="1" s="1"/>
  <c r="R82" i="1"/>
  <c r="T82" i="1" s="1"/>
  <c r="R80" i="1"/>
  <c r="T80" i="1" s="1"/>
  <c r="R79" i="1"/>
  <c r="T79" i="1" s="1"/>
  <c r="R77" i="1"/>
  <c r="T77" i="1" s="1"/>
  <c r="R71" i="1"/>
  <c r="T71" i="1" s="1"/>
  <c r="R70" i="1"/>
  <c r="T70" i="1" s="1"/>
  <c r="R69" i="1"/>
  <c r="T69" i="1" s="1"/>
  <c r="R68" i="1"/>
  <c r="T68" i="1" s="1"/>
  <c r="R66" i="1"/>
  <c r="T66" i="1" s="1"/>
  <c r="R65" i="1"/>
  <c r="T65" i="1" s="1"/>
  <c r="R64" i="1"/>
  <c r="T64" i="1" s="1"/>
  <c r="R63" i="1"/>
  <c r="T63" i="1" s="1"/>
  <c r="R61" i="1"/>
  <c r="T61" i="1" s="1"/>
  <c r="R59" i="1"/>
  <c r="T59" i="1" s="1"/>
  <c r="R57" i="1"/>
  <c r="T57" i="1" s="1"/>
  <c r="R55" i="1"/>
  <c r="T55" i="1" s="1"/>
  <c r="R54" i="1"/>
  <c r="T54" i="1" s="1"/>
  <c r="R53" i="1"/>
  <c r="T53" i="1" s="1"/>
  <c r="R52" i="1"/>
  <c r="T52" i="1" s="1"/>
  <c r="R51" i="1"/>
  <c r="T51" i="1" s="1"/>
  <c r="R50" i="1"/>
  <c r="T50" i="1" s="1"/>
  <c r="R49" i="1"/>
  <c r="T49" i="1" s="1"/>
  <c r="R48" i="1"/>
  <c r="T48" i="1" s="1"/>
  <c r="R47" i="1"/>
  <c r="T47" i="1" s="1"/>
  <c r="R46" i="1"/>
  <c r="T46" i="1" s="1"/>
  <c r="R45" i="1"/>
  <c r="T45" i="1" s="1"/>
  <c r="R44" i="1"/>
  <c r="T44" i="1" s="1"/>
  <c r="R42" i="1"/>
  <c r="T42" i="1" s="1"/>
  <c r="R40" i="1"/>
  <c r="T40" i="1" s="1"/>
  <c r="R39" i="1"/>
  <c r="T39" i="1" s="1"/>
  <c r="R38" i="1"/>
  <c r="T38" i="1" s="1"/>
  <c r="R37" i="1"/>
  <c r="T37" i="1" s="1"/>
  <c r="R35" i="1"/>
  <c r="T35" i="1" s="1"/>
  <c r="R34" i="1"/>
  <c r="T34" i="1" s="1"/>
  <c r="R32" i="1"/>
  <c r="T32" i="1" s="1"/>
  <c r="R31" i="1"/>
  <c r="T31" i="1" s="1"/>
  <c r="R30" i="1"/>
  <c r="T30" i="1" s="1"/>
  <c r="R29" i="1"/>
  <c r="T29" i="1" s="1"/>
  <c r="R28" i="1"/>
  <c r="T28" i="1" s="1"/>
  <c r="R27" i="1"/>
  <c r="T27" i="1" s="1"/>
  <c r="R26" i="1"/>
  <c r="T26" i="1" s="1"/>
  <c r="R22" i="1"/>
  <c r="T22" i="1" s="1"/>
  <c r="R21" i="1"/>
  <c r="T21" i="1" s="1"/>
  <c r="R20" i="1"/>
  <c r="T20" i="1" s="1"/>
  <c r="R19" i="1"/>
  <c r="T19" i="1" s="1"/>
  <c r="R18" i="1"/>
  <c r="T18" i="1" s="1"/>
  <c r="R17" i="1"/>
  <c r="T17" i="1" s="1"/>
  <c r="R14" i="1"/>
  <c r="T14" i="1" s="1"/>
  <c r="R12" i="1"/>
  <c r="T12" i="1" s="1"/>
  <c r="R11" i="1"/>
  <c r="T11" i="1" s="1"/>
  <c r="R10" i="1"/>
  <c r="T10" i="1" s="1"/>
  <c r="R9" i="1"/>
  <c r="T9" i="1" s="1"/>
  <c r="R8" i="1"/>
  <c r="T8" i="1" s="1"/>
  <c r="R7" i="1"/>
  <c r="T7" i="1" s="1"/>
  <c r="R6" i="1"/>
  <c r="T6" i="1" s="1"/>
  <c r="M435" i="5" l="1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A206" i="5" l="1"/>
  <c r="A207" i="5"/>
  <c r="A208" i="5"/>
  <c r="D207" i="5"/>
  <c r="E207" i="5"/>
  <c r="F207" i="5"/>
  <c r="A224" i="2"/>
  <c r="D224" i="2"/>
  <c r="E224" i="2"/>
  <c r="F224" i="2"/>
  <c r="G224" i="2"/>
  <c r="K224" i="2" s="1"/>
  <c r="A22" i="5" l="1"/>
  <c r="I8" i="10" l="1"/>
  <c r="M4" i="5" l="1"/>
  <c r="M4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69" i="1"/>
  <c r="I1668" i="1"/>
  <c r="I1654" i="1"/>
  <c r="I1653" i="1"/>
  <c r="I1659" i="1"/>
  <c r="I1658" i="1"/>
  <c r="I1666" i="1"/>
  <c r="I1649" i="1"/>
  <c r="I1665" i="1"/>
  <c r="I1657" i="1"/>
  <c r="I1664" i="1"/>
  <c r="I1660" i="1"/>
  <c r="I1656" i="1"/>
  <c r="I1655" i="1"/>
  <c r="I1648" i="1"/>
  <c r="I1667" i="1"/>
  <c r="I1652" i="1"/>
  <c r="I1662" i="1"/>
  <c r="I1647" i="1"/>
  <c r="I1651" i="1"/>
  <c r="I1650" i="1"/>
  <c r="I1663" i="1"/>
  <c r="I1646" i="1"/>
  <c r="I1645" i="1"/>
  <c r="I1644" i="1"/>
  <c r="I1643" i="1"/>
  <c r="I1642" i="1"/>
  <c r="I1638" i="1"/>
  <c r="I1640" i="1"/>
  <c r="I1639" i="1"/>
  <c r="I1633" i="1"/>
  <c r="I1632" i="1"/>
  <c r="I1636" i="1"/>
  <c r="I1635" i="1"/>
  <c r="I1634" i="1"/>
  <c r="I1629" i="1"/>
  <c r="I1628" i="1"/>
  <c r="I1627" i="1"/>
  <c r="I1626" i="1"/>
  <c r="I1625" i="1"/>
  <c r="I1624" i="1"/>
  <c r="I1623" i="1"/>
  <c r="I1622" i="1"/>
  <c r="I1621" i="1"/>
  <c r="I1620" i="1"/>
  <c r="I1631" i="1"/>
  <c r="I1619" i="1"/>
  <c r="I1630" i="1"/>
  <c r="I1618" i="1"/>
  <c r="I1617" i="1"/>
  <c r="I1615" i="1"/>
  <c r="I1616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0" i="1"/>
  <c r="I1589" i="1"/>
  <c r="I1588" i="1"/>
  <c r="I1587" i="1"/>
  <c r="I1586" i="1"/>
  <c r="I1585" i="1"/>
  <c r="I1584" i="1"/>
  <c r="I1583" i="1"/>
  <c r="I1582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7" i="1"/>
  <c r="I1549" i="1"/>
  <c r="I1548" i="1"/>
  <c r="I1547" i="1"/>
  <c r="I1546" i="1"/>
  <c r="I1550" i="1"/>
  <c r="I1553" i="1"/>
  <c r="I1555" i="1"/>
  <c r="I1545" i="1"/>
  <c r="I1552" i="1"/>
  <c r="I1551" i="1"/>
  <c r="I1554" i="1"/>
  <c r="I1544" i="1"/>
  <c r="I1543" i="1"/>
  <c r="I1542" i="1"/>
  <c r="I1541" i="1"/>
  <c r="I1540" i="1"/>
  <c r="I1539" i="1"/>
  <c r="I1538" i="1"/>
  <c r="I1537" i="1"/>
  <c r="I1536" i="1"/>
  <c r="I1535" i="1"/>
  <c r="I1534" i="1"/>
  <c r="I1531" i="1"/>
  <c r="I1528" i="1"/>
  <c r="K1528" i="1" s="1"/>
  <c r="I1524" i="1"/>
  <c r="I1527" i="1"/>
  <c r="I1523" i="1"/>
  <c r="I1526" i="1"/>
  <c r="I1522" i="1"/>
  <c r="I1529" i="1"/>
  <c r="I1530" i="1"/>
  <c r="I1525" i="1"/>
  <c r="I1521" i="1"/>
  <c r="I1520" i="1"/>
  <c r="I1519" i="1"/>
  <c r="I1512" i="1"/>
  <c r="I1518" i="1"/>
  <c r="I1517" i="1"/>
  <c r="I1516" i="1"/>
  <c r="I1515" i="1"/>
  <c r="I1514" i="1"/>
  <c r="I1513" i="1"/>
  <c r="I1511" i="1"/>
  <c r="I1510" i="1"/>
  <c r="I1509" i="1"/>
  <c r="I1508" i="1"/>
  <c r="I1507" i="1"/>
  <c r="I1506" i="1"/>
  <c r="I1482" i="1"/>
  <c r="I1481" i="1"/>
  <c r="I1488" i="1"/>
  <c r="I1489" i="1"/>
  <c r="I1496" i="1"/>
  <c r="I1483" i="1"/>
  <c r="I1485" i="1"/>
  <c r="I1495" i="1"/>
  <c r="I1497" i="1"/>
  <c r="I1494" i="1"/>
  <c r="I1504" i="1"/>
  <c r="I1503" i="1"/>
  <c r="I1502" i="1"/>
  <c r="I1505" i="1"/>
  <c r="I1501" i="1"/>
  <c r="I1498" i="1"/>
  <c r="I1493" i="1"/>
  <c r="I1487" i="1"/>
  <c r="I1492" i="1"/>
  <c r="I1491" i="1"/>
  <c r="I1490" i="1"/>
  <c r="I1480" i="1"/>
  <c r="I1479" i="1"/>
  <c r="K1479" i="1" s="1"/>
  <c r="I1477" i="1"/>
  <c r="I1471" i="1"/>
  <c r="I1470" i="1"/>
  <c r="I1469" i="1"/>
  <c r="I1476" i="1"/>
  <c r="I1478" i="1"/>
  <c r="I1475" i="1"/>
  <c r="I1473" i="1"/>
  <c r="I1474" i="1"/>
  <c r="I1472" i="1"/>
  <c r="I1468" i="1"/>
  <c r="I1467" i="1"/>
  <c r="I1466" i="1"/>
  <c r="I1465" i="1"/>
  <c r="I1464" i="1"/>
  <c r="I1463" i="1"/>
  <c r="K1463" i="1" s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K1447" i="1" s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K1431" i="1" s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339" i="1"/>
  <c r="I1338" i="1"/>
  <c r="I1337" i="1"/>
  <c r="I1336" i="1"/>
  <c r="I1401" i="1"/>
  <c r="I1400" i="1"/>
  <c r="I1399" i="1"/>
  <c r="I1405" i="1"/>
  <c r="I1404" i="1"/>
  <c r="I1403" i="1"/>
  <c r="I1402" i="1"/>
  <c r="I1398" i="1"/>
  <c r="I1397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92" i="1"/>
  <c r="I1367" i="1"/>
  <c r="I1366" i="1"/>
  <c r="I1365" i="1"/>
  <c r="I1390" i="1"/>
  <c r="I1364" i="1"/>
  <c r="I1386" i="1"/>
  <c r="I1363" i="1"/>
  <c r="I1396" i="1"/>
  <c r="I1389" i="1"/>
  <c r="I1385" i="1"/>
  <c r="I1394" i="1"/>
  <c r="I1395" i="1"/>
  <c r="I1388" i="1"/>
  <c r="I1356" i="1"/>
  <c r="I1355" i="1"/>
  <c r="I1354" i="1"/>
  <c r="I1353" i="1"/>
  <c r="I1352" i="1"/>
  <c r="I1351" i="1"/>
  <c r="I1350" i="1"/>
  <c r="K1350" i="1" s="1"/>
  <c r="I1349" i="1"/>
  <c r="I1348" i="1"/>
  <c r="I1347" i="1"/>
  <c r="I1346" i="1"/>
  <c r="I1345" i="1"/>
  <c r="I1344" i="1"/>
  <c r="I1343" i="1"/>
  <c r="I1342" i="1"/>
  <c r="I1341" i="1"/>
  <c r="I1340" i="1"/>
  <c r="I1335" i="1"/>
  <c r="I1333" i="1"/>
  <c r="I1332" i="1"/>
  <c r="I1235" i="1"/>
  <c r="I1234" i="1"/>
  <c r="I1331" i="1"/>
  <c r="I1330" i="1"/>
  <c r="I1240" i="1"/>
  <c r="K1240" i="1" s="1"/>
  <c r="I1239" i="1"/>
  <c r="I1238" i="1"/>
  <c r="I1237" i="1"/>
  <c r="I1328" i="1"/>
  <c r="I1327" i="1"/>
  <c r="I1326" i="1"/>
  <c r="I1325" i="1"/>
  <c r="I1324" i="1"/>
  <c r="I1323" i="1"/>
  <c r="I1329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36" i="1"/>
  <c r="I1248" i="1"/>
  <c r="I1247" i="1"/>
  <c r="I1246" i="1"/>
  <c r="I1245" i="1"/>
  <c r="I1244" i="1"/>
  <c r="I1243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K1210" i="1" s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1" i="1"/>
  <c r="I1180" i="1"/>
  <c r="I1179" i="1"/>
  <c r="I1178" i="1"/>
  <c r="I1152" i="1"/>
  <c r="I1151" i="1"/>
  <c r="I1150" i="1"/>
  <c r="I1177" i="1"/>
  <c r="I1175" i="1"/>
  <c r="I1176" i="1"/>
  <c r="I1174" i="1"/>
  <c r="I1172" i="1"/>
  <c r="I1171" i="1"/>
  <c r="I1169" i="1"/>
  <c r="I1168" i="1"/>
  <c r="I1161" i="1"/>
  <c r="I1160" i="1"/>
  <c r="I1159" i="1"/>
  <c r="I1158" i="1"/>
  <c r="I1157" i="1"/>
  <c r="I1155" i="1"/>
  <c r="I1167" i="1"/>
  <c r="I1166" i="1"/>
  <c r="I1165" i="1"/>
  <c r="I1164" i="1"/>
  <c r="I1149" i="1"/>
  <c r="I1148" i="1"/>
  <c r="I1154" i="1"/>
  <c r="I1147" i="1"/>
  <c r="I1146" i="1"/>
  <c r="I1145" i="1"/>
  <c r="I1144" i="1"/>
  <c r="I1140" i="1"/>
  <c r="I1142" i="1"/>
  <c r="K1142" i="1" s="1"/>
  <c r="I1143" i="1"/>
  <c r="K1143" i="1" s="1"/>
  <c r="I1141" i="1"/>
  <c r="I1139" i="1"/>
  <c r="I1138" i="1"/>
  <c r="I1137" i="1"/>
  <c r="I1136" i="1"/>
  <c r="I1135" i="1"/>
  <c r="I1134" i="1"/>
  <c r="I1133" i="1"/>
  <c r="I1130" i="1"/>
  <c r="I1129" i="1"/>
  <c r="I1128" i="1"/>
  <c r="I1127" i="1"/>
  <c r="I1126" i="1"/>
  <c r="I1125" i="1"/>
  <c r="I1124" i="1"/>
  <c r="I1132" i="1"/>
  <c r="I1131" i="1"/>
  <c r="I1122" i="1"/>
  <c r="I1121" i="1"/>
  <c r="I1120" i="1"/>
  <c r="I1119" i="1"/>
  <c r="I1118" i="1"/>
  <c r="I1117" i="1"/>
  <c r="I1116" i="1"/>
  <c r="I1115" i="1"/>
  <c r="I1123" i="1"/>
  <c r="I1114" i="1"/>
  <c r="I1104" i="1"/>
  <c r="I1113" i="1"/>
  <c r="I1111" i="1"/>
  <c r="I1107" i="1"/>
  <c r="I1105" i="1"/>
  <c r="I1109" i="1"/>
  <c r="I1108" i="1"/>
  <c r="I1106" i="1"/>
  <c r="I1110" i="1"/>
  <c r="I1112" i="1"/>
  <c r="I378" i="1"/>
  <c r="I540" i="1"/>
  <c r="I539" i="1"/>
  <c r="I538" i="1"/>
  <c r="I537" i="1"/>
  <c r="I536" i="1"/>
  <c r="I535" i="1"/>
  <c r="I534" i="1"/>
  <c r="I533" i="1"/>
  <c r="K533" i="1" s="1"/>
  <c r="I532" i="1"/>
  <c r="I531" i="1"/>
  <c r="I530" i="1"/>
  <c r="I529" i="1"/>
  <c r="I528" i="1"/>
  <c r="I527" i="1"/>
  <c r="I526" i="1"/>
  <c r="I525" i="1"/>
  <c r="I524" i="1"/>
  <c r="I523" i="1"/>
  <c r="I513" i="1"/>
  <c r="I512" i="1"/>
  <c r="I511" i="1"/>
  <c r="I522" i="1"/>
  <c r="I521" i="1"/>
  <c r="I520" i="1"/>
  <c r="I519" i="1"/>
  <c r="I518" i="1"/>
  <c r="I517" i="1"/>
  <c r="I516" i="1"/>
  <c r="I515" i="1"/>
  <c r="I514" i="1"/>
  <c r="I509" i="1"/>
  <c r="I508" i="1"/>
  <c r="I510" i="1"/>
  <c r="I507" i="1"/>
  <c r="I506" i="1"/>
  <c r="I505" i="1"/>
  <c r="I504" i="1"/>
  <c r="I503" i="1"/>
  <c r="I502" i="1"/>
  <c r="I501" i="1"/>
  <c r="K501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541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26" i="1"/>
  <c r="I425" i="1"/>
  <c r="I424" i="1"/>
  <c r="I423" i="1"/>
  <c r="I422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5" i="1"/>
  <c r="I404" i="1"/>
  <c r="I403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77" i="1"/>
  <c r="I381" i="1"/>
  <c r="I380" i="1"/>
  <c r="I376" i="1"/>
  <c r="I375" i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338" i="1"/>
  <c r="I337" i="1"/>
  <c r="I336" i="1"/>
  <c r="I335" i="1"/>
  <c r="I333" i="1"/>
  <c r="I334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25" i="1"/>
  <c r="I29" i="1"/>
  <c r="I28" i="1"/>
  <c r="I2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5" i="1"/>
  <c r="I654" i="1"/>
  <c r="I652" i="1"/>
  <c r="I650" i="1"/>
  <c r="I649" i="1"/>
  <c r="I651" i="1"/>
  <c r="I648" i="1"/>
  <c r="I647" i="1"/>
  <c r="I646" i="1"/>
  <c r="I642" i="1"/>
  <c r="I641" i="1"/>
  <c r="I640" i="1"/>
  <c r="I639" i="1"/>
  <c r="I637" i="1"/>
  <c r="I636" i="1"/>
  <c r="I635" i="1"/>
  <c r="I634" i="1"/>
  <c r="I632" i="1"/>
  <c r="I631" i="1"/>
  <c r="I630" i="1"/>
  <c r="I629" i="1"/>
  <c r="I628" i="1"/>
  <c r="I627" i="1"/>
  <c r="I626" i="1"/>
  <c r="I625" i="1"/>
  <c r="I623" i="1"/>
  <c r="I621" i="1"/>
  <c r="I622" i="1"/>
  <c r="I619" i="1"/>
  <c r="I618" i="1"/>
  <c r="I571" i="1"/>
  <c r="I570" i="1"/>
  <c r="I569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599" i="1"/>
  <c r="I598" i="1"/>
  <c r="I597" i="1"/>
  <c r="I596" i="1"/>
  <c r="I593" i="1"/>
  <c r="I592" i="1"/>
  <c r="I591" i="1"/>
  <c r="I590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68" i="1"/>
  <c r="I567" i="1"/>
  <c r="I566" i="1"/>
  <c r="I564" i="1"/>
  <c r="I563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6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1075" i="1"/>
  <c r="I1074" i="1"/>
  <c r="I1081" i="1"/>
  <c r="I1080" i="1"/>
  <c r="I1079" i="1"/>
  <c r="I1078" i="1"/>
  <c r="I1077" i="1"/>
  <c r="I1102" i="1"/>
  <c r="I1101" i="1"/>
  <c r="I1100" i="1"/>
  <c r="I1099" i="1"/>
  <c r="I1072" i="1"/>
  <c r="I1071" i="1"/>
  <c r="I1073" i="1"/>
  <c r="I1076" i="1"/>
  <c r="I1103" i="1"/>
  <c r="I1070" i="1"/>
  <c r="I1069" i="1"/>
  <c r="I1057" i="1"/>
  <c r="I1068" i="1"/>
  <c r="I1067" i="1"/>
  <c r="I1066" i="1"/>
  <c r="I1065" i="1"/>
  <c r="I1056" i="1"/>
  <c r="I1064" i="1"/>
  <c r="I1055" i="1"/>
  <c r="I1063" i="1"/>
  <c r="I1087" i="1"/>
  <c r="I1086" i="1"/>
  <c r="I1085" i="1"/>
  <c r="I1084" i="1"/>
  <c r="I1083" i="1"/>
  <c r="I1098" i="1"/>
  <c r="I1097" i="1"/>
  <c r="I1096" i="1"/>
  <c r="I1095" i="1"/>
  <c r="I1094" i="1"/>
  <c r="I1093" i="1"/>
  <c r="I1052" i="1"/>
  <c r="I997" i="1"/>
  <c r="I996" i="1"/>
  <c r="I995" i="1"/>
  <c r="I994" i="1"/>
  <c r="I993" i="1"/>
  <c r="I992" i="1"/>
  <c r="I991" i="1"/>
  <c r="I990" i="1"/>
  <c r="I1007" i="1"/>
  <c r="I1003" i="1"/>
  <c r="I1004" i="1"/>
  <c r="I1005" i="1"/>
  <c r="I1002" i="1"/>
  <c r="I1001" i="1"/>
  <c r="I1000" i="1"/>
  <c r="I1012" i="1"/>
  <c r="I999" i="1"/>
  <c r="I998" i="1"/>
  <c r="I1010" i="1"/>
  <c r="I1009" i="1"/>
  <c r="I1008" i="1"/>
  <c r="I1006" i="1"/>
  <c r="I1011" i="1"/>
  <c r="I795" i="1"/>
  <c r="I794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747" i="1"/>
  <c r="I746" i="1"/>
  <c r="I745" i="1"/>
  <c r="I744" i="1"/>
  <c r="I743" i="1"/>
  <c r="I742" i="1"/>
  <c r="I741" i="1"/>
  <c r="I740" i="1"/>
  <c r="I737" i="1"/>
  <c r="I739" i="1"/>
  <c r="I736" i="1"/>
  <c r="I738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735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19" i="1"/>
  <c r="I717" i="1"/>
  <c r="I716" i="1"/>
  <c r="I715" i="1"/>
  <c r="I714" i="1"/>
  <c r="I712" i="1"/>
  <c r="I711" i="1"/>
  <c r="I710" i="1"/>
  <c r="I709" i="1"/>
  <c r="I708" i="1"/>
  <c r="I707" i="1"/>
  <c r="I703" i="1"/>
  <c r="I705" i="1"/>
  <c r="I706" i="1"/>
  <c r="I702" i="1"/>
  <c r="I700" i="1"/>
  <c r="I704" i="1"/>
  <c r="I697" i="1"/>
  <c r="I696" i="1"/>
  <c r="I695" i="1"/>
  <c r="I694" i="1"/>
  <c r="I693" i="1"/>
  <c r="I691" i="1"/>
  <c r="I689" i="1"/>
  <c r="I688" i="1"/>
  <c r="I687" i="1"/>
  <c r="I545" i="1"/>
  <c r="I544" i="1"/>
  <c r="I543" i="1"/>
  <c r="I542" i="1"/>
  <c r="I643" i="1"/>
  <c r="I624" i="1"/>
  <c r="I589" i="1"/>
  <c r="I600" i="1"/>
  <c r="I840" i="1"/>
  <c r="I1637" i="1"/>
  <c r="I1173" i="1"/>
  <c r="I1170" i="1"/>
  <c r="I548" i="1"/>
  <c r="I1062" i="1"/>
  <c r="I839" i="1"/>
  <c r="I838" i="1"/>
  <c r="I690" i="1"/>
  <c r="I1591" i="1"/>
  <c r="I1559" i="1"/>
  <c r="I1558" i="1"/>
  <c r="I1556" i="1"/>
  <c r="I1499" i="1"/>
  <c r="I1417" i="1"/>
  <c r="I1416" i="1"/>
  <c r="I1415" i="1"/>
  <c r="I1414" i="1"/>
  <c r="I1413" i="1"/>
  <c r="I1362" i="1"/>
  <c r="I1361" i="1"/>
  <c r="I1393" i="1"/>
  <c r="I1334" i="1"/>
  <c r="I1242" i="1"/>
  <c r="I1241" i="1"/>
  <c r="I1183" i="1"/>
  <c r="I1182" i="1"/>
  <c r="I1162" i="1"/>
  <c r="I126" i="1"/>
  <c r="I68" i="1"/>
  <c r="I645" i="1"/>
  <c r="I644" i="1"/>
  <c r="I633" i="1"/>
  <c r="I620" i="1"/>
  <c r="I617" i="1"/>
  <c r="I615" i="1"/>
  <c r="I565" i="1"/>
  <c r="I562" i="1"/>
  <c r="I1061" i="1"/>
  <c r="I1054" i="1"/>
  <c r="I1060" i="1"/>
  <c r="I1082" i="1"/>
  <c r="I1092" i="1"/>
  <c r="I1091" i="1"/>
  <c r="I1090" i="1"/>
  <c r="I1022" i="1"/>
  <c r="I1021" i="1"/>
  <c r="I1020" i="1"/>
  <c r="I760" i="1"/>
  <c r="I759" i="1"/>
  <c r="I758" i="1"/>
  <c r="I757" i="1"/>
  <c r="I756" i="1"/>
  <c r="I755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734" i="1"/>
  <c r="I701" i="1"/>
  <c r="I699" i="1"/>
  <c r="I698" i="1"/>
  <c r="I692" i="1"/>
  <c r="I822" i="1"/>
  <c r="I67" i="1"/>
  <c r="I406" i="1"/>
  <c r="I66" i="1"/>
  <c r="I821" i="1"/>
  <c r="I820" i="1"/>
  <c r="I754" i="1"/>
  <c r="I753" i="1"/>
  <c r="I125" i="1"/>
  <c r="I65" i="1"/>
  <c r="I1059" i="1"/>
  <c r="I752" i="1"/>
  <c r="I819" i="1"/>
  <c r="I818" i="1"/>
  <c r="I817" i="1"/>
  <c r="I816" i="1"/>
  <c r="I1223" i="1"/>
  <c r="I1484" i="1"/>
  <c r="I1412" i="1"/>
  <c r="I432" i="1"/>
  <c r="I402" i="1"/>
  <c r="I379" i="1"/>
  <c r="I303" i="1"/>
  <c r="I302" i="1"/>
  <c r="I64" i="1"/>
  <c r="I815" i="1"/>
  <c r="I814" i="1"/>
  <c r="I813" i="1"/>
  <c r="I1641" i="1"/>
  <c r="I1581" i="1"/>
  <c r="I1533" i="1"/>
  <c r="I1532" i="1"/>
  <c r="I1486" i="1"/>
  <c r="I1411" i="1"/>
  <c r="I1410" i="1"/>
  <c r="I1409" i="1"/>
  <c r="I1408" i="1"/>
  <c r="I1407" i="1"/>
  <c r="I1360" i="1"/>
  <c r="I1359" i="1"/>
  <c r="I1391" i="1"/>
  <c r="I1384" i="1"/>
  <c r="I1387" i="1"/>
  <c r="I431" i="1"/>
  <c r="I430" i="1"/>
  <c r="I429" i="1"/>
  <c r="I428" i="1"/>
  <c r="I401" i="1"/>
  <c r="I400" i="1"/>
  <c r="I310" i="1"/>
  <c r="I307" i="1"/>
  <c r="I301" i="1"/>
  <c r="I300" i="1"/>
  <c r="I124" i="1"/>
  <c r="I123" i="1"/>
  <c r="I122" i="1"/>
  <c r="I121" i="1"/>
  <c r="I120" i="1"/>
  <c r="I63" i="1"/>
  <c r="I62" i="1"/>
  <c r="I61" i="1"/>
  <c r="I60" i="1"/>
  <c r="I59" i="1"/>
  <c r="I58" i="1"/>
  <c r="I57" i="1"/>
  <c r="I56" i="1"/>
  <c r="I38" i="1"/>
  <c r="I37" i="1"/>
  <c r="I24" i="1"/>
  <c r="I20" i="1"/>
  <c r="I19" i="1"/>
  <c r="I18" i="1"/>
  <c r="I17" i="1"/>
  <c r="I638" i="1"/>
  <c r="I601" i="1"/>
  <c r="I594" i="1"/>
  <c r="I1089" i="1"/>
  <c r="I1088" i="1"/>
  <c r="I1019" i="1"/>
  <c r="I1018" i="1"/>
  <c r="I1017" i="1"/>
  <c r="I1016" i="1"/>
  <c r="I1015" i="1"/>
  <c r="I751" i="1"/>
  <c r="I750" i="1"/>
  <c r="I812" i="1"/>
  <c r="I811" i="1"/>
  <c r="I810" i="1"/>
  <c r="I809" i="1"/>
  <c r="I808" i="1"/>
  <c r="I807" i="1"/>
  <c r="I720" i="1"/>
  <c r="I718" i="1"/>
  <c r="I713" i="1"/>
  <c r="I547" i="1"/>
  <c r="I616" i="1"/>
  <c r="I1014" i="1"/>
  <c r="I806" i="1"/>
  <c r="I1358" i="1"/>
  <c r="I55" i="1"/>
  <c r="I805" i="1"/>
  <c r="I804" i="1"/>
  <c r="I803" i="1"/>
  <c r="I802" i="1"/>
  <c r="I1661" i="1"/>
  <c r="I1500" i="1"/>
  <c r="I1406" i="1"/>
  <c r="I1357" i="1"/>
  <c r="I1156" i="1"/>
  <c r="I1163" i="1"/>
  <c r="I1153" i="1"/>
  <c r="I421" i="1"/>
  <c r="I420" i="1"/>
  <c r="I419" i="1"/>
  <c r="I372" i="1"/>
  <c r="I340" i="1"/>
  <c r="I309" i="1"/>
  <c r="I308" i="1"/>
  <c r="I285" i="1"/>
  <c r="I119" i="1"/>
  <c r="I118" i="1"/>
  <c r="I117" i="1"/>
  <c r="I116" i="1"/>
  <c r="I54" i="1"/>
  <c r="I53" i="1"/>
  <c r="I52" i="1"/>
  <c r="I653" i="1"/>
  <c r="I595" i="1"/>
  <c r="I1053" i="1"/>
  <c r="I1058" i="1"/>
  <c r="I1013" i="1"/>
  <c r="I749" i="1"/>
  <c r="I748" i="1"/>
  <c r="I801" i="1"/>
  <c r="I800" i="1"/>
  <c r="I799" i="1"/>
  <c r="I798" i="1"/>
  <c r="I797" i="1"/>
  <c r="I796" i="1"/>
  <c r="I1671" i="1"/>
  <c r="I1673" i="1"/>
  <c r="I1672" i="1"/>
  <c r="I1677" i="1"/>
  <c r="I427" i="1"/>
  <c r="I1682" i="1"/>
  <c r="I1681" i="1"/>
  <c r="I1680" i="1"/>
  <c r="I1679" i="1"/>
  <c r="I1678" i="1"/>
  <c r="I1676" i="1"/>
  <c r="I1675" i="1"/>
  <c r="I1674" i="1"/>
  <c r="I1670" i="1"/>
  <c r="K485" i="1" l="1"/>
  <c r="K1336" i="1"/>
  <c r="K1365" i="1"/>
  <c r="K582" i="1"/>
  <c r="K326" i="1"/>
  <c r="K1383" i="1"/>
  <c r="K728" i="1"/>
  <c r="K1000" i="1"/>
  <c r="K1031" i="1"/>
  <c r="K1047" i="1"/>
  <c r="K1079" i="1"/>
  <c r="K392" i="1"/>
  <c r="K375" i="1"/>
  <c r="K1671" i="1"/>
  <c r="K933" i="1"/>
  <c r="K92" i="1"/>
  <c r="K885" i="1"/>
  <c r="K757" i="1"/>
  <c r="K965" i="1"/>
  <c r="K949" i="1"/>
  <c r="K901" i="1"/>
  <c r="K1561" i="1"/>
  <c r="K747" i="1"/>
  <c r="K488" i="1"/>
  <c r="K551" i="1"/>
  <c r="K331" i="1"/>
  <c r="K506" i="1"/>
  <c r="K1593" i="1"/>
  <c r="K121" i="1"/>
  <c r="K968" i="1"/>
  <c r="K2007" i="1"/>
  <c r="K41" i="1"/>
  <c r="K6" i="1"/>
  <c r="K43" i="1"/>
  <c r="K1670" i="1"/>
  <c r="K758" i="1"/>
  <c r="K902" i="1"/>
  <c r="K966" i="1"/>
  <c r="K1542" i="1"/>
  <c r="K1590" i="1"/>
  <c r="K726" i="1"/>
  <c r="K279" i="1"/>
  <c r="K1334" i="1"/>
  <c r="K1030" i="1"/>
  <c r="K1046" i="1"/>
  <c r="K1078" i="1"/>
  <c r="K391" i="1"/>
  <c r="K1430" i="1"/>
  <c r="K1446" i="1"/>
  <c r="K1462" i="1"/>
  <c r="K1062" i="1"/>
  <c r="K710" i="1"/>
  <c r="K1094" i="1"/>
  <c r="K518" i="1"/>
  <c r="K1158" i="1"/>
  <c r="K1254" i="1"/>
  <c r="K1270" i="1"/>
  <c r="K1286" i="1"/>
  <c r="K1302" i="1"/>
  <c r="K1318" i="1"/>
  <c r="K1543" i="1"/>
  <c r="K839" i="1"/>
  <c r="K599" i="1"/>
  <c r="K8" i="1"/>
  <c r="K1495" i="1"/>
  <c r="K1674" i="1"/>
  <c r="K759" i="1"/>
  <c r="K855" i="1"/>
  <c r="K903" i="1"/>
  <c r="K967" i="1"/>
  <c r="K503" i="1"/>
  <c r="K535" i="1"/>
  <c r="K1287" i="1"/>
  <c r="K1319" i="1"/>
  <c r="K807" i="1"/>
  <c r="K823" i="1"/>
  <c r="K711" i="1"/>
  <c r="K1095" i="1"/>
  <c r="K519" i="1"/>
  <c r="K1159" i="1"/>
  <c r="K1255" i="1"/>
  <c r="K1271" i="1"/>
  <c r="K1303" i="1"/>
  <c r="K120" i="1"/>
  <c r="K615" i="1"/>
  <c r="K742" i="1"/>
  <c r="K583" i="1"/>
  <c r="K343" i="1"/>
  <c r="K454" i="1"/>
  <c r="K1111" i="1"/>
  <c r="K1573" i="1"/>
  <c r="K1717" i="1"/>
  <c r="K645" i="1"/>
  <c r="K118" i="1"/>
  <c r="K805" i="1"/>
  <c r="K1589" i="1"/>
  <c r="K1621" i="1"/>
  <c r="K1232" i="1"/>
  <c r="K837" i="1"/>
  <c r="K1061" i="1"/>
  <c r="K709" i="1"/>
  <c r="K1093" i="1"/>
  <c r="K517" i="1"/>
  <c r="K1109" i="1"/>
  <c r="K1141" i="1"/>
  <c r="K1157" i="1"/>
  <c r="K1253" i="1"/>
  <c r="K1269" i="1"/>
  <c r="K1285" i="1"/>
  <c r="K1301" i="1"/>
  <c r="K1317" i="1"/>
  <c r="K1477" i="1"/>
  <c r="K725" i="1"/>
  <c r="K54" i="1"/>
  <c r="K581" i="1"/>
  <c r="K374" i="1"/>
  <c r="K1349" i="1"/>
  <c r="K1669" i="1"/>
  <c r="K565" i="1"/>
  <c r="K741" i="1"/>
  <c r="K342" i="1"/>
  <c r="K437" i="1"/>
  <c r="K453" i="1"/>
  <c r="K469" i="1"/>
  <c r="K2156" i="1"/>
  <c r="K411" i="1"/>
  <c r="K1178" i="1"/>
  <c r="K602" i="1"/>
  <c r="K618" i="1"/>
  <c r="K9" i="1"/>
  <c r="K27" i="1"/>
  <c r="K139" i="1"/>
  <c r="K155" i="1"/>
  <c r="K171" i="1"/>
  <c r="K187" i="1"/>
  <c r="K203" i="1"/>
  <c r="K219" i="1"/>
  <c r="K235" i="1"/>
  <c r="K251" i="1"/>
  <c r="K267" i="1"/>
  <c r="K283" i="1"/>
  <c r="K1066" i="1"/>
  <c r="K682" i="1"/>
  <c r="K601" i="1"/>
  <c r="K730" i="1"/>
  <c r="K1048" i="1"/>
  <c r="K1002" i="1"/>
  <c r="K1080" i="1"/>
  <c r="K10" i="1"/>
  <c r="K393" i="1"/>
  <c r="K1338" i="1"/>
  <c r="K1432" i="1"/>
  <c r="K1448" i="1"/>
  <c r="K1464" i="1"/>
  <c r="K1480" i="1"/>
  <c r="K666" i="1"/>
  <c r="K299" i="1"/>
  <c r="K1033" i="1"/>
  <c r="K394" i="1"/>
  <c r="K1433" i="1"/>
  <c r="K1449" i="1"/>
  <c r="K1465" i="1"/>
  <c r="K800" i="1"/>
  <c r="K1360" i="1"/>
  <c r="K256" i="1"/>
  <c r="K208" i="1"/>
  <c r="K1323" i="1"/>
  <c r="K1291" i="1"/>
  <c r="K1275" i="1"/>
  <c r="K227" i="1"/>
  <c r="K799" i="1"/>
  <c r="K176" i="1"/>
  <c r="K863" i="1"/>
  <c r="K1628" i="1"/>
  <c r="K94" i="1"/>
  <c r="K1673" i="1"/>
  <c r="K26" i="1"/>
  <c r="K138" i="1"/>
  <c r="K170" i="1"/>
  <c r="K202" i="1"/>
  <c r="K234" i="1"/>
  <c r="K250" i="1"/>
  <c r="K282" i="1"/>
  <c r="K1212" i="1"/>
  <c r="K1713" i="1"/>
  <c r="K1745" i="1"/>
  <c r="K1777" i="1"/>
  <c r="K1809" i="1"/>
  <c r="K1841" i="1"/>
  <c r="K1873" i="1"/>
  <c r="K1921" i="1"/>
  <c r="K1953" i="1"/>
  <c r="K1985" i="1"/>
  <c r="K2049" i="1"/>
  <c r="K257" i="1"/>
  <c r="K1007" i="1"/>
  <c r="K1135" i="1"/>
  <c r="K61" i="1"/>
  <c r="K1641" i="1"/>
  <c r="K636" i="1"/>
  <c r="K154" i="1"/>
  <c r="K186" i="1"/>
  <c r="K218" i="1"/>
  <c r="K266" i="1"/>
  <c r="K1196" i="1"/>
  <c r="K1545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729" i="1"/>
  <c r="K1001" i="1"/>
  <c r="K1067" i="1"/>
  <c r="K667" i="1"/>
  <c r="K683" i="1"/>
  <c r="K412" i="1"/>
  <c r="K1179" i="1"/>
  <c r="K1337" i="1"/>
  <c r="K1531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683" i="1"/>
  <c r="K1715" i="1"/>
  <c r="K1747" i="1"/>
  <c r="K1779" i="1"/>
  <c r="K1811" i="1"/>
  <c r="K1843" i="1"/>
  <c r="K1907" i="1"/>
  <c r="K1939" i="1"/>
  <c r="K1971" i="1"/>
  <c r="K1606" i="1"/>
  <c r="K1419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258" i="1"/>
  <c r="K2197" i="1"/>
  <c r="K1592" i="1"/>
  <c r="K1875" i="1"/>
  <c r="K1384" i="1"/>
  <c r="K824" i="1"/>
  <c r="K712" i="1"/>
  <c r="K1096" i="1"/>
  <c r="K1160" i="1"/>
  <c r="K1256" i="1"/>
  <c r="K1272" i="1"/>
  <c r="K1288" i="1"/>
  <c r="K1496" i="1"/>
  <c r="K1700" i="1"/>
  <c r="K1716" i="1"/>
  <c r="K1732" i="1"/>
  <c r="K1748" i="1"/>
  <c r="K1780" i="1"/>
  <c r="K1796" i="1"/>
  <c r="K1812" i="1"/>
  <c r="K1828" i="1"/>
  <c r="K1988" i="1"/>
  <c r="K2084" i="1"/>
  <c r="K472" i="1"/>
  <c r="K891" i="1"/>
  <c r="K2069" i="1"/>
  <c r="K93" i="1"/>
  <c r="K271" i="1"/>
  <c r="K175" i="1"/>
  <c r="K143" i="1"/>
  <c r="K441" i="1"/>
  <c r="K258" i="1"/>
  <c r="K1246" i="1"/>
  <c r="K1261" i="1"/>
  <c r="K2153" i="1"/>
  <c r="K2201" i="1"/>
  <c r="K1620" i="1"/>
  <c r="K1332" i="1"/>
  <c r="K1140" i="1"/>
  <c r="K277" i="1"/>
  <c r="K133" i="1"/>
  <c r="K117" i="1"/>
  <c r="K507" i="1"/>
  <c r="K1133" i="1"/>
  <c r="K1571" i="1"/>
  <c r="K1395" i="1"/>
  <c r="K1219" i="1"/>
  <c r="K100" i="1"/>
  <c r="K2070" i="1"/>
  <c r="K1718" i="1"/>
  <c r="K1354" i="1"/>
  <c r="K1290" i="1"/>
  <c r="K1274" i="1"/>
  <c r="K522" i="1"/>
  <c r="K1691" i="1"/>
  <c r="K571" i="1"/>
  <c r="K1131" i="1"/>
  <c r="K1386" i="1"/>
  <c r="K1515" i="1"/>
  <c r="K197" i="1"/>
  <c r="K825" i="1"/>
  <c r="K1418" i="1"/>
  <c r="K1145" i="1"/>
  <c r="K760" i="1"/>
  <c r="K888" i="1"/>
  <c r="K904" i="1"/>
  <c r="K920" i="1"/>
  <c r="K504" i="1"/>
  <c r="K536" i="1"/>
  <c r="K505" i="1"/>
  <c r="K1411" i="1"/>
  <c r="K638" i="1"/>
  <c r="K1437" i="1"/>
  <c r="K1421" i="1"/>
  <c r="K1245" i="1"/>
  <c r="K270" i="1"/>
  <c r="K238" i="1"/>
  <c r="K2136" i="1"/>
  <c r="K2008" i="1"/>
  <c r="K1976" i="1"/>
  <c r="K1896" i="1"/>
  <c r="K1468" i="1"/>
  <c r="K173" i="1"/>
  <c r="K13" i="1"/>
  <c r="K1895" i="1"/>
  <c r="K1735" i="1"/>
  <c r="K795" i="1"/>
  <c r="K2038" i="1"/>
  <c r="K1466" i="1"/>
  <c r="K1011" i="1"/>
  <c r="K659" i="1"/>
  <c r="K1980" i="1"/>
  <c r="K1023" i="1"/>
  <c r="K719" i="1"/>
  <c r="K1326" i="1"/>
  <c r="K131" i="1"/>
  <c r="K1692" i="1"/>
  <c r="K2137" i="1"/>
  <c r="K603" i="1"/>
  <c r="K204" i="1"/>
  <c r="K236" i="1"/>
  <c r="K1339" i="1"/>
  <c r="K2212" i="1"/>
  <c r="K275" i="1"/>
  <c r="K1409" i="1"/>
  <c r="K2108" i="1"/>
  <c r="K1408" i="1"/>
  <c r="K1899" i="1"/>
  <c r="K2106" i="1"/>
  <c r="K1898" i="1"/>
  <c r="K1849" i="1"/>
  <c r="K1675" i="1"/>
  <c r="K619" i="1"/>
  <c r="K188" i="1"/>
  <c r="K220" i="1"/>
  <c r="K1483" i="1"/>
  <c r="K2155" i="1"/>
  <c r="K1851" i="1"/>
  <c r="K2154" i="1"/>
  <c r="K2009" i="1"/>
  <c r="K893" i="1"/>
  <c r="K140" i="1"/>
  <c r="K252" i="1"/>
  <c r="K2134" i="1"/>
  <c r="K1900" i="1"/>
  <c r="K1804" i="1"/>
  <c r="K1979" i="1"/>
  <c r="K1978" i="1"/>
  <c r="K2073" i="1"/>
  <c r="K1737" i="1"/>
  <c r="K1293" i="1"/>
  <c r="K1356" i="1"/>
  <c r="K156" i="1"/>
  <c r="K268" i="1"/>
  <c r="K1975" i="1"/>
  <c r="K2071" i="1"/>
  <c r="K2135" i="1"/>
  <c r="K2167" i="1"/>
  <c r="K2183" i="1"/>
  <c r="K2215" i="1"/>
  <c r="K1172" i="1"/>
  <c r="K1852" i="1"/>
  <c r="K1850" i="1"/>
  <c r="K1294" i="1"/>
  <c r="K1897" i="1"/>
  <c r="K957" i="1"/>
  <c r="K1387" i="1"/>
  <c r="K172" i="1"/>
  <c r="K284" i="1"/>
  <c r="K1427" i="1"/>
  <c r="K1694" i="1"/>
  <c r="K1934" i="1"/>
  <c r="K2158" i="1"/>
  <c r="K865" i="1"/>
  <c r="K1696" i="1"/>
  <c r="K53" i="1"/>
  <c r="K718" i="1"/>
  <c r="K819" i="1"/>
  <c r="K850" i="1"/>
  <c r="K946" i="1"/>
  <c r="K864" i="1"/>
  <c r="K321" i="1"/>
  <c r="K1151" i="1"/>
  <c r="K1428" i="1"/>
  <c r="K1695" i="1"/>
  <c r="K1156" i="1"/>
  <c r="K1089" i="1"/>
  <c r="K430" i="1"/>
  <c r="K701" i="1"/>
  <c r="K688" i="1"/>
  <c r="K866" i="1"/>
  <c r="K882" i="1"/>
  <c r="K898" i="1"/>
  <c r="K914" i="1"/>
  <c r="K930" i="1"/>
  <c r="K962" i="1"/>
  <c r="K978" i="1"/>
  <c r="K765" i="1"/>
  <c r="K781" i="1"/>
  <c r="K737" i="1"/>
  <c r="K559" i="1"/>
  <c r="K580" i="1"/>
  <c r="K46" i="1"/>
  <c r="K79" i="1"/>
  <c r="K95" i="1"/>
  <c r="K111" i="1"/>
  <c r="K323" i="1"/>
  <c r="K339" i="1"/>
  <c r="K356" i="1"/>
  <c r="K373" i="1"/>
  <c r="K435" i="1"/>
  <c r="K451" i="1"/>
  <c r="K467" i="1"/>
  <c r="K482" i="1"/>
  <c r="K498" i="1"/>
  <c r="K530" i="1"/>
  <c r="K1229" i="1"/>
  <c r="K1348" i="1"/>
  <c r="K1377" i="1"/>
  <c r="K1567" i="1"/>
  <c r="K1584" i="1"/>
  <c r="K1601" i="1"/>
  <c r="K1617" i="1"/>
  <c r="K1635" i="1"/>
  <c r="K1662" i="1"/>
  <c r="K1668" i="1"/>
  <c r="K1357" i="1"/>
  <c r="K720" i="1"/>
  <c r="K594" i="1"/>
  <c r="K62" i="1"/>
  <c r="K813" i="1"/>
  <c r="K734" i="1"/>
  <c r="K1393" i="1"/>
  <c r="K689" i="1"/>
  <c r="K867" i="1"/>
  <c r="K915" i="1"/>
  <c r="K947" i="1"/>
  <c r="K963" i="1"/>
  <c r="K766" i="1"/>
  <c r="K740" i="1"/>
  <c r="K47" i="1"/>
  <c r="K80" i="1"/>
  <c r="K112" i="1"/>
  <c r="K304" i="1"/>
  <c r="K341" i="1"/>
  <c r="K452" i="1"/>
  <c r="K483" i="1"/>
  <c r="K499" i="1"/>
  <c r="K531" i="1"/>
  <c r="K1132" i="1"/>
  <c r="K1197" i="1"/>
  <c r="K1230" i="1"/>
  <c r="K1330" i="1"/>
  <c r="K1378" i="1"/>
  <c r="K1485" i="1"/>
  <c r="K1555" i="1"/>
  <c r="K1602" i="1"/>
  <c r="K1618" i="1"/>
  <c r="K1652" i="1"/>
  <c r="K116" i="1"/>
  <c r="K63" i="1"/>
  <c r="K1059" i="1"/>
  <c r="K1361" i="1"/>
  <c r="K868" i="1"/>
  <c r="K900" i="1"/>
  <c r="K932" i="1"/>
  <c r="K948" i="1"/>
  <c r="K980" i="1"/>
  <c r="K767" i="1"/>
  <c r="K1068" i="1"/>
  <c r="K668" i="1"/>
  <c r="K639" i="1"/>
  <c r="K30" i="1"/>
  <c r="K97" i="1"/>
  <c r="K325" i="1"/>
  <c r="K500" i="1"/>
  <c r="K532" i="1"/>
  <c r="K1180" i="1"/>
  <c r="K1231" i="1"/>
  <c r="K1390" i="1"/>
  <c r="K1517" i="1"/>
  <c r="K1553" i="1"/>
  <c r="K1603" i="1"/>
  <c r="K1632" i="1"/>
  <c r="K1500" i="1"/>
  <c r="K1170" i="1"/>
  <c r="K1005" i="1"/>
  <c r="K669" i="1"/>
  <c r="K640" i="1"/>
  <c r="K141" i="1"/>
  <c r="K221" i="1"/>
  <c r="K286" i="1"/>
  <c r="K1199" i="1"/>
  <c r="K1380" i="1"/>
  <c r="K1550" i="1"/>
  <c r="K1619" i="1"/>
  <c r="K1633" i="1"/>
  <c r="K17" i="1"/>
  <c r="K754" i="1"/>
  <c r="K417" i="1"/>
  <c r="K431" i="1"/>
  <c r="K752" i="1"/>
  <c r="K755" i="1"/>
  <c r="K562" i="1"/>
  <c r="K851" i="1"/>
  <c r="K883" i="1"/>
  <c r="K899" i="1"/>
  <c r="K931" i="1"/>
  <c r="K979" i="1"/>
  <c r="K782" i="1"/>
  <c r="K560" i="1"/>
  <c r="K637" i="1"/>
  <c r="K96" i="1"/>
  <c r="K324" i="1"/>
  <c r="K357" i="1"/>
  <c r="K436" i="1"/>
  <c r="K468" i="1"/>
  <c r="K1105" i="1"/>
  <c r="K1213" i="1"/>
  <c r="K1364" i="1"/>
  <c r="K1516" i="1"/>
  <c r="K1568" i="1"/>
  <c r="K1585" i="1"/>
  <c r="K1636" i="1"/>
  <c r="K796" i="1"/>
  <c r="K1406" i="1"/>
  <c r="K814" i="1"/>
  <c r="K756" i="1"/>
  <c r="K691" i="1"/>
  <c r="K884" i="1"/>
  <c r="K916" i="1"/>
  <c r="K964" i="1"/>
  <c r="K783" i="1"/>
  <c r="K561" i="1"/>
  <c r="K48" i="1"/>
  <c r="K113" i="1"/>
  <c r="K305" i="1"/>
  <c r="K484" i="1"/>
  <c r="K1107" i="1"/>
  <c r="K1214" i="1"/>
  <c r="K1331" i="1"/>
  <c r="K1379" i="1"/>
  <c r="K1534" i="1"/>
  <c r="K1569" i="1"/>
  <c r="K1630" i="1"/>
  <c r="K1667" i="1"/>
  <c r="K797" i="1"/>
  <c r="K65" i="1"/>
  <c r="K784" i="1"/>
  <c r="K1057" i="1"/>
  <c r="K563" i="1"/>
  <c r="K622" i="1"/>
  <c r="K114" i="1"/>
  <c r="K189" i="1"/>
  <c r="K269" i="1"/>
  <c r="K306" i="1"/>
  <c r="K1490" i="1"/>
  <c r="K1535" i="1"/>
  <c r="K1570" i="1"/>
  <c r="K1648" i="1"/>
  <c r="K1472" i="1"/>
  <c r="K1768" i="1"/>
  <c r="K2200" i="1"/>
  <c r="K42" i="1"/>
  <c r="K134" i="1"/>
  <c r="K278" i="1"/>
  <c r="K1112" i="1"/>
  <c r="K1544" i="1"/>
  <c r="K2157" i="1"/>
  <c r="K724" i="1"/>
  <c r="K662" i="1"/>
  <c r="K230" i="1"/>
  <c r="K1426" i="1"/>
  <c r="K2109" i="1"/>
  <c r="K380" i="1"/>
  <c r="K1679" i="1"/>
  <c r="K811" i="1"/>
  <c r="K303" i="1"/>
  <c r="K633" i="1"/>
  <c r="K716" i="1"/>
  <c r="K952" i="1"/>
  <c r="K787" i="1"/>
  <c r="K1083" i="1"/>
  <c r="K549" i="1"/>
  <c r="K625" i="1"/>
  <c r="K34" i="1"/>
  <c r="K128" i="1"/>
  <c r="K192" i="1"/>
  <c r="K329" i="1"/>
  <c r="K397" i="1"/>
  <c r="K473" i="1"/>
  <c r="K1169" i="1"/>
  <c r="K1259" i="1"/>
  <c r="K1333" i="1"/>
  <c r="K1487" i="1"/>
  <c r="K1548" i="1"/>
  <c r="K1719" i="1"/>
  <c r="K1767" i="1"/>
  <c r="K1847" i="1"/>
  <c r="K1927" i="1"/>
  <c r="K1959" i="1"/>
  <c r="K2023" i="1"/>
  <c r="K2055" i="1"/>
  <c r="K2087" i="1"/>
  <c r="K2119" i="1"/>
  <c r="K2151" i="1"/>
  <c r="K2199" i="1"/>
  <c r="K1136" i="1"/>
  <c r="K743" i="1"/>
  <c r="K621" i="1"/>
  <c r="K142" i="1"/>
  <c r="K287" i="1"/>
  <c r="K1200" i="1"/>
  <c r="K1749" i="1"/>
  <c r="K285" i="1"/>
  <c r="K123" i="1"/>
  <c r="K827" i="1"/>
  <c r="K696" i="1"/>
  <c r="K872" i="1"/>
  <c r="K984" i="1"/>
  <c r="K1036" i="1"/>
  <c r="K1103" i="1"/>
  <c r="K567" i="1"/>
  <c r="K646" i="1"/>
  <c r="K85" i="1"/>
  <c r="K160" i="1"/>
  <c r="K272" i="1"/>
  <c r="K346" i="1"/>
  <c r="K1114" i="1"/>
  <c r="K1186" i="1"/>
  <c r="K1218" i="1"/>
  <c r="K1307" i="1"/>
  <c r="K1452" i="1"/>
  <c r="K1520" i="1"/>
  <c r="K1638" i="1"/>
  <c r="K1660" i="1"/>
  <c r="K1751" i="1"/>
  <c r="K1799" i="1"/>
  <c r="K1863" i="1"/>
  <c r="K953" i="1"/>
  <c r="K418" i="1"/>
  <c r="K1736" i="1"/>
  <c r="K1639" i="1"/>
  <c r="K1845" i="1"/>
  <c r="K1973" i="1"/>
  <c r="K19" i="1"/>
  <c r="K1415" i="1"/>
  <c r="K735" i="1"/>
  <c r="K745" i="1"/>
  <c r="K672" i="1"/>
  <c r="K607" i="1"/>
  <c r="K69" i="1"/>
  <c r="K144" i="1"/>
  <c r="K224" i="1"/>
  <c r="K289" i="1"/>
  <c r="K362" i="1"/>
  <c r="K1128" i="1"/>
  <c r="K1202" i="1"/>
  <c r="K1329" i="1"/>
  <c r="K1420" i="1"/>
  <c r="K1538" i="1"/>
  <c r="K1607" i="1"/>
  <c r="K1703" i="1"/>
  <c r="K1783" i="1"/>
  <c r="K1831" i="1"/>
  <c r="K1911" i="1"/>
  <c r="K1943" i="1"/>
  <c r="K1991" i="1"/>
  <c r="K2039" i="1"/>
  <c r="K2103" i="1"/>
  <c r="K330" i="1"/>
  <c r="K1960" i="1"/>
  <c r="K862" i="1"/>
  <c r="K1693" i="1"/>
  <c r="K1853" i="1"/>
  <c r="K1981" i="1"/>
  <c r="K641" i="1"/>
  <c r="K1381" i="1"/>
  <c r="K1797" i="1"/>
  <c r="K803" i="1"/>
  <c r="K840" i="1"/>
  <c r="K856" i="1"/>
  <c r="K936" i="1"/>
  <c r="K771" i="1"/>
  <c r="K794" i="1"/>
  <c r="K656" i="1"/>
  <c r="K586" i="1"/>
  <c r="K101" i="1"/>
  <c r="K240" i="1"/>
  <c r="K313" i="1"/>
  <c r="K377" i="1"/>
  <c r="K457" i="1"/>
  <c r="K511" i="1"/>
  <c r="K1146" i="1"/>
  <c r="K1244" i="1"/>
  <c r="K1392" i="1"/>
  <c r="K1436" i="1"/>
  <c r="K1481" i="1"/>
  <c r="K1687" i="1"/>
  <c r="K1815" i="1"/>
  <c r="K1879" i="1"/>
  <c r="K644" i="1"/>
  <c r="K1076" i="1"/>
  <c r="K550" i="1"/>
  <c r="K35" i="1"/>
  <c r="K1482" i="1"/>
  <c r="K1622" i="1"/>
  <c r="K1944" i="1"/>
  <c r="K2072" i="1"/>
  <c r="K2213" i="1"/>
  <c r="K695" i="1"/>
  <c r="K744" i="1"/>
  <c r="K1070" i="1"/>
  <c r="K606" i="1"/>
  <c r="K623" i="1"/>
  <c r="K51" i="1"/>
  <c r="K381" i="1"/>
  <c r="K416" i="1"/>
  <c r="K1201" i="1"/>
  <c r="K1382" i="1"/>
  <c r="K1846" i="1"/>
  <c r="K1974" i="1"/>
  <c r="K1990" i="1"/>
  <c r="K2006" i="1"/>
  <c r="K2214" i="1"/>
  <c r="K1678" i="1"/>
  <c r="K1414" i="1"/>
  <c r="K871" i="1"/>
  <c r="K1051" i="1"/>
  <c r="K1924" i="1"/>
  <c r="K1972" i="1"/>
  <c r="K2068" i="1"/>
  <c r="K2116" i="1"/>
  <c r="K2164" i="1"/>
  <c r="K1391" i="1"/>
  <c r="K1173" i="1"/>
  <c r="K934" i="1"/>
  <c r="K174" i="1"/>
  <c r="K311" i="1"/>
  <c r="K1289" i="1"/>
  <c r="K1434" i="1"/>
  <c r="K1925" i="1"/>
  <c r="K2117" i="1"/>
  <c r="K2165" i="1"/>
  <c r="K810" i="1"/>
  <c r="K302" i="1"/>
  <c r="K620" i="1"/>
  <c r="K715" i="1"/>
  <c r="K1035" i="1"/>
  <c r="K585" i="1"/>
  <c r="K12" i="1"/>
  <c r="K159" i="1"/>
  <c r="K223" i="1"/>
  <c r="K288" i="1"/>
  <c r="K361" i="1"/>
  <c r="K456" i="1"/>
  <c r="K1104" i="1"/>
  <c r="K1185" i="1"/>
  <c r="K1322" i="1"/>
  <c r="K1451" i="1"/>
  <c r="K1519" i="1"/>
  <c r="K1686" i="1"/>
  <c r="K1766" i="1"/>
  <c r="K1830" i="1"/>
  <c r="K1878" i="1"/>
  <c r="K1926" i="1"/>
  <c r="K2022" i="1"/>
  <c r="K2086" i="1"/>
  <c r="K2182" i="1"/>
  <c r="K274" i="1"/>
  <c r="K1324" i="1"/>
  <c r="K1506" i="1"/>
  <c r="K1844" i="1"/>
  <c r="K1940" i="1"/>
  <c r="K2036" i="1"/>
  <c r="K2100" i="1"/>
  <c r="K2180" i="1"/>
  <c r="K798" i="1"/>
  <c r="K1097" i="1"/>
  <c r="K344" i="1"/>
  <c r="K486" i="1"/>
  <c r="K1113" i="1"/>
  <c r="K1273" i="1"/>
  <c r="K1491" i="1"/>
  <c r="K1546" i="1"/>
  <c r="K1655" i="1"/>
  <c r="K1733" i="1"/>
  <c r="K1829" i="1"/>
  <c r="K1941" i="1"/>
  <c r="K1989" i="1"/>
  <c r="K2037" i="1"/>
  <c r="K2085" i="1"/>
  <c r="K2181" i="1"/>
  <c r="K119" i="1"/>
  <c r="K122" i="1"/>
  <c r="K826" i="1"/>
  <c r="K951" i="1"/>
  <c r="K770" i="1"/>
  <c r="K1003" i="1"/>
  <c r="K671" i="1"/>
  <c r="K33" i="1"/>
  <c r="K127" i="1"/>
  <c r="K239" i="1"/>
  <c r="K312" i="1"/>
  <c r="K440" i="1"/>
  <c r="K1127" i="1"/>
  <c r="K1217" i="1"/>
  <c r="K1353" i="1"/>
  <c r="K1435" i="1"/>
  <c r="K1488" i="1"/>
  <c r="K1572" i="1"/>
  <c r="K1640" i="1"/>
  <c r="K1782" i="1"/>
  <c r="K1894" i="1"/>
  <c r="K2120" i="1"/>
  <c r="K2152" i="1"/>
  <c r="K1661" i="1"/>
  <c r="K694" i="1"/>
  <c r="K1034" i="1"/>
  <c r="K1069" i="1"/>
  <c r="K11" i="1"/>
  <c r="K190" i="1"/>
  <c r="K327" i="1"/>
  <c r="K534" i="1"/>
  <c r="K1161" i="1"/>
  <c r="K1305" i="1"/>
  <c r="K1366" i="1"/>
  <c r="K1861" i="1"/>
  <c r="K18" i="1"/>
  <c r="K753" i="1"/>
  <c r="K733" i="1"/>
  <c r="K887" i="1"/>
  <c r="K935" i="1"/>
  <c r="K983" i="1"/>
  <c r="K1075" i="1"/>
  <c r="K566" i="1"/>
  <c r="K642" i="1"/>
  <c r="K84" i="1"/>
  <c r="K191" i="1"/>
  <c r="K255" i="1"/>
  <c r="K328" i="1"/>
  <c r="K396" i="1"/>
  <c r="K487" i="1"/>
  <c r="K1168" i="1"/>
  <c r="K1243" i="1"/>
  <c r="K1306" i="1"/>
  <c r="K1367" i="1"/>
  <c r="K1467" i="1"/>
  <c r="K1537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617" i="1"/>
  <c r="K886" i="1"/>
  <c r="K950" i="1"/>
  <c r="K584" i="1"/>
  <c r="K502" i="1"/>
  <c r="K1216" i="1"/>
  <c r="K1489" i="1"/>
  <c r="K1588" i="1"/>
  <c r="K1701" i="1"/>
  <c r="K1813" i="1"/>
  <c r="K1909" i="1"/>
  <c r="K1957" i="1"/>
  <c r="K2053" i="1"/>
  <c r="K2101" i="1"/>
  <c r="K802" i="1"/>
  <c r="K1359" i="1"/>
  <c r="K1637" i="1"/>
  <c r="K919" i="1"/>
  <c r="K786" i="1"/>
  <c r="K1098" i="1"/>
  <c r="K546" i="1"/>
  <c r="K207" i="1"/>
  <c r="K345" i="1"/>
  <c r="K1492" i="1"/>
  <c r="K1547" i="1"/>
  <c r="K1656" i="1"/>
  <c r="K1734" i="1"/>
  <c r="K1798" i="1"/>
  <c r="K1910" i="1"/>
  <c r="K1958" i="1"/>
  <c r="K2054" i="1"/>
  <c r="K2102" i="1"/>
  <c r="K2150" i="1"/>
  <c r="K2166" i="1"/>
  <c r="K1124" i="1"/>
  <c r="K684" i="1"/>
  <c r="K852" i="1"/>
  <c r="K1198" i="1"/>
  <c r="K81" i="1"/>
  <c r="K1586" i="1"/>
  <c r="K413" i="1"/>
  <c r="K358" i="1"/>
  <c r="K1032" i="1"/>
  <c r="K548" i="1"/>
  <c r="K2132" i="1"/>
  <c r="K1892" i="1"/>
  <c r="K1684" i="1"/>
  <c r="K1587" i="1"/>
  <c r="K1304" i="1"/>
  <c r="K1181" i="1"/>
  <c r="K470" i="1"/>
  <c r="K414" i="1"/>
  <c r="K253" i="1"/>
  <c r="K157" i="1"/>
  <c r="K31" i="1"/>
  <c r="K604" i="1"/>
  <c r="K1081" i="1"/>
  <c r="K768" i="1"/>
  <c r="K917" i="1"/>
  <c r="K731" i="1"/>
  <c r="K1362" i="1"/>
  <c r="K808" i="1"/>
  <c r="K2020" i="1"/>
  <c r="K1876" i="1"/>
  <c r="K1604" i="1"/>
  <c r="K1234" i="1"/>
  <c r="K49" i="1"/>
  <c r="K2148" i="1"/>
  <c r="K2004" i="1"/>
  <c r="K1764" i="1"/>
  <c r="K1518" i="1"/>
  <c r="K1351" i="1"/>
  <c r="K1320" i="1"/>
  <c r="K1215" i="1"/>
  <c r="K1125" i="1"/>
  <c r="K520" i="1"/>
  <c r="K438" i="1"/>
  <c r="K376" i="1"/>
  <c r="K359" i="1"/>
  <c r="K237" i="1"/>
  <c r="K205" i="1"/>
  <c r="K98" i="1"/>
  <c r="K82" i="1"/>
  <c r="K685" i="1"/>
  <c r="K1049" i="1"/>
  <c r="K981" i="1"/>
  <c r="K869" i="1"/>
  <c r="K853" i="1"/>
  <c r="K693" i="1"/>
  <c r="K815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3" i="1"/>
  <c r="K1616" i="1"/>
  <c r="K1582" i="1"/>
  <c r="K1527" i="1"/>
  <c r="K1470" i="1"/>
  <c r="K1400" i="1"/>
  <c r="K1396" i="1"/>
  <c r="K1315" i="1"/>
  <c r="K1267" i="1"/>
  <c r="K1194" i="1"/>
  <c r="K1121" i="1"/>
  <c r="K515" i="1"/>
  <c r="K465" i="1"/>
  <c r="K433" i="1"/>
  <c r="K370" i="1"/>
  <c r="K297" i="1"/>
  <c r="K248" i="1"/>
  <c r="K184" i="1"/>
  <c r="K168" i="1"/>
  <c r="K109" i="1"/>
  <c r="K29" i="1"/>
  <c r="K569" i="1"/>
  <c r="K578" i="1"/>
  <c r="K680" i="1"/>
  <c r="K1102" i="1"/>
  <c r="K997" i="1"/>
  <c r="K2175" i="1"/>
  <c r="K2111" i="1"/>
  <c r="K2063" i="1"/>
  <c r="K1999" i="1"/>
  <c r="K1951" i="1"/>
  <c r="K1887" i="1"/>
  <c r="K1855" i="1"/>
  <c r="K1807" i="1"/>
  <c r="K1759" i="1"/>
  <c r="K1711" i="1"/>
  <c r="K1651" i="1"/>
  <c r="K1565" i="1"/>
  <c r="K1513" i="1"/>
  <c r="K1444" i="1"/>
  <c r="K1346" i="1"/>
  <c r="K1299" i="1"/>
  <c r="K1227" i="1"/>
  <c r="K1167" i="1"/>
  <c r="K1106" i="1"/>
  <c r="K496" i="1"/>
  <c r="K449" i="1"/>
  <c r="K409" i="1"/>
  <c r="K354" i="1"/>
  <c r="K280" i="1"/>
  <c r="K232" i="1"/>
  <c r="K216" i="1"/>
  <c r="K152" i="1"/>
  <c r="K77" i="1"/>
  <c r="K655" i="1"/>
  <c r="K597" i="1"/>
  <c r="K1056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4" i="1"/>
  <c r="K1647" i="1"/>
  <c r="K1634" i="1"/>
  <c r="K1615" i="1"/>
  <c r="K1600" i="1"/>
  <c r="K1583" i="1"/>
  <c r="K1566" i="1"/>
  <c r="K1552" i="1"/>
  <c r="K1524" i="1"/>
  <c r="K1514" i="1"/>
  <c r="K1497" i="1"/>
  <c r="K1471" i="1"/>
  <c r="K1461" i="1"/>
  <c r="K1445" i="1"/>
  <c r="K1429" i="1"/>
  <c r="K1401" i="1"/>
  <c r="K1376" i="1"/>
  <c r="K1363" i="1"/>
  <c r="K1347" i="1"/>
  <c r="K1239" i="1"/>
  <c r="K1316" i="1"/>
  <c r="K1300" i="1"/>
  <c r="K1284" i="1"/>
  <c r="K1268" i="1"/>
  <c r="K1252" i="1"/>
  <c r="K1228" i="1"/>
  <c r="K1211" i="1"/>
  <c r="K1195" i="1"/>
  <c r="K1152" i="1"/>
  <c r="K1155" i="1"/>
  <c r="K1139" i="1"/>
  <c r="K1122" i="1"/>
  <c r="K1108" i="1"/>
  <c r="K529" i="1"/>
  <c r="K516" i="1"/>
  <c r="K497" i="1"/>
  <c r="K481" i="1"/>
  <c r="K466" i="1"/>
  <c r="K450" i="1"/>
  <c r="K434" i="1"/>
  <c r="K410" i="1"/>
  <c r="K390" i="1"/>
  <c r="K371" i="1"/>
  <c r="K355" i="1"/>
  <c r="K338" i="1"/>
  <c r="K322" i="1"/>
  <c r="K298" i="1"/>
  <c r="K281" i="1"/>
  <c r="K265" i="1"/>
  <c r="K249" i="1"/>
  <c r="K233" i="1"/>
  <c r="K217" i="1"/>
  <c r="K201" i="1"/>
  <c r="K185" i="1"/>
  <c r="K169" i="1"/>
  <c r="K153" i="1"/>
  <c r="K137" i="1"/>
  <c r="K110" i="1"/>
  <c r="K78" i="1"/>
  <c r="K45" i="1"/>
  <c r="K25" i="1"/>
  <c r="K7" i="1"/>
  <c r="K635" i="1"/>
  <c r="K570" i="1"/>
  <c r="K598" i="1"/>
  <c r="K579" i="1"/>
  <c r="K558" i="1"/>
  <c r="K681" i="1"/>
  <c r="K665" i="1"/>
  <c r="K1077" i="1"/>
  <c r="K1065" i="1"/>
  <c r="K1052" i="1"/>
  <c r="K1012" i="1"/>
  <c r="K1045" i="1"/>
  <c r="K1029" i="1"/>
  <c r="K739" i="1"/>
  <c r="K780" i="1"/>
  <c r="K764" i="1"/>
  <c r="K977" i="1"/>
  <c r="K961" i="1"/>
  <c r="K945" i="1"/>
  <c r="K929" i="1"/>
  <c r="K913" i="1"/>
  <c r="K897" i="1"/>
  <c r="K881" i="1"/>
  <c r="K849" i="1"/>
  <c r="K727" i="1"/>
  <c r="K708" i="1"/>
  <c r="K687" i="1"/>
  <c r="K838" i="1"/>
  <c r="K1242" i="1"/>
  <c r="K1054" i="1"/>
  <c r="K836" i="1"/>
  <c r="K699" i="1"/>
  <c r="K818" i="1"/>
  <c r="K1581" i="1"/>
  <c r="K429" i="1"/>
  <c r="K60" i="1"/>
  <c r="K1088" i="1"/>
  <c r="K713" i="1"/>
  <c r="K1163" i="1"/>
  <c r="K52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29" i="1"/>
  <c r="K1599" i="1"/>
  <c r="K1551" i="1"/>
  <c r="K1494" i="1"/>
  <c r="K1460" i="1"/>
  <c r="K1375" i="1"/>
  <c r="K1238" i="1"/>
  <c r="K1283" i="1"/>
  <c r="K1251" i="1"/>
  <c r="K1138" i="1"/>
  <c r="K528" i="1"/>
  <c r="K480" i="1"/>
  <c r="K389" i="1"/>
  <c r="K337" i="1"/>
  <c r="K264" i="1"/>
  <c r="K200" i="1"/>
  <c r="K136" i="1"/>
  <c r="K44" i="1"/>
  <c r="K634" i="1"/>
  <c r="K557" i="1"/>
  <c r="K664" i="1"/>
  <c r="K779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6" i="1"/>
  <c r="K1646" i="1"/>
  <c r="K1626" i="1"/>
  <c r="K1612" i="1"/>
  <c r="K1596" i="1"/>
  <c r="K1578" i="1"/>
  <c r="K1562" i="1"/>
  <c r="K1522" i="1"/>
  <c r="K1509" i="1"/>
  <c r="K1502" i="1"/>
  <c r="K1478" i="1"/>
  <c r="K1457" i="1"/>
  <c r="K1441" i="1"/>
  <c r="K1425" i="1"/>
  <c r="K1404" i="1"/>
  <c r="K1372" i="1"/>
  <c r="K1394" i="1"/>
  <c r="K1343" i="1"/>
  <c r="K1327" i="1"/>
  <c r="K1312" i="1"/>
  <c r="K1296" i="1"/>
  <c r="K1280" i="1"/>
  <c r="K1264" i="1"/>
  <c r="K1236" i="1"/>
  <c r="K1224" i="1"/>
  <c r="K1207" i="1"/>
  <c r="K1191" i="1"/>
  <c r="K1175" i="1"/>
  <c r="K1164" i="1"/>
  <c r="K1118" i="1"/>
  <c r="K378" i="1"/>
  <c r="K525" i="1"/>
  <c r="K508" i="1"/>
  <c r="K493" i="1"/>
  <c r="K477" i="1"/>
  <c r="K462" i="1"/>
  <c r="K446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0" i="1"/>
  <c r="K630" i="1"/>
  <c r="K612" i="1"/>
  <c r="K592" i="1"/>
  <c r="K575" i="1"/>
  <c r="K554" i="1"/>
  <c r="K677" i="1"/>
  <c r="K661" i="1"/>
  <c r="K1099" i="1"/>
  <c r="K1063" i="1"/>
  <c r="K994" i="1"/>
  <c r="K1009" i="1"/>
  <c r="K1041" i="1"/>
  <c r="K1025" i="1"/>
  <c r="K792" i="1"/>
  <c r="K776" i="1"/>
  <c r="K989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58" i="1"/>
  <c r="K1663" i="1"/>
  <c r="K1627" i="1"/>
  <c r="K1613" i="1"/>
  <c r="K1597" i="1"/>
  <c r="K1579" i="1"/>
  <c r="K1563" i="1"/>
  <c r="K1526" i="1"/>
  <c r="K1510" i="1"/>
  <c r="K1503" i="1"/>
  <c r="K1476" i="1"/>
  <c r="K1458" i="1"/>
  <c r="K1442" i="1"/>
  <c r="K1405" i="1"/>
  <c r="K1373" i="1"/>
  <c r="K1385" i="1"/>
  <c r="K1344" i="1"/>
  <c r="K1328" i="1"/>
  <c r="K1313" i="1"/>
  <c r="K1297" i="1"/>
  <c r="K1281" i="1"/>
  <c r="K1265" i="1"/>
  <c r="K1249" i="1"/>
  <c r="K1225" i="1"/>
  <c r="K1208" i="1"/>
  <c r="K1192" i="1"/>
  <c r="K1177" i="1"/>
  <c r="K1165" i="1"/>
  <c r="K1119" i="1"/>
  <c r="K526" i="1"/>
  <c r="K509" i="1"/>
  <c r="K494" i="1"/>
  <c r="K478" i="1"/>
  <c r="K463" i="1"/>
  <c r="K447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75" i="1"/>
  <c r="K23" i="1"/>
  <c r="K652" i="1"/>
  <c r="K631" i="1"/>
  <c r="K613" i="1"/>
  <c r="K593" i="1"/>
  <c r="K576" i="1"/>
  <c r="K555" i="1"/>
  <c r="K678" i="1"/>
  <c r="K1100" i="1"/>
  <c r="K1055" i="1"/>
  <c r="K995" i="1"/>
  <c r="K1010" i="1"/>
  <c r="K1042" i="1"/>
  <c r="K1026" i="1"/>
  <c r="K793" i="1"/>
  <c r="K777" i="1"/>
  <c r="K761" i="1"/>
  <c r="K974" i="1"/>
  <c r="K958" i="1"/>
  <c r="K942" i="1"/>
  <c r="K926" i="1"/>
  <c r="K910" i="1"/>
  <c r="K894" i="1"/>
  <c r="K878" i="1"/>
  <c r="K846" i="1"/>
  <c r="K705" i="1"/>
  <c r="K543" i="1"/>
  <c r="K1559" i="1"/>
  <c r="K1182" i="1"/>
  <c r="K1092" i="1"/>
  <c r="K833" i="1"/>
  <c r="K822" i="1"/>
  <c r="K1223" i="1"/>
  <c r="K1486" i="1"/>
  <c r="K400" i="1"/>
  <c r="K57" i="1"/>
  <c r="K1017" i="1"/>
  <c r="K1014" i="1"/>
  <c r="K420" i="1"/>
  <c r="K1053" i="1"/>
  <c r="K1677" i="1"/>
  <c r="K999" i="1"/>
  <c r="K1044" i="1"/>
  <c r="K1028" i="1"/>
  <c r="K736" i="1"/>
  <c r="K763" i="1"/>
  <c r="K976" i="1"/>
  <c r="K960" i="1"/>
  <c r="K944" i="1"/>
  <c r="K928" i="1"/>
  <c r="K912" i="1"/>
  <c r="K896" i="1"/>
  <c r="K880" i="1"/>
  <c r="K848" i="1"/>
  <c r="K707" i="1"/>
  <c r="K545" i="1"/>
  <c r="K690" i="1"/>
  <c r="K1241" i="1"/>
  <c r="K1060" i="1"/>
  <c r="K835" i="1"/>
  <c r="K698" i="1"/>
  <c r="K817" i="1"/>
  <c r="K1533" i="1"/>
  <c r="K428" i="1"/>
  <c r="K59" i="1"/>
  <c r="K1019" i="1"/>
  <c r="K547" i="1"/>
  <c r="K1153" i="1"/>
  <c r="K653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59" i="1"/>
  <c r="K1650" i="1"/>
  <c r="K1614" i="1"/>
  <c r="K1598" i="1"/>
  <c r="K1580" i="1"/>
  <c r="K1564" i="1"/>
  <c r="K1554" i="1"/>
  <c r="K1523" i="1"/>
  <c r="K1511" i="1"/>
  <c r="K1504" i="1"/>
  <c r="K1469" i="1"/>
  <c r="K1459" i="1"/>
  <c r="K1443" i="1"/>
  <c r="K1399" i="1"/>
  <c r="K1374" i="1"/>
  <c r="K1389" i="1"/>
  <c r="K1345" i="1"/>
  <c r="K1237" i="1"/>
  <c r="K1314" i="1"/>
  <c r="K1298" i="1"/>
  <c r="K1282" i="1"/>
  <c r="K1266" i="1"/>
  <c r="K1250" i="1"/>
  <c r="K1226" i="1"/>
  <c r="K1209" i="1"/>
  <c r="K1193" i="1"/>
  <c r="K1150" i="1"/>
  <c r="K1166" i="1"/>
  <c r="K1137" i="1"/>
  <c r="K1120" i="1"/>
  <c r="K1110" i="1"/>
  <c r="K527" i="1"/>
  <c r="K514" i="1"/>
  <c r="K495" i="1"/>
  <c r="K479" i="1"/>
  <c r="K464" i="1"/>
  <c r="K448" i="1"/>
  <c r="K426" i="1"/>
  <c r="K408" i="1"/>
  <c r="K388" i="1"/>
  <c r="K368" i="1"/>
  <c r="K353" i="1"/>
  <c r="K336" i="1"/>
  <c r="K320" i="1"/>
  <c r="K296" i="1"/>
  <c r="K263" i="1"/>
  <c r="K247" i="1"/>
  <c r="K231" i="1"/>
  <c r="K215" i="1"/>
  <c r="K199" i="1"/>
  <c r="K183" i="1"/>
  <c r="K167" i="1"/>
  <c r="K151" i="1"/>
  <c r="K135" i="1"/>
  <c r="K108" i="1"/>
  <c r="K76" i="1"/>
  <c r="K28" i="1"/>
  <c r="K654" i="1"/>
  <c r="K632" i="1"/>
  <c r="K614" i="1"/>
  <c r="K596" i="1"/>
  <c r="K577" i="1"/>
  <c r="K556" i="1"/>
  <c r="K679" i="1"/>
  <c r="K663" i="1"/>
  <c r="K1101" i="1"/>
  <c r="K1064" i="1"/>
  <c r="K996" i="1"/>
  <c r="K998" i="1"/>
  <c r="K1043" i="1"/>
  <c r="K1027" i="1"/>
  <c r="K738" i="1"/>
  <c r="K778" i="1"/>
  <c r="K762" i="1"/>
  <c r="K975" i="1"/>
  <c r="K959" i="1"/>
  <c r="K943" i="1"/>
  <c r="K927" i="1"/>
  <c r="K911" i="1"/>
  <c r="K895" i="1"/>
  <c r="K879" i="1"/>
  <c r="K847" i="1"/>
  <c r="K703" i="1"/>
  <c r="K544" i="1"/>
  <c r="K1591" i="1"/>
  <c r="K1183" i="1"/>
  <c r="K1082" i="1"/>
  <c r="K834" i="1"/>
  <c r="K692" i="1"/>
  <c r="K816" i="1"/>
  <c r="K1532" i="1"/>
  <c r="K401" i="1"/>
  <c r="K58" i="1"/>
  <c r="K1018" i="1"/>
  <c r="K616" i="1"/>
  <c r="K421" i="1"/>
  <c r="K595" i="1"/>
  <c r="K1672" i="1"/>
  <c r="K973" i="1"/>
  <c r="K941" i="1"/>
  <c r="K925" i="1"/>
  <c r="K909" i="1"/>
  <c r="K877" i="1"/>
  <c r="K861" i="1"/>
  <c r="K845" i="1"/>
  <c r="K723" i="1"/>
  <c r="K706" i="1"/>
  <c r="K542" i="1"/>
  <c r="K1558" i="1"/>
  <c r="K1162" i="1"/>
  <c r="K1091" i="1"/>
  <c r="K832" i="1"/>
  <c r="K67" i="1"/>
  <c r="K1484" i="1"/>
  <c r="K310" i="1"/>
  <c r="K56" i="1"/>
  <c r="K1016" i="1"/>
  <c r="K806" i="1"/>
  <c r="K419" i="1"/>
  <c r="K1058" i="1"/>
  <c r="K427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9" i="1"/>
  <c r="K1625" i="1"/>
  <c r="K1611" i="1"/>
  <c r="K1577" i="1"/>
  <c r="K1508" i="1"/>
  <c r="K1475" i="1"/>
  <c r="K1456" i="1"/>
  <c r="K1440" i="1"/>
  <c r="K1403" i="1"/>
  <c r="K1371" i="1"/>
  <c r="K1342" i="1"/>
  <c r="K1311" i="1"/>
  <c r="K1295" i="1"/>
  <c r="K1279" i="1"/>
  <c r="K1263" i="1"/>
  <c r="K1248" i="1"/>
  <c r="K1222" i="1"/>
  <c r="K1206" i="1"/>
  <c r="K1190" i="1"/>
  <c r="K1176" i="1"/>
  <c r="K1134" i="1"/>
  <c r="K1117" i="1"/>
  <c r="K540" i="1"/>
  <c r="K524" i="1"/>
  <c r="K510" i="1"/>
  <c r="K492" i="1"/>
  <c r="K541" i="1"/>
  <c r="K461" i="1"/>
  <c r="K445" i="1"/>
  <c r="K423" i="1"/>
  <c r="K404" i="1"/>
  <c r="K38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132" i="1"/>
  <c r="K105" i="1"/>
  <c r="K89" i="1"/>
  <c r="K73" i="1"/>
  <c r="K40" i="1"/>
  <c r="K21" i="1"/>
  <c r="K649" i="1"/>
  <c r="K629" i="1"/>
  <c r="K611" i="1"/>
  <c r="K591" i="1"/>
  <c r="K574" i="1"/>
  <c r="K553" i="1"/>
  <c r="K676" i="1"/>
  <c r="K660" i="1"/>
  <c r="K1072" i="1"/>
  <c r="K1087" i="1"/>
  <c r="K993" i="1"/>
  <c r="K1008" i="1"/>
  <c r="K1040" i="1"/>
  <c r="K1024" i="1"/>
  <c r="K791" i="1"/>
  <c r="K775" i="1"/>
  <c r="K988" i="1"/>
  <c r="K972" i="1"/>
  <c r="K956" i="1"/>
  <c r="K940" i="1"/>
  <c r="K924" i="1"/>
  <c r="K908" i="1"/>
  <c r="K892" i="1"/>
  <c r="K876" i="1"/>
  <c r="K860" i="1"/>
  <c r="K844" i="1"/>
  <c r="K722" i="1"/>
  <c r="K702" i="1"/>
  <c r="K643" i="1"/>
  <c r="K1556" i="1"/>
  <c r="K126" i="1"/>
  <c r="K1090" i="1"/>
  <c r="K831" i="1"/>
  <c r="K406" i="1"/>
  <c r="K1412" i="1"/>
  <c r="K1410" i="1"/>
  <c r="K307" i="1"/>
  <c r="K38" i="1"/>
  <c r="K1015" i="1"/>
  <c r="K1358" i="1"/>
  <c r="K372" i="1"/>
  <c r="K1013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65" i="1"/>
  <c r="K162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645" i="1"/>
  <c r="K1595" i="1"/>
  <c r="K1529" i="1"/>
  <c r="K1505" i="1"/>
  <c r="K1424" i="1"/>
  <c r="K1149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4" i="1"/>
  <c r="K1610" i="1"/>
  <c r="K1594" i="1"/>
  <c r="K1576" i="1"/>
  <c r="K1560" i="1"/>
  <c r="K1541" i="1"/>
  <c r="K1530" i="1"/>
  <c r="K1507" i="1"/>
  <c r="K1501" i="1"/>
  <c r="K1473" i="1"/>
  <c r="K1455" i="1"/>
  <c r="K1439" i="1"/>
  <c r="K1423" i="1"/>
  <c r="K1402" i="1"/>
  <c r="K1370" i="1"/>
  <c r="K1388" i="1"/>
  <c r="K1341" i="1"/>
  <c r="K1325" i="1"/>
  <c r="K1310" i="1"/>
  <c r="K1278" i="1"/>
  <c r="K1262" i="1"/>
  <c r="K1247" i="1"/>
  <c r="K1221" i="1"/>
  <c r="K1205" i="1"/>
  <c r="K1189" i="1"/>
  <c r="K1174" i="1"/>
  <c r="K1148" i="1"/>
  <c r="K1116" i="1"/>
  <c r="K539" i="1"/>
  <c r="K523" i="1"/>
  <c r="K491" i="1"/>
  <c r="K476" i="1"/>
  <c r="K460" i="1"/>
  <c r="K444" i="1"/>
  <c r="K422" i="1"/>
  <c r="K403" i="1"/>
  <c r="K384" i="1"/>
  <c r="K365" i="1"/>
  <c r="K349" i="1"/>
  <c r="K332" i="1"/>
  <c r="K316" i="1"/>
  <c r="K292" i="1"/>
  <c r="K259" i="1"/>
  <c r="K243" i="1"/>
  <c r="K211" i="1"/>
  <c r="K195" i="1"/>
  <c r="K179" i="1"/>
  <c r="K163" i="1"/>
  <c r="K147" i="1"/>
  <c r="K104" i="1"/>
  <c r="K88" i="1"/>
  <c r="K72" i="1"/>
  <c r="K36" i="1"/>
  <c r="K16" i="1"/>
  <c r="K651" i="1"/>
  <c r="K628" i="1"/>
  <c r="K610" i="1"/>
  <c r="K590" i="1"/>
  <c r="K573" i="1"/>
  <c r="K552" i="1"/>
  <c r="K675" i="1"/>
  <c r="K1071" i="1"/>
  <c r="K1086" i="1"/>
  <c r="K992" i="1"/>
  <c r="K1006" i="1"/>
  <c r="K1039" i="1"/>
  <c r="K790" i="1"/>
  <c r="K774" i="1"/>
  <c r="K987" i="1"/>
  <c r="K971" i="1"/>
  <c r="K955" i="1"/>
  <c r="K939" i="1"/>
  <c r="K923" i="1"/>
  <c r="K907" i="1"/>
  <c r="K875" i="1"/>
  <c r="K859" i="1"/>
  <c r="K843" i="1"/>
  <c r="K721" i="1"/>
  <c r="K700" i="1"/>
  <c r="K624" i="1"/>
  <c r="K1499" i="1"/>
  <c r="K68" i="1"/>
  <c r="K1022" i="1"/>
  <c r="K830" i="1"/>
  <c r="K66" i="1"/>
  <c r="K432" i="1"/>
  <c r="K301" i="1"/>
  <c r="K37" i="1"/>
  <c r="K751" i="1"/>
  <c r="K55" i="1"/>
  <c r="K340" i="1"/>
  <c r="K749" i="1"/>
  <c r="K168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3" i="1"/>
  <c r="K1609" i="1"/>
  <c r="K1557" i="1"/>
  <c r="K1525" i="1"/>
  <c r="K1454" i="1"/>
  <c r="K2185" i="1"/>
  <c r="K2121" i="1"/>
  <c r="K2089" i="1"/>
  <c r="K2025" i="1"/>
  <c r="K1977" i="1"/>
  <c r="K1945" i="1"/>
  <c r="K1913" i="1"/>
  <c r="K1833" i="1"/>
  <c r="K1801" i="1"/>
  <c r="K1769" i="1"/>
  <c r="K1721" i="1"/>
  <c r="K1657" i="1"/>
  <c r="K1623" i="1"/>
  <c r="K1575" i="1"/>
  <c r="K1540" i="1"/>
  <c r="K1498" i="1"/>
  <c r="K1474" i="1"/>
  <c r="K1422" i="1"/>
  <c r="K1369" i="1"/>
  <c r="K1340" i="1"/>
  <c r="K1220" i="1"/>
  <c r="K1188" i="1"/>
  <c r="K1154" i="1"/>
  <c r="K1115" i="1"/>
  <c r="K538" i="1"/>
  <c r="K475" i="1"/>
  <c r="K459" i="1"/>
  <c r="K399" i="1"/>
  <c r="K364" i="1"/>
  <c r="K315" i="1"/>
  <c r="K242" i="1"/>
  <c r="K210" i="1"/>
  <c r="K178" i="1"/>
  <c r="K146" i="1"/>
  <c r="K103" i="1"/>
  <c r="K71" i="1"/>
  <c r="K15" i="1"/>
  <c r="K627" i="1"/>
  <c r="K588" i="1"/>
  <c r="K658" i="1"/>
  <c r="K1085" i="1"/>
  <c r="K789" i="1"/>
  <c r="K986" i="1"/>
  <c r="K954" i="1"/>
  <c r="K906" i="1"/>
  <c r="K858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4" i="1"/>
  <c r="K2184" i="1"/>
  <c r="K1704" i="1"/>
  <c r="K1438" i="1"/>
  <c r="K1398" i="1"/>
  <c r="K1309" i="1"/>
  <c r="K1277" i="1"/>
  <c r="K1204" i="1"/>
  <c r="K1130" i="1"/>
  <c r="K513" i="1"/>
  <c r="K490" i="1"/>
  <c r="K443" i="1"/>
  <c r="K383" i="1"/>
  <c r="K348" i="1"/>
  <c r="K291" i="1"/>
  <c r="K226" i="1"/>
  <c r="K194" i="1"/>
  <c r="K162" i="1"/>
  <c r="K130" i="1"/>
  <c r="K87" i="1"/>
  <c r="K39" i="1"/>
  <c r="K648" i="1"/>
  <c r="K609" i="1"/>
  <c r="K572" i="1"/>
  <c r="K674" i="1"/>
  <c r="K1073" i="1"/>
  <c r="K991" i="1"/>
  <c r="K1038" i="1"/>
  <c r="K773" i="1"/>
  <c r="K970" i="1"/>
  <c r="K938" i="1"/>
  <c r="K922" i="1"/>
  <c r="K890" i="1"/>
  <c r="K874" i="1"/>
  <c r="K842" i="1"/>
  <c r="K704" i="1"/>
  <c r="K589" i="1"/>
  <c r="K1417" i="1"/>
  <c r="K1021" i="1"/>
  <c r="K829" i="1"/>
  <c r="K821" i="1"/>
  <c r="K402" i="1"/>
  <c r="K300" i="1"/>
  <c r="K24" i="1"/>
  <c r="K750" i="1"/>
  <c r="K309" i="1"/>
  <c r="K748" i="1"/>
  <c r="K1681" i="1"/>
  <c r="K2104" i="1"/>
  <c r="K1642" i="1"/>
  <c r="K1608" i="1"/>
  <c r="K1574" i="1"/>
  <c r="K1549" i="1"/>
  <c r="K1539" i="1"/>
  <c r="K1521" i="1"/>
  <c r="K1493" i="1"/>
  <c r="K1453" i="1"/>
  <c r="K1397" i="1"/>
  <c r="K1368" i="1"/>
  <c r="K1355" i="1"/>
  <c r="K1335" i="1"/>
  <c r="K1308" i="1"/>
  <c r="K1292" i="1"/>
  <c r="K1276" i="1"/>
  <c r="K1260" i="1"/>
  <c r="K1203" i="1"/>
  <c r="K1187" i="1"/>
  <c r="K1171" i="1"/>
  <c r="K1147" i="1"/>
  <c r="K1129" i="1"/>
  <c r="K1123" i="1"/>
  <c r="K537" i="1"/>
  <c r="K512" i="1"/>
  <c r="K489" i="1"/>
  <c r="K474" i="1"/>
  <c r="K458" i="1"/>
  <c r="K442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7" i="1"/>
  <c r="K626" i="1"/>
  <c r="K608" i="1"/>
  <c r="K587" i="1"/>
  <c r="K568" i="1"/>
  <c r="K673" i="1"/>
  <c r="K657" i="1"/>
  <c r="K1084" i="1"/>
  <c r="K990" i="1"/>
  <c r="K1037" i="1"/>
  <c r="K746" i="1"/>
  <c r="K788" i="1"/>
  <c r="K772" i="1"/>
  <c r="K985" i="1"/>
  <c r="K969" i="1"/>
  <c r="K937" i="1"/>
  <c r="K921" i="1"/>
  <c r="K905" i="1"/>
  <c r="K889" i="1"/>
  <c r="K873" i="1"/>
  <c r="K857" i="1"/>
  <c r="K841" i="1"/>
  <c r="K717" i="1"/>
  <c r="K697" i="1"/>
  <c r="K600" i="1"/>
  <c r="K1416" i="1"/>
  <c r="K1020" i="1"/>
  <c r="K828" i="1"/>
  <c r="K820" i="1"/>
  <c r="K379" i="1"/>
  <c r="K1407" i="1"/>
  <c r="K124" i="1"/>
  <c r="K20" i="1"/>
  <c r="K812" i="1"/>
  <c r="K804" i="1"/>
  <c r="K308" i="1"/>
  <c r="K801" i="1"/>
  <c r="K1680" i="1"/>
  <c r="K2149" i="1"/>
  <c r="K2133" i="1"/>
  <c r="K2021" i="1"/>
  <c r="K2005" i="1"/>
  <c r="K1893" i="1"/>
  <c r="K1877" i="1"/>
  <c r="K1781" i="1"/>
  <c r="K1765" i="1"/>
  <c r="K1685" i="1"/>
  <c r="K1631" i="1"/>
  <c r="K1605" i="1"/>
  <c r="K1536" i="1"/>
  <c r="K1512" i="1"/>
  <c r="K1450" i="1"/>
  <c r="K1352" i="1"/>
  <c r="K1235" i="1"/>
  <c r="K1321" i="1"/>
  <c r="K1257" i="1"/>
  <c r="K1233" i="1"/>
  <c r="K1184" i="1"/>
  <c r="K1144" i="1"/>
  <c r="K1126" i="1"/>
  <c r="K521" i="1"/>
  <c r="K471" i="1"/>
  <c r="K455" i="1"/>
  <c r="K439" i="1"/>
  <c r="K415" i="1"/>
  <c r="K395" i="1"/>
  <c r="K360" i="1"/>
  <c r="K254" i="1"/>
  <c r="K222" i="1"/>
  <c r="K206" i="1"/>
  <c r="K158" i="1"/>
  <c r="K115" i="1"/>
  <c r="K99" i="1"/>
  <c r="K83" i="1"/>
  <c r="K50" i="1"/>
  <c r="K32" i="1"/>
  <c r="K605" i="1"/>
  <c r="K564" i="1"/>
  <c r="K686" i="1"/>
  <c r="K670" i="1"/>
  <c r="K1074" i="1"/>
  <c r="K1004" i="1"/>
  <c r="K1050" i="1"/>
  <c r="K785" i="1"/>
  <c r="K769" i="1"/>
  <c r="K982" i="1"/>
  <c r="K918" i="1"/>
  <c r="K870" i="1"/>
  <c r="K854" i="1"/>
  <c r="K732" i="1"/>
  <c r="K714" i="1"/>
  <c r="K1413" i="1"/>
  <c r="K125" i="1"/>
  <c r="K64" i="1"/>
  <c r="K809" i="1"/>
  <c r="K1676" i="1"/>
  <c r="K3" i="1" l="1"/>
  <c r="A3" i="1" l="1"/>
  <c r="B3" i="1"/>
  <c r="C3" i="1"/>
  <c r="D3" i="1"/>
  <c r="E3" i="1"/>
  <c r="F3" i="1"/>
  <c r="G3" i="1"/>
  <c r="H3" i="1"/>
  <c r="L3" i="1"/>
  <c r="P3" i="1"/>
  <c r="D138" i="2" l="1"/>
  <c r="E138" i="2"/>
  <c r="F138" i="2"/>
  <c r="G138" i="2"/>
  <c r="D51" i="2" l="1"/>
  <c r="E51" i="2"/>
  <c r="F51" i="2"/>
  <c r="D48" i="2"/>
  <c r="E48" i="2"/>
  <c r="F48" i="2"/>
  <c r="D114" i="2" l="1"/>
  <c r="E114" i="2"/>
  <c r="F114" i="2"/>
  <c r="G114" i="2"/>
  <c r="D67" i="2" l="1"/>
  <c r="E67" i="2"/>
  <c r="F67" i="2"/>
  <c r="A166" i="5" l="1"/>
  <c r="D166" i="5"/>
  <c r="E166" i="5"/>
  <c r="F166" i="5"/>
  <c r="G166" i="5"/>
  <c r="A167" i="5"/>
  <c r="D167" i="5"/>
  <c r="E167" i="5"/>
  <c r="F167" i="5"/>
  <c r="G167" i="5"/>
  <c r="A168" i="5"/>
  <c r="D168" i="5"/>
  <c r="E168" i="5"/>
  <c r="F168" i="5"/>
  <c r="G168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A174" i="5"/>
  <c r="D174" i="5"/>
  <c r="E174" i="5"/>
  <c r="F174" i="5"/>
  <c r="G174" i="5"/>
  <c r="A175" i="5"/>
  <c r="D175" i="5"/>
  <c r="E175" i="5"/>
  <c r="F175" i="5"/>
  <c r="G175" i="5"/>
  <c r="A176" i="5"/>
  <c r="D176" i="5"/>
  <c r="E176" i="5"/>
  <c r="F176" i="5"/>
  <c r="G176" i="5"/>
  <c r="D26" i="5"/>
  <c r="G111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222" i="2"/>
  <c r="G97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3" i="2"/>
  <c r="G108" i="2"/>
  <c r="G98" i="2"/>
  <c r="G99" i="2"/>
  <c r="G102" i="2"/>
  <c r="G100" i="2"/>
  <c r="G106" i="2"/>
  <c r="G103" i="2"/>
  <c r="G104" i="2"/>
  <c r="G109" i="2"/>
  <c r="G110" i="2"/>
  <c r="G101" i="2"/>
  <c r="G107" i="2"/>
  <c r="G118" i="2"/>
  <c r="G131" i="2"/>
  <c r="G124" i="2"/>
  <c r="G129" i="2"/>
  <c r="G120" i="2"/>
  <c r="G132" i="2"/>
  <c r="G122" i="2"/>
  <c r="G123" i="2"/>
  <c r="G133" i="2"/>
  <c r="G125" i="2"/>
  <c r="G127" i="2"/>
  <c r="G116" i="2"/>
  <c r="G134" i="2"/>
  <c r="G121" i="2"/>
  <c r="G128" i="2"/>
  <c r="G142" i="2"/>
  <c r="G146" i="2"/>
  <c r="G145" i="2"/>
  <c r="G144" i="2"/>
  <c r="G143" i="2"/>
  <c r="G141" i="2"/>
  <c r="G161" i="2"/>
  <c r="G150" i="2"/>
  <c r="G155" i="2"/>
  <c r="G148" i="2"/>
  <c r="G158" i="2"/>
  <c r="G156" i="2"/>
  <c r="G159" i="2"/>
  <c r="G152" i="2"/>
  <c r="G149" i="2"/>
  <c r="G162" i="2"/>
  <c r="G167" i="2"/>
  <c r="G160" i="2"/>
  <c r="G151" i="2"/>
  <c r="G157" i="2"/>
  <c r="G163" i="2"/>
  <c r="G154" i="2"/>
  <c r="G164" i="2"/>
  <c r="G165" i="2"/>
  <c r="G166" i="2"/>
  <c r="G153" i="2"/>
  <c r="G169" i="2"/>
  <c r="G175" i="2"/>
  <c r="G172" i="2"/>
  <c r="G168" i="2"/>
  <c r="G171" i="2"/>
  <c r="G170" i="2"/>
  <c r="G176" i="2"/>
  <c r="G180" i="2"/>
  <c r="G181" i="2"/>
  <c r="G182" i="2"/>
  <c r="G183" i="2"/>
  <c r="G173" i="2"/>
  <c r="G174" i="2"/>
  <c r="G177" i="2"/>
  <c r="G184" i="2"/>
  <c r="G178" i="2"/>
  <c r="G179" i="2"/>
  <c r="G78" i="2"/>
  <c r="G79" i="2"/>
  <c r="G80" i="2"/>
  <c r="G105" i="2"/>
  <c r="G119" i="2"/>
  <c r="G147" i="2"/>
  <c r="G191" i="2"/>
  <c r="G187" i="2"/>
  <c r="G185" i="2"/>
  <c r="G192" i="2"/>
  <c r="G188" i="2"/>
  <c r="G194" i="2"/>
  <c r="G196" i="2"/>
  <c r="G186" i="2"/>
  <c r="G189" i="2"/>
  <c r="G197" i="2"/>
  <c r="G198" i="2"/>
  <c r="G199" i="2"/>
  <c r="G190" i="2"/>
  <c r="G193" i="2"/>
  <c r="G195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5" i="2"/>
  <c r="G126" i="2"/>
  <c r="G221" i="2"/>
  <c r="G139" i="2"/>
  <c r="G135" i="2"/>
  <c r="G140" i="2"/>
  <c r="G117" i="2"/>
  <c r="G136" i="2"/>
  <c r="G137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2" i="2"/>
  <c r="G130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G18" i="5"/>
  <c r="G19" i="5"/>
  <c r="G20" i="5"/>
  <c r="G22" i="5"/>
  <c r="G23" i="5"/>
  <c r="G15" i="5"/>
  <c r="G16" i="5"/>
  <c r="G11" i="5"/>
  <c r="G12" i="5"/>
  <c r="G13" i="5"/>
  <c r="G163" i="5"/>
  <c r="G164" i="5"/>
  <c r="G165" i="5"/>
  <c r="G149" i="5"/>
  <c r="G150" i="5"/>
  <c r="G155" i="5"/>
  <c r="G156" i="5"/>
  <c r="G157" i="5"/>
  <c r="G158" i="5"/>
  <c r="G159" i="5"/>
  <c r="G153" i="5"/>
  <c r="G151" i="5"/>
  <c r="G145" i="5"/>
  <c r="G146" i="5"/>
  <c r="G147" i="5"/>
  <c r="G140" i="5"/>
  <c r="G96" i="5"/>
  <c r="G142" i="5"/>
  <c r="G143" i="5"/>
  <c r="G144" i="5"/>
  <c r="G130" i="5"/>
  <c r="G131" i="5"/>
  <c r="G132" i="5"/>
  <c r="G133" i="5"/>
  <c r="G134" i="5"/>
  <c r="G135" i="5"/>
  <c r="G136" i="5"/>
  <c r="G137" i="5"/>
  <c r="G138" i="5"/>
  <c r="G126" i="5"/>
  <c r="G127" i="5"/>
  <c r="G120" i="5"/>
  <c r="G121" i="5"/>
  <c r="G122" i="5"/>
  <c r="G123" i="5"/>
  <c r="G124" i="5"/>
  <c r="G125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91" i="5"/>
  <c r="G92" i="5"/>
  <c r="G93" i="5"/>
  <c r="G94" i="5"/>
  <c r="G95" i="5"/>
  <c r="G97" i="5"/>
  <c r="G55" i="5"/>
  <c r="G56" i="5"/>
  <c r="G57" i="5"/>
  <c r="G58" i="5"/>
  <c r="G59" i="5"/>
  <c r="G60" i="5"/>
  <c r="G61" i="5"/>
  <c r="G62" i="5"/>
  <c r="G29" i="5"/>
  <c r="G30" i="5"/>
  <c r="G31" i="5"/>
  <c r="G32" i="5"/>
  <c r="G24" i="5"/>
  <c r="G21" i="5"/>
  <c r="G25" i="5"/>
  <c r="G148" i="5"/>
  <c r="G160" i="5"/>
  <c r="G154" i="5"/>
  <c r="G161" i="5"/>
  <c r="G139" i="5"/>
  <c r="G152" i="5"/>
  <c r="G162" i="5"/>
  <c r="G177" i="5"/>
  <c r="G178" i="5"/>
  <c r="G179" i="5"/>
  <c r="G172" i="5"/>
  <c r="G173" i="5"/>
  <c r="G180" i="5"/>
  <c r="G14" i="5"/>
  <c r="G347" i="5"/>
  <c r="G17" i="5"/>
  <c r="G26" i="5"/>
  <c r="G27" i="5"/>
  <c r="G28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113" i="5"/>
  <c r="G114" i="5"/>
  <c r="G115" i="5"/>
  <c r="G116" i="5"/>
  <c r="G117" i="5"/>
  <c r="G118" i="5"/>
  <c r="G119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5" i="5"/>
  <c r="K275" i="5" s="1"/>
  <c r="G276" i="5"/>
  <c r="K276" i="5" s="1"/>
  <c r="G277" i="5"/>
  <c r="K277" i="5" s="1"/>
  <c r="G278" i="5"/>
  <c r="K278" i="5" s="1"/>
  <c r="G279" i="5"/>
  <c r="K279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141" i="5"/>
  <c r="K141" i="5" s="1"/>
  <c r="G280" i="5"/>
  <c r="K280" i="5" s="1"/>
  <c r="G128" i="5"/>
  <c r="K128" i="5" s="1"/>
  <c r="G348" i="5"/>
  <c r="K348" i="5" s="1"/>
  <c r="G349" i="5"/>
  <c r="K349" i="5" s="1"/>
  <c r="G350" i="5"/>
  <c r="K350" i="5" s="1"/>
  <c r="G7" i="5"/>
  <c r="K7" i="5" s="1"/>
  <c r="G129" i="5"/>
  <c r="K129" i="5" s="1"/>
  <c r="G8" i="5"/>
  <c r="K8" i="5" s="1"/>
  <c r="G9" i="5"/>
  <c r="K9" i="5" s="1"/>
  <c r="G351" i="5"/>
  <c r="K351" i="5" s="1"/>
  <c r="G352" i="5"/>
  <c r="K352" i="5" s="1"/>
  <c r="G10" i="5"/>
  <c r="K10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8" i="5"/>
  <c r="F19" i="5"/>
  <c r="F20" i="5"/>
  <c r="F22" i="5"/>
  <c r="F23" i="5"/>
  <c r="F15" i="5"/>
  <c r="F16" i="5"/>
  <c r="F11" i="5"/>
  <c r="F12" i="5"/>
  <c r="F13" i="5"/>
  <c r="F163" i="5"/>
  <c r="F164" i="5"/>
  <c r="F165" i="5"/>
  <c r="F149" i="5"/>
  <c r="F150" i="5"/>
  <c r="F155" i="5"/>
  <c r="F156" i="5"/>
  <c r="F157" i="5"/>
  <c r="F158" i="5"/>
  <c r="F159" i="5"/>
  <c r="F153" i="5"/>
  <c r="F151" i="5"/>
  <c r="F145" i="5"/>
  <c r="F146" i="5"/>
  <c r="F147" i="5"/>
  <c r="F140" i="5"/>
  <c r="F96" i="5"/>
  <c r="F142" i="5"/>
  <c r="F143" i="5"/>
  <c r="F144" i="5"/>
  <c r="F130" i="5"/>
  <c r="F131" i="5"/>
  <c r="F132" i="5"/>
  <c r="F133" i="5"/>
  <c r="F134" i="5"/>
  <c r="F135" i="5"/>
  <c r="F136" i="5"/>
  <c r="F137" i="5"/>
  <c r="F138" i="5"/>
  <c r="F126" i="5"/>
  <c r="F127" i="5"/>
  <c r="F120" i="5"/>
  <c r="F121" i="5"/>
  <c r="F122" i="5"/>
  <c r="F123" i="5"/>
  <c r="F124" i="5"/>
  <c r="F125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91" i="5"/>
  <c r="F92" i="5"/>
  <c r="F93" i="5"/>
  <c r="F94" i="5"/>
  <c r="F95" i="5"/>
  <c r="F97" i="5"/>
  <c r="F55" i="5"/>
  <c r="F56" i="5"/>
  <c r="F57" i="5"/>
  <c r="F58" i="5"/>
  <c r="F59" i="5"/>
  <c r="F60" i="5"/>
  <c r="F61" i="5"/>
  <c r="F62" i="5"/>
  <c r="F29" i="5"/>
  <c r="F30" i="5"/>
  <c r="F31" i="5"/>
  <c r="F32" i="5"/>
  <c r="F24" i="5"/>
  <c r="F21" i="5"/>
  <c r="F25" i="5"/>
  <c r="F148" i="5"/>
  <c r="F160" i="5"/>
  <c r="F154" i="5"/>
  <c r="F161" i="5"/>
  <c r="F139" i="5"/>
  <c r="F152" i="5"/>
  <c r="F162" i="5"/>
  <c r="F177" i="5"/>
  <c r="F178" i="5"/>
  <c r="F179" i="5"/>
  <c r="F172" i="5"/>
  <c r="F173" i="5"/>
  <c r="F180" i="5"/>
  <c r="F14" i="5"/>
  <c r="F347" i="5"/>
  <c r="F17" i="5"/>
  <c r="F26" i="5"/>
  <c r="F27" i="5"/>
  <c r="F28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113" i="5"/>
  <c r="F114" i="5"/>
  <c r="F115" i="5"/>
  <c r="F116" i="5"/>
  <c r="F117" i="5"/>
  <c r="F118" i="5"/>
  <c r="F119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141" i="5"/>
  <c r="F280" i="5"/>
  <c r="F128" i="5"/>
  <c r="F348" i="5"/>
  <c r="F349" i="5"/>
  <c r="F350" i="5"/>
  <c r="F7" i="5"/>
  <c r="F129" i="5"/>
  <c r="F8" i="5"/>
  <c r="F9" i="5"/>
  <c r="F351" i="5"/>
  <c r="F352" i="5"/>
  <c r="F10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8" i="5"/>
  <c r="E19" i="5"/>
  <c r="E20" i="5"/>
  <c r="E22" i="5"/>
  <c r="E23" i="5"/>
  <c r="E15" i="5"/>
  <c r="E16" i="5"/>
  <c r="E11" i="5"/>
  <c r="E12" i="5"/>
  <c r="E13" i="5"/>
  <c r="E163" i="5"/>
  <c r="E164" i="5"/>
  <c r="E165" i="5"/>
  <c r="E149" i="5"/>
  <c r="E150" i="5"/>
  <c r="E155" i="5"/>
  <c r="E156" i="5"/>
  <c r="E157" i="5"/>
  <c r="E158" i="5"/>
  <c r="E159" i="5"/>
  <c r="E153" i="5"/>
  <c r="E151" i="5"/>
  <c r="E145" i="5"/>
  <c r="E146" i="5"/>
  <c r="E147" i="5"/>
  <c r="E140" i="5"/>
  <c r="E96" i="5"/>
  <c r="E142" i="5"/>
  <c r="E143" i="5"/>
  <c r="E144" i="5"/>
  <c r="E130" i="5"/>
  <c r="E131" i="5"/>
  <c r="E132" i="5"/>
  <c r="E133" i="5"/>
  <c r="E134" i="5"/>
  <c r="E135" i="5"/>
  <c r="E136" i="5"/>
  <c r="E137" i="5"/>
  <c r="E138" i="5"/>
  <c r="E126" i="5"/>
  <c r="E127" i="5"/>
  <c r="E120" i="5"/>
  <c r="E121" i="5"/>
  <c r="E122" i="5"/>
  <c r="E123" i="5"/>
  <c r="E124" i="5"/>
  <c r="E125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91" i="5"/>
  <c r="E92" i="5"/>
  <c r="E93" i="5"/>
  <c r="E94" i="5"/>
  <c r="E95" i="5"/>
  <c r="E97" i="5"/>
  <c r="E55" i="5"/>
  <c r="E56" i="5"/>
  <c r="E57" i="5"/>
  <c r="E58" i="5"/>
  <c r="E59" i="5"/>
  <c r="E60" i="5"/>
  <c r="E61" i="5"/>
  <c r="E62" i="5"/>
  <c r="E29" i="5"/>
  <c r="E30" i="5"/>
  <c r="E31" i="5"/>
  <c r="E32" i="5"/>
  <c r="E24" i="5"/>
  <c r="E21" i="5"/>
  <c r="E25" i="5"/>
  <c r="E148" i="5"/>
  <c r="E160" i="5"/>
  <c r="E154" i="5"/>
  <c r="E161" i="5"/>
  <c r="E139" i="5"/>
  <c r="E152" i="5"/>
  <c r="E162" i="5"/>
  <c r="E177" i="5"/>
  <c r="E178" i="5"/>
  <c r="E179" i="5"/>
  <c r="E172" i="5"/>
  <c r="E173" i="5"/>
  <c r="E180" i="5"/>
  <c r="E14" i="5"/>
  <c r="E347" i="5"/>
  <c r="E17" i="5"/>
  <c r="E26" i="5"/>
  <c r="E27" i="5"/>
  <c r="E28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113" i="5"/>
  <c r="E114" i="5"/>
  <c r="E115" i="5"/>
  <c r="E116" i="5"/>
  <c r="E117" i="5"/>
  <c r="E118" i="5"/>
  <c r="E119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141" i="5"/>
  <c r="E280" i="5"/>
  <c r="E128" i="5"/>
  <c r="E348" i="5"/>
  <c r="E349" i="5"/>
  <c r="E350" i="5"/>
  <c r="E7" i="5"/>
  <c r="E129" i="5"/>
  <c r="E8" i="5"/>
  <c r="E9" i="5"/>
  <c r="E351" i="5"/>
  <c r="E352" i="5"/>
  <c r="E10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1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222" i="2"/>
  <c r="E97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3" i="2"/>
  <c r="E108" i="2"/>
  <c r="E98" i="2"/>
  <c r="E99" i="2"/>
  <c r="E102" i="2"/>
  <c r="E100" i="2"/>
  <c r="E106" i="2"/>
  <c r="E103" i="2"/>
  <c r="E104" i="2"/>
  <c r="E109" i="2"/>
  <c r="E110" i="2"/>
  <c r="E101" i="2"/>
  <c r="E107" i="2"/>
  <c r="E118" i="2"/>
  <c r="E131" i="2"/>
  <c r="E124" i="2"/>
  <c r="E129" i="2"/>
  <c r="E120" i="2"/>
  <c r="E132" i="2"/>
  <c r="E122" i="2"/>
  <c r="E123" i="2"/>
  <c r="E133" i="2"/>
  <c r="E125" i="2"/>
  <c r="E127" i="2"/>
  <c r="E116" i="2"/>
  <c r="E134" i="2"/>
  <c r="E121" i="2"/>
  <c r="E128" i="2"/>
  <c r="E142" i="2"/>
  <c r="E146" i="2"/>
  <c r="E145" i="2"/>
  <c r="E144" i="2"/>
  <c r="E143" i="2"/>
  <c r="E141" i="2"/>
  <c r="E161" i="2"/>
  <c r="E150" i="2"/>
  <c r="E155" i="2"/>
  <c r="E148" i="2"/>
  <c r="E158" i="2"/>
  <c r="E156" i="2"/>
  <c r="E159" i="2"/>
  <c r="E152" i="2"/>
  <c r="E149" i="2"/>
  <c r="E162" i="2"/>
  <c r="E167" i="2"/>
  <c r="E160" i="2"/>
  <c r="E151" i="2"/>
  <c r="E157" i="2"/>
  <c r="E163" i="2"/>
  <c r="E154" i="2"/>
  <c r="E164" i="2"/>
  <c r="E165" i="2"/>
  <c r="E166" i="2"/>
  <c r="E153" i="2"/>
  <c r="E169" i="2"/>
  <c r="E175" i="2"/>
  <c r="E172" i="2"/>
  <c r="E168" i="2"/>
  <c r="E171" i="2"/>
  <c r="E170" i="2"/>
  <c r="E176" i="2"/>
  <c r="E180" i="2"/>
  <c r="E181" i="2"/>
  <c r="E182" i="2"/>
  <c r="E183" i="2"/>
  <c r="E173" i="2"/>
  <c r="E174" i="2"/>
  <c r="E177" i="2"/>
  <c r="E184" i="2"/>
  <c r="E178" i="2"/>
  <c r="E179" i="2"/>
  <c r="E78" i="2"/>
  <c r="E79" i="2"/>
  <c r="E80" i="2"/>
  <c r="E105" i="2"/>
  <c r="E119" i="2"/>
  <c r="E147" i="2"/>
  <c r="E191" i="2"/>
  <c r="E187" i="2"/>
  <c r="E185" i="2"/>
  <c r="E192" i="2"/>
  <c r="E188" i="2"/>
  <c r="E194" i="2"/>
  <c r="E196" i="2"/>
  <c r="E186" i="2"/>
  <c r="E189" i="2"/>
  <c r="E197" i="2"/>
  <c r="E198" i="2"/>
  <c r="E199" i="2"/>
  <c r="E190" i="2"/>
  <c r="E193" i="2"/>
  <c r="E195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5" i="2"/>
  <c r="E126" i="2"/>
  <c r="E221" i="2"/>
  <c r="E139" i="2"/>
  <c r="E135" i="2"/>
  <c r="E140" i="2"/>
  <c r="E117" i="2"/>
  <c r="E136" i="2"/>
  <c r="E137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2" i="2"/>
  <c r="E130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1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222" i="2"/>
  <c r="F97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3" i="2"/>
  <c r="F108" i="2"/>
  <c r="F98" i="2"/>
  <c r="F99" i="2"/>
  <c r="F102" i="2"/>
  <c r="F100" i="2"/>
  <c r="F106" i="2"/>
  <c r="F103" i="2"/>
  <c r="F104" i="2"/>
  <c r="F109" i="2"/>
  <c r="F110" i="2"/>
  <c r="F101" i="2"/>
  <c r="F107" i="2"/>
  <c r="F118" i="2"/>
  <c r="F131" i="2"/>
  <c r="F124" i="2"/>
  <c r="F129" i="2"/>
  <c r="F120" i="2"/>
  <c r="F132" i="2"/>
  <c r="F122" i="2"/>
  <c r="F123" i="2"/>
  <c r="F133" i="2"/>
  <c r="F125" i="2"/>
  <c r="F127" i="2"/>
  <c r="F116" i="2"/>
  <c r="F134" i="2"/>
  <c r="F121" i="2"/>
  <c r="F128" i="2"/>
  <c r="F142" i="2"/>
  <c r="F146" i="2"/>
  <c r="F145" i="2"/>
  <c r="F144" i="2"/>
  <c r="F143" i="2"/>
  <c r="F141" i="2"/>
  <c r="F161" i="2"/>
  <c r="F150" i="2"/>
  <c r="F155" i="2"/>
  <c r="F148" i="2"/>
  <c r="F158" i="2"/>
  <c r="F156" i="2"/>
  <c r="F159" i="2"/>
  <c r="F152" i="2"/>
  <c r="F149" i="2"/>
  <c r="F162" i="2"/>
  <c r="F167" i="2"/>
  <c r="F160" i="2"/>
  <c r="F151" i="2"/>
  <c r="F157" i="2"/>
  <c r="F163" i="2"/>
  <c r="F154" i="2"/>
  <c r="F164" i="2"/>
  <c r="F165" i="2"/>
  <c r="F166" i="2"/>
  <c r="F153" i="2"/>
  <c r="F169" i="2"/>
  <c r="F175" i="2"/>
  <c r="F172" i="2"/>
  <c r="F168" i="2"/>
  <c r="F171" i="2"/>
  <c r="F170" i="2"/>
  <c r="F176" i="2"/>
  <c r="F180" i="2"/>
  <c r="F181" i="2"/>
  <c r="F182" i="2"/>
  <c r="F183" i="2"/>
  <c r="F173" i="2"/>
  <c r="F174" i="2"/>
  <c r="F177" i="2"/>
  <c r="F184" i="2"/>
  <c r="F178" i="2"/>
  <c r="F179" i="2"/>
  <c r="F78" i="2"/>
  <c r="F79" i="2"/>
  <c r="F80" i="2"/>
  <c r="F105" i="2"/>
  <c r="F119" i="2"/>
  <c r="F147" i="2"/>
  <c r="F191" i="2"/>
  <c r="F187" i="2"/>
  <c r="F185" i="2"/>
  <c r="F192" i="2"/>
  <c r="F188" i="2"/>
  <c r="F194" i="2"/>
  <c r="F196" i="2"/>
  <c r="F186" i="2"/>
  <c r="F189" i="2"/>
  <c r="F197" i="2"/>
  <c r="F198" i="2"/>
  <c r="F199" i="2"/>
  <c r="F190" i="2"/>
  <c r="F193" i="2"/>
  <c r="F195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5" i="2"/>
  <c r="F126" i="2"/>
  <c r="F221" i="2"/>
  <c r="F139" i="2"/>
  <c r="F135" i="2"/>
  <c r="F140" i="2"/>
  <c r="F117" i="2"/>
  <c r="F136" i="2"/>
  <c r="F137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2" i="2"/>
  <c r="F130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09" i="1" s="1"/>
  <c r="H5" i="2" a="1"/>
  <c r="H5" i="2" s="1"/>
  <c r="I5" i="2" a="1"/>
  <c r="I5" i="2" s="1"/>
  <c r="J5" i="2" a="1"/>
  <c r="J5" i="2" s="1"/>
  <c r="L5" i="2" a="1"/>
  <c r="L5" i="2" s="1"/>
  <c r="D158" i="5"/>
  <c r="D159" i="5"/>
  <c r="D153" i="5"/>
  <c r="D151" i="5"/>
  <c r="D145" i="5"/>
  <c r="D146" i="5"/>
  <c r="D147" i="5"/>
  <c r="D140" i="5"/>
  <c r="D96" i="5"/>
  <c r="D142" i="5"/>
  <c r="D143" i="5"/>
  <c r="D144" i="5"/>
  <c r="D130" i="5"/>
  <c r="D131" i="5"/>
  <c r="D132" i="5"/>
  <c r="D133" i="5"/>
  <c r="D134" i="5"/>
  <c r="D135" i="5"/>
  <c r="D136" i="5"/>
  <c r="D137" i="5"/>
  <c r="D138" i="5"/>
  <c r="D126" i="5"/>
  <c r="D127" i="5"/>
  <c r="D120" i="5"/>
  <c r="D121" i="5"/>
  <c r="D122" i="5"/>
  <c r="D123" i="5"/>
  <c r="D124" i="5"/>
  <c r="D125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91" i="5"/>
  <c r="D92" i="5"/>
  <c r="D93" i="5"/>
  <c r="D94" i="5"/>
  <c r="D95" i="5"/>
  <c r="D97" i="5"/>
  <c r="D55" i="5"/>
  <c r="D56" i="5"/>
  <c r="D57" i="5"/>
  <c r="D58" i="5"/>
  <c r="D59" i="5"/>
  <c r="D60" i="5"/>
  <c r="D61" i="5"/>
  <c r="D62" i="5"/>
  <c r="D29" i="5"/>
  <c r="D30" i="5"/>
  <c r="D31" i="5"/>
  <c r="D32" i="5"/>
  <c r="D24" i="5"/>
  <c r="D21" i="5"/>
  <c r="D25" i="5"/>
  <c r="D148" i="5"/>
  <c r="D160" i="5"/>
  <c r="D154" i="5"/>
  <c r="D161" i="5"/>
  <c r="D139" i="5"/>
  <c r="D152" i="5"/>
  <c r="D162" i="5"/>
  <c r="D177" i="5"/>
  <c r="D178" i="5"/>
  <c r="D179" i="5"/>
  <c r="D172" i="5"/>
  <c r="D173" i="5"/>
  <c r="D180" i="5"/>
  <c r="D14" i="5"/>
  <c r="D347" i="5"/>
  <c r="D17" i="5"/>
  <c r="D27" i="5"/>
  <c r="D28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113" i="5"/>
  <c r="D114" i="5"/>
  <c r="D115" i="5"/>
  <c r="D116" i="5"/>
  <c r="D117" i="5"/>
  <c r="D118" i="5"/>
  <c r="D119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141" i="5"/>
  <c r="D280" i="5"/>
  <c r="D128" i="5"/>
  <c r="D348" i="5"/>
  <c r="D349" i="5"/>
  <c r="D350" i="5"/>
  <c r="D7" i="5"/>
  <c r="D129" i="5"/>
  <c r="D8" i="5"/>
  <c r="D9" i="5"/>
  <c r="D351" i="5"/>
  <c r="D352" i="5"/>
  <c r="D10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8" i="5"/>
  <c r="A159" i="5"/>
  <c r="A153" i="5"/>
  <c r="A151" i="5"/>
  <c r="A145" i="5"/>
  <c r="A146" i="5"/>
  <c r="A147" i="5"/>
  <c r="A140" i="5"/>
  <c r="A96" i="5"/>
  <c r="A142" i="5"/>
  <c r="A143" i="5"/>
  <c r="A144" i="5"/>
  <c r="A130" i="5"/>
  <c r="A131" i="5"/>
  <c r="A132" i="5"/>
  <c r="A133" i="5"/>
  <c r="A134" i="5"/>
  <c r="A135" i="5"/>
  <c r="A136" i="5"/>
  <c r="A137" i="5"/>
  <c r="A138" i="5"/>
  <c r="A126" i="5"/>
  <c r="A127" i="5"/>
  <c r="A120" i="5"/>
  <c r="A121" i="5"/>
  <c r="A122" i="5"/>
  <c r="A123" i="5"/>
  <c r="A124" i="5"/>
  <c r="A125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91" i="5"/>
  <c r="A92" i="5"/>
  <c r="A93" i="5"/>
  <c r="A94" i="5"/>
  <c r="A95" i="5"/>
  <c r="A97" i="5"/>
  <c r="A55" i="5"/>
  <c r="A56" i="5"/>
  <c r="A57" i="5"/>
  <c r="A58" i="5"/>
  <c r="A59" i="5"/>
  <c r="A60" i="5"/>
  <c r="A61" i="5"/>
  <c r="A62" i="5"/>
  <c r="A29" i="5"/>
  <c r="A30" i="5"/>
  <c r="A31" i="5"/>
  <c r="A32" i="5"/>
  <c r="A24" i="5"/>
  <c r="A21" i="5"/>
  <c r="A25" i="5"/>
  <c r="A148" i="5"/>
  <c r="A160" i="5"/>
  <c r="A154" i="5"/>
  <c r="A161" i="5"/>
  <c r="A139" i="5"/>
  <c r="A152" i="5"/>
  <c r="A162" i="5"/>
  <c r="A177" i="5"/>
  <c r="A178" i="5"/>
  <c r="A179" i="5"/>
  <c r="A172" i="5"/>
  <c r="A173" i="5"/>
  <c r="A180" i="5"/>
  <c r="A14" i="5"/>
  <c r="A347" i="5"/>
  <c r="A17" i="5"/>
  <c r="A26" i="5"/>
  <c r="A27" i="5"/>
  <c r="A28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113" i="5"/>
  <c r="A114" i="5"/>
  <c r="A115" i="5"/>
  <c r="A116" i="5"/>
  <c r="A117" i="5"/>
  <c r="A118" i="5"/>
  <c r="A119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141" i="5"/>
  <c r="A280" i="5"/>
  <c r="A128" i="5"/>
  <c r="A348" i="5"/>
  <c r="A349" i="5"/>
  <c r="A350" i="5"/>
  <c r="A7" i="5"/>
  <c r="A129" i="5"/>
  <c r="A8" i="5"/>
  <c r="A9" i="5"/>
  <c r="A351" i="5"/>
  <c r="A352" i="5"/>
  <c r="A10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2" i="1" l="1"/>
  <c r="N117" i="1"/>
  <c r="N810" i="1"/>
  <c r="N1016" i="1"/>
  <c r="N56" i="1"/>
  <c r="N1223" i="1"/>
  <c r="N309" i="1"/>
  <c r="N1360" i="1"/>
  <c r="N123" i="1"/>
  <c r="N379" i="1"/>
  <c r="N7" i="1"/>
  <c r="N559" i="1"/>
  <c r="N16" i="1"/>
  <c r="N573" i="1"/>
  <c r="N1129" i="1"/>
  <c r="N744" i="1"/>
  <c r="N770" i="1"/>
  <c r="N783" i="1"/>
  <c r="N843" i="1"/>
  <c r="N857" i="1"/>
  <c r="N869" i="1"/>
  <c r="N881" i="1"/>
  <c r="N895" i="1"/>
  <c r="N909" i="1"/>
  <c r="N923" i="1"/>
  <c r="N939" i="1"/>
  <c r="N954" i="1"/>
  <c r="N970" i="1"/>
  <c r="N986" i="1"/>
  <c r="N1002" i="1"/>
  <c r="N1027" i="1"/>
  <c r="N1041" i="1"/>
  <c r="N1139" i="1"/>
  <c r="N1149" i="1"/>
  <c r="N1168" i="1"/>
  <c r="N1186" i="1"/>
  <c r="N1200" i="1"/>
  <c r="N1216" i="1"/>
  <c r="N701" i="1"/>
  <c r="N585" i="1"/>
  <c r="N34" i="1"/>
  <c r="N44" i="1"/>
  <c r="N72" i="1"/>
  <c r="N87" i="1"/>
  <c r="N103" i="1"/>
  <c r="N1244" i="1"/>
  <c r="N1260" i="1"/>
  <c r="N1275" i="1"/>
  <c r="N1290" i="1"/>
  <c r="N1306" i="1"/>
  <c r="N1322" i="1"/>
  <c r="N127" i="1"/>
  <c r="N143" i="1"/>
  <c r="N158" i="1"/>
  <c r="N174" i="1"/>
  <c r="N190" i="1"/>
  <c r="N206" i="1"/>
  <c r="N222" i="1"/>
  <c r="N238" i="1"/>
  <c r="N254" i="1"/>
  <c r="N270" i="1"/>
  <c r="N287" i="1"/>
  <c r="N1336" i="1"/>
  <c r="N1352" i="1"/>
  <c r="N1373" i="1"/>
  <c r="N1390" i="1"/>
  <c r="N1419" i="1"/>
  <c r="N1433" i="1"/>
  <c r="N1447" i="1"/>
  <c r="N1463" i="1"/>
  <c r="N1478" i="1"/>
  <c r="N598" i="1"/>
  <c r="N753" i="1"/>
  <c r="N754" i="1"/>
  <c r="N813" i="1"/>
  <c r="N120" i="1"/>
  <c r="N62" i="1"/>
  <c r="N116" i="1"/>
  <c r="N340" i="1"/>
  <c r="N1412" i="1"/>
  <c r="N1357" i="1"/>
  <c r="N428" i="1"/>
  <c r="N8" i="1"/>
  <c r="N560" i="1"/>
  <c r="N21" i="1"/>
  <c r="N1114" i="1"/>
  <c r="N1130" i="1"/>
  <c r="N745" i="1"/>
  <c r="N771" i="1"/>
  <c r="N784" i="1"/>
  <c r="N844" i="1"/>
  <c r="N858" i="1"/>
  <c r="N870" i="1"/>
  <c r="N882" i="1"/>
  <c r="N896" i="1"/>
  <c r="N910" i="1"/>
  <c r="N924" i="1"/>
  <c r="N837" i="1"/>
  <c r="N955" i="1"/>
  <c r="N971" i="1"/>
  <c r="N987" i="1"/>
  <c r="N1003" i="1"/>
  <c r="N1028" i="1"/>
  <c r="N1042" i="1"/>
  <c r="N658" i="1"/>
  <c r="N1150" i="1"/>
  <c r="N1169" i="1"/>
  <c r="N1182" i="1"/>
  <c r="N1201" i="1"/>
  <c r="N1217" i="1"/>
  <c r="N702" i="1"/>
  <c r="N586" i="1"/>
  <c r="N35" i="1"/>
  <c r="N45" i="1"/>
  <c r="N73" i="1"/>
  <c r="N88" i="1"/>
  <c r="N104" i="1"/>
  <c r="N1245" i="1"/>
  <c r="N1261" i="1"/>
  <c r="N1276" i="1"/>
  <c r="N1291" i="1"/>
  <c r="N1307" i="1"/>
  <c r="N1323" i="1"/>
  <c r="N128" i="1"/>
  <c r="N144" i="1"/>
  <c r="N159" i="1"/>
  <c r="N175" i="1"/>
  <c r="N191" i="1"/>
  <c r="N207" i="1"/>
  <c r="N223" i="1"/>
  <c r="N239" i="1"/>
  <c r="N255" i="1"/>
  <c r="N271" i="1"/>
  <c r="N288" i="1"/>
  <c r="N1337" i="1"/>
  <c r="N1353" i="1"/>
  <c r="N1374" i="1"/>
  <c r="N798" i="1"/>
  <c r="N800" i="1"/>
  <c r="N20" i="1"/>
  <c r="N803" i="1"/>
  <c r="N1053" i="1"/>
  <c r="N713" i="1"/>
  <c r="N1680" i="1"/>
  <c r="N400" i="1"/>
  <c r="N1409" i="1"/>
  <c r="N1407" i="1"/>
  <c r="N549" i="1"/>
  <c r="N13" i="1"/>
  <c r="N26" i="1"/>
  <c r="N1118" i="1"/>
  <c r="N1134" i="1"/>
  <c r="N755" i="1"/>
  <c r="N773" i="1"/>
  <c r="N788" i="1"/>
  <c r="N848" i="1"/>
  <c r="N862" i="1"/>
  <c r="N874" i="1"/>
  <c r="N885" i="1"/>
  <c r="N900" i="1"/>
  <c r="N914" i="1"/>
  <c r="N928" i="1"/>
  <c r="N943" i="1"/>
  <c r="N959" i="1"/>
  <c r="N975" i="1"/>
  <c r="N991" i="1"/>
  <c r="N1007" i="1"/>
  <c r="N1021" i="1"/>
  <c r="N1046" i="1"/>
  <c r="N691" i="1"/>
  <c r="N1155" i="1"/>
  <c r="N1173" i="1"/>
  <c r="N1183" i="1"/>
  <c r="N1205" i="1"/>
  <c r="N1221" i="1"/>
  <c r="N706" i="1"/>
  <c r="N1225" i="1"/>
  <c r="N1228" i="1"/>
  <c r="N49" i="1"/>
  <c r="N76" i="1"/>
  <c r="N92" i="1"/>
  <c r="N108" i="1"/>
  <c r="N1249" i="1"/>
  <c r="N1264" i="1"/>
  <c r="N1280" i="1"/>
  <c r="N1295" i="1"/>
  <c r="N1311" i="1"/>
  <c r="N1327" i="1"/>
  <c r="N132" i="1"/>
  <c r="N147" i="1"/>
  <c r="N163" i="1"/>
  <c r="N179" i="1"/>
  <c r="N195" i="1"/>
  <c r="N211" i="1"/>
  <c r="N227" i="1"/>
  <c r="N243" i="1"/>
  <c r="N259" i="1"/>
  <c r="N275" i="1"/>
  <c r="N292" i="1"/>
  <c r="N1341" i="1"/>
  <c r="N1361" i="1"/>
  <c r="N1378" i="1"/>
  <c r="N1396" i="1"/>
  <c r="N1423" i="1"/>
  <c r="N1437" i="1"/>
  <c r="N1452" i="1"/>
  <c r="N1468" i="1"/>
  <c r="N306" i="1"/>
  <c r="N1052" i="1"/>
  <c r="N406" i="1"/>
  <c r="N751" i="1"/>
  <c r="N805" i="1"/>
  <c r="N17" i="1"/>
  <c r="N308" i="1"/>
  <c r="N1679" i="1"/>
  <c r="N310" i="1"/>
  <c r="N638" i="1"/>
  <c r="N558" i="1"/>
  <c r="N23" i="1"/>
  <c r="N1120" i="1"/>
  <c r="N738" i="1"/>
  <c r="N757" i="1"/>
  <c r="N785" i="1"/>
  <c r="N849" i="1"/>
  <c r="N826" i="1"/>
  <c r="N830" i="1"/>
  <c r="N894" i="1"/>
  <c r="N913" i="1"/>
  <c r="N931" i="1"/>
  <c r="N949" i="1"/>
  <c r="N968" i="1"/>
  <c r="N989" i="1"/>
  <c r="N1009" i="1"/>
  <c r="N1035" i="1"/>
  <c r="N689" i="1"/>
  <c r="N1151" i="1"/>
  <c r="N1174" i="1"/>
  <c r="N1193" i="1"/>
  <c r="N1212" i="1"/>
  <c r="N700" i="1"/>
  <c r="N817" i="1"/>
  <c r="N811" i="1"/>
  <c r="N1015" i="1"/>
  <c r="N748" i="1"/>
  <c r="N1674" i="1"/>
  <c r="N401" i="1"/>
  <c r="N1673" i="1"/>
  <c r="N653" i="1"/>
  <c r="N548" i="1"/>
  <c r="N25" i="1"/>
  <c r="N1121" i="1"/>
  <c r="N739" i="1"/>
  <c r="N768" i="1"/>
  <c r="N786" i="1"/>
  <c r="N850" i="1"/>
  <c r="N827" i="1"/>
  <c r="N831" i="1"/>
  <c r="N897" i="1"/>
  <c r="N915" i="1"/>
  <c r="N932" i="1"/>
  <c r="N950" i="1"/>
  <c r="N969" i="1"/>
  <c r="N990" i="1"/>
  <c r="N1010" i="1"/>
  <c r="N1036" i="1"/>
  <c r="N1137" i="1"/>
  <c r="N1152" i="1"/>
  <c r="N1175" i="1"/>
  <c r="N1194" i="1"/>
  <c r="N820" i="1"/>
  <c r="N66" i="1"/>
  <c r="N1014" i="1"/>
  <c r="N1013" i="1"/>
  <c r="N1018" i="1"/>
  <c r="N65" i="1"/>
  <c r="N55" i="1"/>
  <c r="N63" i="1"/>
  <c r="N1581" i="1"/>
  <c r="N1682" i="1"/>
  <c r="N796" i="1"/>
  <c r="N1533" i="1"/>
  <c r="N687" i="1"/>
  <c r="N12" i="1"/>
  <c r="N542" i="1"/>
  <c r="N1124" i="1"/>
  <c r="N742" i="1"/>
  <c r="N759" i="1"/>
  <c r="N790" i="1"/>
  <c r="N853" i="1"/>
  <c r="N828" i="1"/>
  <c r="N832" i="1"/>
  <c r="N901" i="1"/>
  <c r="N814" i="1"/>
  <c r="N67" i="1"/>
  <c r="N54" i="1"/>
  <c r="N812" i="1"/>
  <c r="N1410" i="1"/>
  <c r="N804" i="1"/>
  <c r="N718" i="1"/>
  <c r="N9" i="1"/>
  <c r="N14" i="1"/>
  <c r="N543" i="1"/>
  <c r="N1125" i="1"/>
  <c r="N743" i="1"/>
  <c r="N772" i="1"/>
  <c r="N791" i="1"/>
  <c r="N824" i="1"/>
  <c r="N867" i="1"/>
  <c r="N883" i="1"/>
  <c r="N902" i="1"/>
  <c r="N918" i="1"/>
  <c r="N936" i="1"/>
  <c r="N956" i="1"/>
  <c r="N976" i="1"/>
  <c r="N995" i="1"/>
  <c r="N1024" i="1"/>
  <c r="N1040" i="1"/>
  <c r="N690" i="1"/>
  <c r="N1159" i="1"/>
  <c r="N1179" i="1"/>
  <c r="N1198" i="1"/>
  <c r="N1219" i="1"/>
  <c r="N576" i="1"/>
  <c r="N708" i="1"/>
  <c r="N41" i="1"/>
  <c r="N74" i="1"/>
  <c r="N93" i="1"/>
  <c r="N112" i="1"/>
  <c r="N1256" i="1"/>
  <c r="N1274" i="1"/>
  <c r="N1294" i="1"/>
  <c r="N1314" i="1"/>
  <c r="N1333" i="1"/>
  <c r="N141" i="1"/>
  <c r="N161" i="1"/>
  <c r="N181" i="1"/>
  <c r="N200" i="1"/>
  <c r="N219" i="1"/>
  <c r="N240" i="1"/>
  <c r="N260" i="1"/>
  <c r="N279" i="1"/>
  <c r="N299" i="1"/>
  <c r="N1351" i="1"/>
  <c r="N1377" i="1"/>
  <c r="N1398" i="1"/>
  <c r="N1427" i="1"/>
  <c r="N1443" i="1"/>
  <c r="N1460" i="1"/>
  <c r="N1477" i="1"/>
  <c r="N600" i="1"/>
  <c r="N323" i="1"/>
  <c r="N339" i="1"/>
  <c r="N356" i="1"/>
  <c r="N1105" i="1"/>
  <c r="N1497" i="1"/>
  <c r="N376" i="1"/>
  <c r="N675" i="1"/>
  <c r="N1537" i="1"/>
  <c r="N1553" i="1"/>
  <c r="N1570" i="1"/>
  <c r="N1586" i="1"/>
  <c r="N1106" i="1"/>
  <c r="N617" i="1"/>
  <c r="N678" i="1"/>
  <c r="N1065" i="1"/>
  <c r="N392" i="1"/>
  <c r="N399" i="1"/>
  <c r="N724" i="1"/>
  <c r="N797" i="1"/>
  <c r="N58" i="1"/>
  <c r="N1089" i="1"/>
  <c r="N53" i="1"/>
  <c r="N808" i="1"/>
  <c r="N421" i="1"/>
  <c r="N1156" i="1"/>
  <c r="N616" i="1"/>
  <c r="N1104" i="1"/>
  <c r="N563" i="1"/>
  <c r="N568" i="1"/>
  <c r="N1127" i="1"/>
  <c r="N747" i="1"/>
  <c r="N775" i="1"/>
  <c r="N793" i="1"/>
  <c r="N855" i="1"/>
  <c r="N871" i="1"/>
  <c r="N886" i="1"/>
  <c r="N904" i="1"/>
  <c r="N919" i="1"/>
  <c r="N938" i="1"/>
  <c r="N958" i="1"/>
  <c r="N978" i="1"/>
  <c r="N997" i="1"/>
  <c r="N1020" i="1"/>
  <c r="N1044" i="1"/>
  <c r="N1140" i="1"/>
  <c r="N1161" i="1"/>
  <c r="N1181" i="1"/>
  <c r="N1202" i="1"/>
  <c r="N661" i="1"/>
  <c r="N578" i="1"/>
  <c r="N30" i="1"/>
  <c r="N43" i="1"/>
  <c r="N75" i="1"/>
  <c r="N95" i="1"/>
  <c r="N1237" i="1"/>
  <c r="N1258" i="1"/>
  <c r="N1278" i="1"/>
  <c r="N1297" i="1"/>
  <c r="N1316" i="1"/>
  <c r="N113" i="1"/>
  <c r="N126" i="1"/>
  <c r="N164" i="1"/>
  <c r="N183" i="1"/>
  <c r="N202" i="1"/>
  <c r="N221" i="1"/>
  <c r="N242" i="1"/>
  <c r="N262" i="1"/>
  <c r="N281" i="1"/>
  <c r="N1334" i="1"/>
  <c r="N1355" i="1"/>
  <c r="N1380" i="1"/>
  <c r="N1400" i="1"/>
  <c r="N1414" i="1"/>
  <c r="N1416" i="1"/>
  <c r="N1462" i="1"/>
  <c r="N668" i="1"/>
  <c r="N603" i="1"/>
  <c r="N325" i="1"/>
  <c r="N342" i="1"/>
  <c r="N358" i="1"/>
  <c r="N1481" i="1"/>
  <c r="N1499" i="1"/>
  <c r="N1507" i="1"/>
  <c r="N1521" i="1"/>
  <c r="N1539" i="1"/>
  <c r="N1555" i="1"/>
  <c r="N1571" i="1"/>
  <c r="N1588" i="1"/>
  <c r="N607" i="1"/>
  <c r="N1108" i="1"/>
  <c r="N622" i="1"/>
  <c r="N1067" i="1"/>
  <c r="N394" i="1"/>
  <c r="N629" i="1"/>
  <c r="N725" i="1"/>
  <c r="N1088" i="1"/>
  <c r="N64" i="1"/>
  <c r="N1671" i="1"/>
  <c r="N594" i="1"/>
  <c r="N427" i="1"/>
  <c r="N555" i="1"/>
  <c r="N544" i="1"/>
  <c r="N1135" i="1"/>
  <c r="N758" i="1"/>
  <c r="N842" i="1"/>
  <c r="N866" i="1"/>
  <c r="N889" i="1"/>
  <c r="N912" i="1"/>
  <c r="N937" i="1"/>
  <c r="N963" i="1"/>
  <c r="N988" i="1"/>
  <c r="N1025" i="1"/>
  <c r="N1049" i="1"/>
  <c r="N1148" i="1"/>
  <c r="N1180" i="1"/>
  <c r="N1207" i="1"/>
  <c r="N574" i="1"/>
  <c r="N1226" i="1"/>
  <c r="N39" i="1"/>
  <c r="N68" i="1"/>
  <c r="N97" i="1"/>
  <c r="N1243" i="1"/>
  <c r="N1266" i="1"/>
  <c r="N1242" i="1"/>
  <c r="N1309" i="1"/>
  <c r="N1331" i="1"/>
  <c r="N142" i="1"/>
  <c r="N166" i="1"/>
  <c r="N187" i="1"/>
  <c r="N210" i="1"/>
  <c r="N232" i="1"/>
  <c r="N253" i="1"/>
  <c r="N277" i="1"/>
  <c r="N666" i="1"/>
  <c r="N1363" i="1"/>
  <c r="N1362" i="1"/>
  <c r="N1418" i="1"/>
  <c r="N1436" i="1"/>
  <c r="N1456" i="1"/>
  <c r="N1475" i="1"/>
  <c r="N602" i="1"/>
  <c r="N327" i="1"/>
  <c r="N346" i="1"/>
  <c r="N364" i="1"/>
  <c r="N1491" i="1"/>
  <c r="N673" i="1"/>
  <c r="N1519" i="1"/>
  <c r="N1538" i="1"/>
  <c r="N1557" i="1"/>
  <c r="N1575" i="1"/>
  <c r="N1595" i="1"/>
  <c r="N613" i="1"/>
  <c r="N1055" i="1"/>
  <c r="N1062" i="1"/>
  <c r="N393" i="1"/>
  <c r="N631" i="1"/>
  <c r="N1614" i="1"/>
  <c r="N1619" i="1"/>
  <c r="N1635" i="1"/>
  <c r="N1076" i="1"/>
  <c r="N1095" i="1"/>
  <c r="N423" i="1"/>
  <c r="N735" i="1"/>
  <c r="N444" i="1"/>
  <c r="N460" i="1"/>
  <c r="N476" i="1"/>
  <c r="N488" i="1"/>
  <c r="N504" i="1"/>
  <c r="N515" i="1"/>
  <c r="N1653" i="1"/>
  <c r="N525" i="1"/>
  <c r="N538" i="1"/>
  <c r="N1690" i="1"/>
  <c r="N1706" i="1"/>
  <c r="N61" i="1"/>
  <c r="N125" i="1"/>
  <c r="N1672" i="1"/>
  <c r="N1676" i="1"/>
  <c r="N1359" i="1"/>
  <c r="N556" i="1"/>
  <c r="N569" i="1"/>
  <c r="N1136" i="1"/>
  <c r="N774" i="1"/>
  <c r="N823" i="1"/>
  <c r="N838" i="1"/>
  <c r="N833" i="1"/>
  <c r="N916" i="1"/>
  <c r="N940" i="1"/>
  <c r="N964" i="1"/>
  <c r="N992" i="1"/>
  <c r="N1026" i="1"/>
  <c r="N1050" i="1"/>
  <c r="N1154" i="1"/>
  <c r="N1184" i="1"/>
  <c r="N1208" i="1"/>
  <c r="N699" i="1"/>
  <c r="N1227" i="1"/>
  <c r="N40" i="1"/>
  <c r="N77" i="1"/>
  <c r="N98" i="1"/>
  <c r="N1246" i="1"/>
  <c r="N1267" i="1"/>
  <c r="N1287" i="1"/>
  <c r="N1310" i="1"/>
  <c r="N1332" i="1"/>
  <c r="N145" i="1"/>
  <c r="N167" i="1"/>
  <c r="N188" i="1"/>
  <c r="N212" i="1"/>
  <c r="N233" i="1"/>
  <c r="N256" i="1"/>
  <c r="N278" i="1"/>
  <c r="N1335" i="1"/>
  <c r="N1364" i="1"/>
  <c r="N1385" i="1"/>
  <c r="N1420" i="1"/>
  <c r="N1438" i="1"/>
  <c r="N1457" i="1"/>
  <c r="N1476" i="1"/>
  <c r="N604" i="1"/>
  <c r="N118" i="1"/>
  <c r="N1059" i="1"/>
  <c r="N57" i="1"/>
  <c r="N429" i="1"/>
  <c r="N1358" i="1"/>
  <c r="N557" i="1"/>
  <c r="N420" i="1"/>
  <c r="N1019" i="1"/>
  <c r="N59" i="1"/>
  <c r="N801" i="1"/>
  <c r="N52" i="1"/>
  <c r="N24" i="1"/>
  <c r="N121" i="1"/>
  <c r="N302" i="1"/>
  <c r="N1163" i="1"/>
  <c r="N1411" i="1"/>
  <c r="N15" i="1"/>
  <c r="N1115" i="1"/>
  <c r="N741" i="1"/>
  <c r="N778" i="1"/>
  <c r="N851" i="1"/>
  <c r="N840" i="1"/>
  <c r="N893" i="1"/>
  <c r="N920" i="1"/>
  <c r="N945" i="1"/>
  <c r="N972" i="1"/>
  <c r="N998" i="1"/>
  <c r="N1032" i="1"/>
  <c r="N1138" i="1"/>
  <c r="N1162" i="1"/>
  <c r="N1189" i="1"/>
  <c r="N1213" i="1"/>
  <c r="N575" i="1"/>
  <c r="N31" i="1"/>
  <c r="N48" i="1"/>
  <c r="N81" i="1"/>
  <c r="N102" i="1"/>
  <c r="N1251" i="1"/>
  <c r="N1271" i="1"/>
  <c r="N1293" i="1"/>
  <c r="N1317" i="1"/>
  <c r="N129" i="1"/>
  <c r="N150" i="1"/>
  <c r="N171" i="1"/>
  <c r="N194" i="1"/>
  <c r="N216" i="1"/>
  <c r="N237" i="1"/>
  <c r="N263" i="1"/>
  <c r="N284" i="1"/>
  <c r="N1342" i="1"/>
  <c r="N1368" i="1"/>
  <c r="N1392" i="1"/>
  <c r="N1424" i="1"/>
  <c r="N1442" i="1"/>
  <c r="N1464" i="1"/>
  <c r="N590" i="1"/>
  <c r="N314" i="1"/>
  <c r="N332" i="1"/>
  <c r="N351" i="1"/>
  <c r="N369" i="1"/>
  <c r="N1496" i="1"/>
  <c r="N1508" i="1"/>
  <c r="N1524" i="1"/>
  <c r="N1544" i="1"/>
  <c r="N1563" i="1"/>
  <c r="N1580" i="1"/>
  <c r="N714" i="1"/>
  <c r="N419" i="1"/>
  <c r="N303" i="1"/>
  <c r="N1391" i="1"/>
  <c r="N553" i="1"/>
  <c r="N572" i="1"/>
  <c r="N762" i="1"/>
  <c r="N789" i="1"/>
  <c r="N864" i="1"/>
  <c r="N891" i="1"/>
  <c r="N922" i="1"/>
  <c r="N952" i="1"/>
  <c r="N983" i="1"/>
  <c r="N1029" i="1"/>
  <c r="N659" i="1"/>
  <c r="N1167" i="1"/>
  <c r="N1199" i="1"/>
  <c r="N698" i="1"/>
  <c r="N663" i="1"/>
  <c r="N1235" i="1"/>
  <c r="N89" i="1"/>
  <c r="N1239" i="1"/>
  <c r="N1269" i="1"/>
  <c r="N1298" i="1"/>
  <c r="N1324" i="1"/>
  <c r="N138" i="1"/>
  <c r="N168" i="1"/>
  <c r="N196" i="1"/>
  <c r="N224" i="1"/>
  <c r="N249" i="1"/>
  <c r="N276" i="1"/>
  <c r="N1340" i="1"/>
  <c r="N749" i="1"/>
  <c r="N799" i="1"/>
  <c r="N1675" i="1"/>
  <c r="N300" i="1"/>
  <c r="N554" i="1"/>
  <c r="N1116" i="1"/>
  <c r="N763" i="1"/>
  <c r="N792" i="1"/>
  <c r="N752" i="1"/>
  <c r="N1670" i="1"/>
  <c r="N1484" i="1"/>
  <c r="N601" i="1"/>
  <c r="N561" i="1"/>
  <c r="N1117" i="1"/>
  <c r="N764" i="1"/>
  <c r="N794" i="1"/>
  <c r="N868" i="1"/>
  <c r="N898" i="1"/>
  <c r="N926" i="1"/>
  <c r="N957" i="1"/>
  <c r="N985" i="1"/>
  <c r="N1031" i="1"/>
  <c r="N818" i="1"/>
  <c r="N807" i="1"/>
  <c r="N124" i="1"/>
  <c r="N430" i="1"/>
  <c r="N720" i="1"/>
  <c r="N564" i="1"/>
  <c r="N1123" i="1"/>
  <c r="N767" i="1"/>
  <c r="N845" i="1"/>
  <c r="N875" i="1"/>
  <c r="N905" i="1"/>
  <c r="N930" i="1"/>
  <c r="N962" i="1"/>
  <c r="N996" i="1"/>
  <c r="N1034" i="1"/>
  <c r="N1143" i="1"/>
  <c r="N1177" i="1"/>
  <c r="N1210" i="1"/>
  <c r="N579" i="1"/>
  <c r="N36" i="1"/>
  <c r="N69" i="1"/>
  <c r="N99" i="1"/>
  <c r="N1252" i="1"/>
  <c r="N1279" i="1"/>
  <c r="N1303" i="1"/>
  <c r="N1330" i="1"/>
  <c r="N149" i="1"/>
  <c r="N176" i="1"/>
  <c r="N203" i="1"/>
  <c r="N230" i="1"/>
  <c r="N258" i="1"/>
  <c r="N289" i="1"/>
  <c r="N1347" i="1"/>
  <c r="N1381" i="1"/>
  <c r="N1421" i="1"/>
  <c r="N1444" i="1"/>
  <c r="N1417" i="1"/>
  <c r="N593" i="1"/>
  <c r="N326" i="1"/>
  <c r="N348" i="1"/>
  <c r="N368" i="1"/>
  <c r="N1501" i="1"/>
  <c r="N1512" i="1"/>
  <c r="N1530" i="1"/>
  <c r="N1552" i="1"/>
  <c r="N1574" i="1"/>
  <c r="N1596" i="1"/>
  <c r="N717" i="1"/>
  <c r="N382" i="1"/>
  <c r="N1070" i="1"/>
  <c r="N396" i="1"/>
  <c r="N635" i="1"/>
  <c r="N409" i="1"/>
  <c r="N1629" i="1"/>
  <c r="N416" i="1"/>
  <c r="N1093" i="1"/>
  <c r="N643" i="1"/>
  <c r="N648" i="1"/>
  <c r="N443" i="1"/>
  <c r="N461" i="1"/>
  <c r="N649" i="1"/>
  <c r="N491" i="1"/>
  <c r="N508" i="1"/>
  <c r="N520" i="1"/>
  <c r="N119" i="1"/>
  <c r="N1678" i="1"/>
  <c r="N431" i="1"/>
  <c r="N1408" i="1"/>
  <c r="N688" i="1"/>
  <c r="N1126" i="1"/>
  <c r="N756" i="1"/>
  <c r="N846" i="1"/>
  <c r="N829" i="1"/>
  <c r="N906" i="1"/>
  <c r="N933" i="1"/>
  <c r="N965" i="1"/>
  <c r="N999" i="1"/>
  <c r="N1037" i="1"/>
  <c r="N1144" i="1"/>
  <c r="N1178" i="1"/>
  <c r="N1211" i="1"/>
  <c r="N580" i="1"/>
  <c r="N1229" i="1"/>
  <c r="N70" i="1"/>
  <c r="N100" i="1"/>
  <c r="N1253" i="1"/>
  <c r="N1281" i="1"/>
  <c r="N1304" i="1"/>
  <c r="N589" i="1"/>
  <c r="N151" i="1"/>
  <c r="N177" i="1"/>
  <c r="N204" i="1"/>
  <c r="N231" i="1"/>
  <c r="N261" i="1"/>
  <c r="N290" i="1"/>
  <c r="N1348" i="1"/>
  <c r="N1382" i="1"/>
  <c r="N1422" i="1"/>
  <c r="N1445" i="1"/>
  <c r="N1469" i="1"/>
  <c r="N596" i="1"/>
  <c r="N328" i="1"/>
  <c r="N349" i="1"/>
  <c r="N370" i="1"/>
  <c r="N1502" i="1"/>
  <c r="N1513" i="1"/>
  <c r="N1531" i="1"/>
  <c r="N1554" i="1"/>
  <c r="N1576" i="1"/>
  <c r="N1597" i="1"/>
  <c r="N719" i="1"/>
  <c r="N1600" i="1"/>
  <c r="N721" i="1"/>
  <c r="N397" i="1"/>
  <c r="N723" i="1"/>
  <c r="N410" i="1"/>
  <c r="N1630" i="1"/>
  <c r="N417" i="1"/>
  <c r="N1090" i="1"/>
  <c r="N644" i="1"/>
  <c r="N734" i="1"/>
  <c r="N445" i="1"/>
  <c r="N462" i="1"/>
  <c r="N650" i="1"/>
  <c r="N492" i="1"/>
  <c r="N509" i="1"/>
  <c r="N521" i="1"/>
  <c r="N1660" i="1"/>
  <c r="N530" i="1"/>
  <c r="N1683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816" i="1"/>
  <c r="N1681" i="1"/>
  <c r="N18" i="1"/>
  <c r="N1406" i="1"/>
  <c r="N656" i="1"/>
  <c r="N1128" i="1"/>
  <c r="N769" i="1"/>
  <c r="N847" i="1"/>
  <c r="N876" i="1"/>
  <c r="N907" i="1"/>
  <c r="N934" i="1"/>
  <c r="N966" i="1"/>
  <c r="N1000" i="1"/>
  <c r="N1038" i="1"/>
  <c r="N1145" i="1"/>
  <c r="N1185" i="1"/>
  <c r="N1214" i="1"/>
  <c r="N581" i="1"/>
  <c r="N1230" i="1"/>
  <c r="N71" i="1"/>
  <c r="N101" i="1"/>
  <c r="N1254" i="1"/>
  <c r="N1282" i="1"/>
  <c r="N1305" i="1"/>
  <c r="N114" i="1"/>
  <c r="N152" i="1"/>
  <c r="N178" i="1"/>
  <c r="N205" i="1"/>
  <c r="N234" i="1"/>
  <c r="N264" i="1"/>
  <c r="N291" i="1"/>
  <c r="N1349" i="1"/>
  <c r="N1383" i="1"/>
  <c r="N1413" i="1"/>
  <c r="N1446" i="1"/>
  <c r="N1470" i="1"/>
  <c r="N597" i="1"/>
  <c r="N329" i="1"/>
  <c r="N350" i="1"/>
  <c r="N371" i="1"/>
  <c r="N1503" i="1"/>
  <c r="N1514" i="1"/>
  <c r="N1534" i="1"/>
  <c r="N1556" i="1"/>
  <c r="N1577" i="1"/>
  <c r="N1598" i="1"/>
  <c r="N618" i="1"/>
  <c r="N1601" i="1"/>
  <c r="N722" i="1"/>
  <c r="N1606" i="1"/>
  <c r="N636" i="1"/>
  <c r="N411" i="1"/>
  <c r="N1631" i="1"/>
  <c r="N1073" i="1"/>
  <c r="N1094" i="1"/>
  <c r="N422" i="1"/>
  <c r="N1102" i="1"/>
  <c r="N446" i="1"/>
  <c r="N463" i="1"/>
  <c r="N651" i="1"/>
  <c r="N493" i="1"/>
  <c r="N510" i="1"/>
  <c r="N522" i="1"/>
  <c r="N1662" i="1"/>
  <c r="N53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815" i="1"/>
  <c r="N19" i="1"/>
  <c r="N1486" i="1"/>
  <c r="N565" i="1"/>
  <c r="N1131" i="1"/>
  <c r="N776" i="1"/>
  <c r="N852" i="1"/>
  <c r="N877" i="1"/>
  <c r="N908" i="1"/>
  <c r="N935" i="1"/>
  <c r="N967" i="1"/>
  <c r="N1001" i="1"/>
  <c r="N1039" i="1"/>
  <c r="N1146" i="1"/>
  <c r="N1187" i="1"/>
  <c r="N1215" i="1"/>
  <c r="N582" i="1"/>
  <c r="N1231" i="1"/>
  <c r="N78" i="1"/>
  <c r="N105" i="1"/>
  <c r="N1255" i="1"/>
  <c r="N1283" i="1"/>
  <c r="N1308" i="1"/>
  <c r="N115" i="1"/>
  <c r="N153" i="1"/>
  <c r="N180" i="1"/>
  <c r="N208" i="1"/>
  <c r="N235" i="1"/>
  <c r="N265" i="1"/>
  <c r="N293" i="1"/>
  <c r="N1350" i="1"/>
  <c r="N1386" i="1"/>
  <c r="N1425" i="1"/>
  <c r="N1448" i="1"/>
  <c r="N1471" i="1"/>
  <c r="N599" i="1"/>
  <c r="N330" i="1"/>
  <c r="N352" i="1"/>
  <c r="N1480" i="1"/>
  <c r="N1504" i="1"/>
  <c r="N1515" i="1"/>
  <c r="N1535" i="1"/>
  <c r="N1560" i="1"/>
  <c r="N1578" i="1"/>
  <c r="N377" i="1"/>
  <c r="N676" i="1"/>
  <c r="N383" i="1"/>
  <c r="N385" i="1"/>
  <c r="N1607" i="1"/>
  <c r="N637" i="1"/>
  <c r="N412" i="1"/>
  <c r="N1632" i="1"/>
  <c r="N1074" i="1"/>
  <c r="N1091" i="1"/>
  <c r="N424" i="1"/>
  <c r="N1103" i="1"/>
  <c r="N447" i="1"/>
  <c r="N464" i="1"/>
  <c r="N477" i="1"/>
  <c r="N494" i="1"/>
  <c r="N1642" i="1"/>
  <c r="N682" i="1"/>
  <c r="N1663" i="1"/>
  <c r="N53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802" i="1"/>
  <c r="N37" i="1"/>
  <c r="N567" i="1"/>
  <c r="N766" i="1"/>
  <c r="N863" i="1"/>
  <c r="N911" i="1"/>
  <c r="N960" i="1"/>
  <c r="N1011" i="1"/>
  <c r="N1142" i="1"/>
  <c r="N1195" i="1"/>
  <c r="N705" i="1"/>
  <c r="N46" i="1"/>
  <c r="N91" i="1"/>
  <c r="N1241" i="1"/>
  <c r="N1299" i="1"/>
  <c r="N131" i="1"/>
  <c r="N165" i="1"/>
  <c r="N209" i="1"/>
  <c r="N247" i="1"/>
  <c r="N286" i="1"/>
  <c r="N1367" i="1"/>
  <c r="N1402" i="1"/>
  <c r="N1449" i="1"/>
  <c r="N304" i="1"/>
  <c r="N320" i="1"/>
  <c r="N353" i="1"/>
  <c r="N1488" i="1"/>
  <c r="N1506" i="1"/>
  <c r="N1536" i="1"/>
  <c r="N1565" i="1"/>
  <c r="N1592" i="1"/>
  <c r="N1109" i="1"/>
  <c r="N384" i="1"/>
  <c r="N1603" i="1"/>
  <c r="N639" i="1"/>
  <c r="N1621" i="1"/>
  <c r="N414" i="1"/>
  <c r="N1096" i="1"/>
  <c r="N545" i="1"/>
  <c r="N439" i="1"/>
  <c r="N465" i="1"/>
  <c r="N482" i="1"/>
  <c r="N1677" i="1"/>
  <c r="N38" i="1"/>
  <c r="N22" i="1"/>
  <c r="N760" i="1"/>
  <c r="N865" i="1"/>
  <c r="N835" i="1"/>
  <c r="N547" i="1"/>
  <c r="N1384" i="1"/>
  <c r="N27" i="1"/>
  <c r="N777" i="1"/>
  <c r="N872" i="1"/>
  <c r="N917" i="1"/>
  <c r="N973" i="1"/>
  <c r="N1023" i="1"/>
  <c r="N1157" i="1"/>
  <c r="N1197" i="1"/>
  <c r="N583" i="1"/>
  <c r="N50" i="1"/>
  <c r="N96" i="1"/>
  <c r="N1263" i="1"/>
  <c r="N1301" i="1"/>
  <c r="N134" i="1"/>
  <c r="N170" i="1"/>
  <c r="N214" i="1"/>
  <c r="N250" i="1"/>
  <c r="N295" i="1"/>
  <c r="N1370" i="1"/>
  <c r="N1404" i="1"/>
  <c r="N1451" i="1"/>
  <c r="N669" i="1"/>
  <c r="N322" i="1"/>
  <c r="N355" i="1"/>
  <c r="N1490" i="1"/>
  <c r="N1510" i="1"/>
  <c r="N1541" i="1"/>
  <c r="N1567" i="1"/>
  <c r="N1594" i="1"/>
  <c r="N619" i="1"/>
  <c r="N1060" i="1"/>
  <c r="N1605" i="1"/>
  <c r="N727" i="1"/>
  <c r="N1623" i="1"/>
  <c r="N679" i="1"/>
  <c r="N1092" i="1"/>
  <c r="N1112" i="1"/>
  <c r="N441" i="1"/>
  <c r="N750" i="1"/>
  <c r="N1387" i="1"/>
  <c r="N657" i="1"/>
  <c r="N779" i="1"/>
  <c r="N873" i="1"/>
  <c r="N836" i="1"/>
  <c r="N974" i="1"/>
  <c r="N1030" i="1"/>
  <c r="N1158" i="1"/>
  <c r="N1203" i="1"/>
  <c r="N584" i="1"/>
  <c r="N1234" i="1"/>
  <c r="N106" i="1"/>
  <c r="N1265" i="1"/>
  <c r="N1302" i="1"/>
  <c r="N135" i="1"/>
  <c r="N172" i="1"/>
  <c r="N215" i="1"/>
  <c r="N251" i="1"/>
  <c r="N296" i="1"/>
  <c r="N1371" i="1"/>
  <c r="N1405" i="1"/>
  <c r="N1453" i="1"/>
  <c r="N670" i="1"/>
  <c r="N324" i="1"/>
  <c r="N357" i="1"/>
  <c r="N1492" i="1"/>
  <c r="N1511" i="1"/>
  <c r="N1542" i="1"/>
  <c r="N402" i="1"/>
  <c r="N372" i="1"/>
  <c r="N570" i="1"/>
  <c r="N780" i="1"/>
  <c r="N878" i="1"/>
  <c r="N921" i="1"/>
  <c r="N977" i="1"/>
  <c r="N1022" i="1"/>
  <c r="N1160" i="1"/>
  <c r="N1204" i="1"/>
  <c r="N587" i="1"/>
  <c r="N588" i="1"/>
  <c r="N107" i="1"/>
  <c r="N1268" i="1"/>
  <c r="N1312" i="1"/>
  <c r="N136" i="1"/>
  <c r="N173" i="1"/>
  <c r="N217" i="1"/>
  <c r="N252" i="1"/>
  <c r="N297" i="1"/>
  <c r="N1372" i="1"/>
  <c r="N1426" i="1"/>
  <c r="N1454" i="1"/>
  <c r="N671" i="1"/>
  <c r="N331" i="1"/>
  <c r="N359" i="1"/>
  <c r="N1493" i="1"/>
  <c r="N1516" i="1"/>
  <c r="N1543" i="1"/>
  <c r="N1569" i="1"/>
  <c r="N378" i="1"/>
  <c r="N677" i="1"/>
  <c r="N1066" i="1"/>
  <c r="N1608" i="1"/>
  <c r="N403" i="1"/>
  <c r="N1625" i="1"/>
  <c r="N1075" i="1"/>
  <c r="N730" i="1"/>
  <c r="N1638" i="1"/>
  <c r="N448" i="1"/>
  <c r="N469" i="1"/>
  <c r="N486" i="1"/>
  <c r="N1643" i="1"/>
  <c r="N1650" i="1"/>
  <c r="N527" i="1"/>
  <c r="N541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841" i="1"/>
  <c r="N942" i="1"/>
  <c r="N432" i="1"/>
  <c r="N1532" i="1"/>
  <c r="N571" i="1"/>
  <c r="N781" i="1"/>
  <c r="N879" i="1"/>
  <c r="N925" i="1"/>
  <c r="N979" i="1"/>
  <c r="N1033" i="1"/>
  <c r="N1164" i="1"/>
  <c r="N1206" i="1"/>
  <c r="N1222" i="1"/>
  <c r="N665" i="1"/>
  <c r="N109" i="1"/>
  <c r="N1270" i="1"/>
  <c r="N1313" i="1"/>
  <c r="N137" i="1"/>
  <c r="N182" i="1"/>
  <c r="N218" i="1"/>
  <c r="N257" i="1"/>
  <c r="N298" i="1"/>
  <c r="N1375" i="1"/>
  <c r="N1428" i="1"/>
  <c r="N1455" i="1"/>
  <c r="N1479" i="1"/>
  <c r="N333" i="1"/>
  <c r="N360" i="1"/>
  <c r="N1494" i="1"/>
  <c r="N1517" i="1"/>
  <c r="N1545" i="1"/>
  <c r="N1559" i="1"/>
  <c r="N606" i="1"/>
  <c r="N620" i="1"/>
  <c r="N1068" i="1"/>
  <c r="N1609" i="1"/>
  <c r="N1111" i="1"/>
  <c r="N1626" i="1"/>
  <c r="N1077" i="1"/>
  <c r="N1099" i="1"/>
  <c r="N681" i="1"/>
  <c r="N449" i="1"/>
  <c r="N470" i="1"/>
  <c r="N487" i="1"/>
  <c r="N1644" i="1"/>
  <c r="N1651" i="1"/>
  <c r="N528" i="1"/>
  <c r="N655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0" i="1"/>
  <c r="N1633" i="1"/>
  <c r="N1639" i="1"/>
  <c r="N495" i="1"/>
  <c r="N1655" i="1"/>
  <c r="N1687" i="1"/>
  <c r="N1746" i="1"/>
  <c r="N1787" i="1"/>
  <c r="N1844" i="1"/>
  <c r="N1923" i="1"/>
  <c r="N1996" i="1"/>
  <c r="N2061" i="1"/>
  <c r="N2141" i="1"/>
  <c r="N2205" i="1"/>
  <c r="N10" i="1"/>
  <c r="N1048" i="1"/>
  <c r="N285" i="1"/>
  <c r="N1500" i="1"/>
  <c r="N1119" i="1"/>
  <c r="N782" i="1"/>
  <c r="N880" i="1"/>
  <c r="N927" i="1"/>
  <c r="N980" i="1"/>
  <c r="N1043" i="1"/>
  <c r="N1165" i="1"/>
  <c r="N1209" i="1"/>
  <c r="N1224" i="1"/>
  <c r="N710" i="1"/>
  <c r="N110" i="1"/>
  <c r="N1272" i="1"/>
  <c r="N1315" i="1"/>
  <c r="N139" i="1"/>
  <c r="N184" i="1"/>
  <c r="N220" i="1"/>
  <c r="N266" i="1"/>
  <c r="N1338" i="1"/>
  <c r="N1376" i="1"/>
  <c r="N1429" i="1"/>
  <c r="N1458" i="1"/>
  <c r="N591" i="1"/>
  <c r="N334" i="1"/>
  <c r="N361" i="1"/>
  <c r="N1495" i="1"/>
  <c r="N1518" i="1"/>
  <c r="N1546" i="1"/>
  <c r="N1572" i="1"/>
  <c r="N715" i="1"/>
  <c r="N380" i="1"/>
  <c r="N1069" i="1"/>
  <c r="N398" i="1"/>
  <c r="N1615" i="1"/>
  <c r="N1627" i="1"/>
  <c r="N1078" i="1"/>
  <c r="N1100" i="1"/>
  <c r="N733" i="1"/>
  <c r="N450" i="1"/>
  <c r="N471" i="1"/>
  <c r="N489" i="1"/>
  <c r="N1645" i="1"/>
  <c r="N1652" i="1"/>
  <c r="N529" i="1"/>
  <c r="N1669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311" i="1"/>
  <c r="N1548" i="1"/>
  <c r="N608" i="1"/>
  <c r="N386" i="1"/>
  <c r="N1080" i="1"/>
  <c r="N452" i="1"/>
  <c r="N511" i="1"/>
  <c r="N1708" i="1"/>
  <c r="N1806" i="1"/>
  <c r="N1945" i="1"/>
  <c r="N2029" i="1"/>
  <c r="N2125" i="1"/>
  <c r="N2157" i="1"/>
  <c r="N2189" i="1"/>
  <c r="N1133" i="1"/>
  <c r="N1171" i="1"/>
  <c r="N809" i="1"/>
  <c r="N546" i="1"/>
  <c r="N1122" i="1"/>
  <c r="N787" i="1"/>
  <c r="N884" i="1"/>
  <c r="N929" i="1"/>
  <c r="N981" i="1"/>
  <c r="N1045" i="1"/>
  <c r="N1166" i="1"/>
  <c r="N1218" i="1"/>
  <c r="N662" i="1"/>
  <c r="N51" i="1"/>
  <c r="N111" i="1"/>
  <c r="N1273" i="1"/>
  <c r="N1318" i="1"/>
  <c r="N140" i="1"/>
  <c r="N185" i="1"/>
  <c r="N225" i="1"/>
  <c r="N267" i="1"/>
  <c r="N1339" i="1"/>
  <c r="N1379" i="1"/>
  <c r="N1430" i="1"/>
  <c r="N1459" i="1"/>
  <c r="N592" i="1"/>
  <c r="N335" i="1"/>
  <c r="N362" i="1"/>
  <c r="N1498" i="1"/>
  <c r="N674" i="1"/>
  <c r="N1547" i="1"/>
  <c r="N1573" i="1"/>
  <c r="N716" i="1"/>
  <c r="N381" i="1"/>
  <c r="N1061" i="1"/>
  <c r="N628" i="1"/>
  <c r="N1616" i="1"/>
  <c r="N1628" i="1"/>
  <c r="N1079" i="1"/>
  <c r="N1101" i="1"/>
  <c r="N647" i="1"/>
  <c r="N451" i="1"/>
  <c r="N472" i="1"/>
  <c r="N490" i="1"/>
  <c r="N1646" i="1"/>
  <c r="N1654" i="1"/>
  <c r="N683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268" i="1"/>
  <c r="N1431" i="1"/>
  <c r="N336" i="1"/>
  <c r="N363" i="1"/>
  <c r="N1579" i="1"/>
  <c r="N1056" i="1"/>
  <c r="N630" i="1"/>
  <c r="N731" i="1"/>
  <c r="N473" i="1"/>
  <c r="N1727" i="1"/>
  <c r="N1825" i="1"/>
  <c r="N1885" i="1"/>
  <c r="N1962" i="1"/>
  <c r="N2013" i="1"/>
  <c r="N2077" i="1"/>
  <c r="N2173" i="1"/>
  <c r="N806" i="1"/>
  <c r="N984" i="1"/>
  <c r="N595" i="1"/>
  <c r="N6" i="1"/>
  <c r="N1132" i="1"/>
  <c r="N795" i="1"/>
  <c r="N887" i="1"/>
  <c r="N941" i="1"/>
  <c r="N982" i="1"/>
  <c r="N1047" i="1"/>
  <c r="N1170" i="1"/>
  <c r="N1220" i="1"/>
  <c r="N707" i="1"/>
  <c r="N79" i="1"/>
  <c r="N1236" i="1"/>
  <c r="N1277" i="1"/>
  <c r="N1319" i="1"/>
  <c r="N146" i="1"/>
  <c r="N186" i="1"/>
  <c r="N226" i="1"/>
  <c r="N1343" i="1"/>
  <c r="N1388" i="1"/>
  <c r="N1461" i="1"/>
  <c r="N1505" i="1"/>
  <c r="N404" i="1"/>
  <c r="N684" i="1"/>
  <c r="N1866" i="1"/>
  <c r="N2093" i="1"/>
  <c r="N888" i="1"/>
  <c r="N307" i="1"/>
  <c r="N122" i="1"/>
  <c r="N11" i="1"/>
  <c r="N746" i="1"/>
  <c r="N859" i="1"/>
  <c r="N903" i="1"/>
  <c r="N948" i="1"/>
  <c r="N1005" i="1"/>
  <c r="N660" i="1"/>
  <c r="N1190" i="1"/>
  <c r="N697" i="1"/>
  <c r="N1232" i="1"/>
  <c r="N85" i="1"/>
  <c r="N1250" i="1"/>
  <c r="N1289" i="1"/>
  <c r="N1328" i="1"/>
  <c r="N157" i="1"/>
  <c r="N198" i="1"/>
  <c r="N244" i="1"/>
  <c r="N280" i="1"/>
  <c r="N1356" i="1"/>
  <c r="N1397" i="1"/>
  <c r="N1439" i="1"/>
  <c r="N1473" i="1"/>
  <c r="N317" i="1"/>
  <c r="N344" i="1"/>
  <c r="N1483" i="1"/>
  <c r="N605" i="1"/>
  <c r="N1527" i="1"/>
  <c r="N1562" i="1"/>
  <c r="N1587" i="1"/>
  <c r="N614" i="1"/>
  <c r="N624" i="1"/>
  <c r="N391" i="1"/>
  <c r="N1613" i="1"/>
  <c r="N1618" i="1"/>
  <c r="N1072" i="1"/>
  <c r="N1085" i="1"/>
  <c r="N301" i="1"/>
  <c r="N1661" i="1"/>
  <c r="N562" i="1"/>
  <c r="N761" i="1"/>
  <c r="N860" i="1"/>
  <c r="N839" i="1"/>
  <c r="N951" i="1"/>
  <c r="N1006" i="1"/>
  <c r="N692" i="1"/>
  <c r="N1191" i="1"/>
  <c r="N703" i="1"/>
  <c r="N1233" i="1"/>
  <c r="N86" i="1"/>
  <c r="N1257" i="1"/>
  <c r="N1292" i="1"/>
  <c r="N1329" i="1"/>
  <c r="N160" i="1"/>
  <c r="N199" i="1"/>
  <c r="N245" i="1"/>
  <c r="N282" i="1"/>
  <c r="N1365" i="1"/>
  <c r="N1399" i="1"/>
  <c r="N1440" i="1"/>
  <c r="N1474" i="1"/>
  <c r="N318" i="1"/>
  <c r="N345" i="1"/>
  <c r="N1485" i="1"/>
  <c r="N374" i="1"/>
  <c r="N1528" i="1"/>
  <c r="N1558" i="1"/>
  <c r="N1589" i="1"/>
  <c r="N615" i="1"/>
  <c r="N1602" i="1"/>
  <c r="N626" i="1"/>
  <c r="N633" i="1"/>
  <c r="N640" i="1"/>
  <c r="N641" i="1"/>
  <c r="N1086" i="1"/>
  <c r="N645" i="1"/>
  <c r="N437" i="1"/>
  <c r="N1058" i="1"/>
  <c r="N1153" i="1"/>
  <c r="N566" i="1"/>
  <c r="N765" i="1"/>
  <c r="N861" i="1"/>
  <c r="N834" i="1"/>
  <c r="N953" i="1"/>
  <c r="N1008" i="1"/>
  <c r="N1141" i="1"/>
  <c r="N1192" i="1"/>
  <c r="N704" i="1"/>
  <c r="N42" i="1"/>
  <c r="N90" i="1"/>
  <c r="N1259" i="1"/>
  <c r="N1296" i="1"/>
  <c r="N60" i="1"/>
  <c r="N946" i="1"/>
  <c r="N694" i="1"/>
  <c r="N1247" i="1"/>
  <c r="N155" i="1"/>
  <c r="N269" i="1"/>
  <c r="N1401" i="1"/>
  <c r="N315" i="1"/>
  <c r="N711" i="1"/>
  <c r="N1564" i="1"/>
  <c r="N1110" i="1"/>
  <c r="N1610" i="1"/>
  <c r="N1071" i="1"/>
  <c r="N646" i="1"/>
  <c r="N458" i="1"/>
  <c r="N497" i="1"/>
  <c r="N519" i="1"/>
  <c r="N1668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66" i="1"/>
  <c r="N1664" i="1"/>
  <c r="N1937" i="1"/>
  <c r="N2085" i="1"/>
  <c r="N2179" i="1"/>
  <c r="N1325" i="1"/>
  <c r="N1620" i="1"/>
  <c r="N540" i="1"/>
  <c r="N1828" i="1"/>
  <c r="N1946" i="1"/>
  <c r="N1172" i="1"/>
  <c r="N1472" i="1"/>
  <c r="N1622" i="1"/>
  <c r="N1688" i="1"/>
  <c r="N1800" i="1"/>
  <c r="N1969" i="1"/>
  <c r="N2087" i="1"/>
  <c r="N2181" i="1"/>
  <c r="N1176" i="1"/>
  <c r="N627" i="1"/>
  <c r="N514" i="1"/>
  <c r="N1747" i="1"/>
  <c r="N1833" i="1"/>
  <c r="N1998" i="1"/>
  <c r="N2114" i="1"/>
  <c r="N2182" i="1"/>
  <c r="N457" i="1"/>
  <c r="N1836" i="1"/>
  <c r="N1973" i="1"/>
  <c r="N2049" i="1"/>
  <c r="N2211" i="1"/>
  <c r="N947" i="1"/>
  <c r="N695" i="1"/>
  <c r="N1248" i="1"/>
  <c r="N156" i="1"/>
  <c r="N272" i="1"/>
  <c r="N1403" i="1"/>
  <c r="N316" i="1"/>
  <c r="N373" i="1"/>
  <c r="N1566" i="1"/>
  <c r="N1054" i="1"/>
  <c r="N1611" i="1"/>
  <c r="N413" i="1"/>
  <c r="N680" i="1"/>
  <c r="N459" i="1"/>
  <c r="N498" i="1"/>
  <c r="N652" i="1"/>
  <c r="N533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54" i="1"/>
  <c r="N1886" i="1"/>
  <c r="N228" i="1"/>
  <c r="N1772" i="1"/>
  <c r="N2112" i="1"/>
  <c r="N229" i="1"/>
  <c r="N1856" i="1"/>
  <c r="N2207" i="1"/>
  <c r="N1549" i="1"/>
  <c r="N2020" i="1"/>
  <c r="N496" i="1"/>
  <c r="N1951" i="1"/>
  <c r="N1641" i="1"/>
  <c r="N961" i="1"/>
  <c r="N696" i="1"/>
  <c r="N1262" i="1"/>
  <c r="N162" i="1"/>
  <c r="N273" i="1"/>
  <c r="N1432" i="1"/>
  <c r="N319" i="1"/>
  <c r="N712" i="1"/>
  <c r="N1568" i="1"/>
  <c r="N1057" i="1"/>
  <c r="N1612" i="1"/>
  <c r="N729" i="1"/>
  <c r="N426" i="1"/>
  <c r="N466" i="1"/>
  <c r="N499" i="1"/>
  <c r="N1647" i="1"/>
  <c r="N534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388" i="1"/>
  <c r="N2017" i="1"/>
  <c r="N1467" i="1"/>
  <c r="N2018" i="1"/>
  <c r="N610" i="1"/>
  <c r="N1947" i="1"/>
  <c r="N667" i="1"/>
  <c r="N1889" i="1"/>
  <c r="N2208" i="1"/>
  <c r="N1809" i="1"/>
  <c r="N2143" i="1"/>
  <c r="N550" i="1"/>
  <c r="N993" i="1"/>
  <c r="N577" i="1"/>
  <c r="N1284" i="1"/>
  <c r="N169" i="1"/>
  <c r="N274" i="1"/>
  <c r="N1434" i="1"/>
  <c r="N321" i="1"/>
  <c r="N672" i="1"/>
  <c r="N1582" i="1"/>
  <c r="N621" i="1"/>
  <c r="N634" i="1"/>
  <c r="N415" i="1"/>
  <c r="N1640" i="1"/>
  <c r="N467" i="1"/>
  <c r="N500" i="1"/>
  <c r="N1648" i="1"/>
  <c r="N535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26" i="1"/>
  <c r="N1989" i="1"/>
  <c r="N365" i="1"/>
  <c r="N1968" i="1"/>
  <c r="N366" i="1"/>
  <c r="N1915" i="1"/>
  <c r="N367" i="1"/>
  <c r="N1970" i="1"/>
  <c r="N1777" i="1"/>
  <c r="N2117" i="1"/>
  <c r="N551" i="1"/>
  <c r="N994" i="1"/>
  <c r="N32" i="1"/>
  <c r="N1285" i="1"/>
  <c r="N189" i="1"/>
  <c r="N283" i="1"/>
  <c r="N1415" i="1"/>
  <c r="N337" i="1"/>
  <c r="N375" i="1"/>
  <c r="N1583" i="1"/>
  <c r="N623" i="1"/>
  <c r="N726" i="1"/>
  <c r="N1081" i="1"/>
  <c r="N433" i="1"/>
  <c r="N468" i="1"/>
  <c r="N501" i="1"/>
  <c r="N1649" i="1"/>
  <c r="N536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1051" i="1"/>
  <c r="N197" i="1"/>
  <c r="N1523" i="1"/>
  <c r="N1064" i="1"/>
  <c r="N436" i="1"/>
  <c r="N1658" i="1"/>
  <c r="N1737" i="1"/>
  <c r="N1820" i="1"/>
  <c r="N1876" i="1"/>
  <c r="N1935" i="1"/>
  <c r="N2015" i="1"/>
  <c r="N2062" i="1"/>
  <c r="N2130" i="1"/>
  <c r="N2151" i="1"/>
  <c r="N1525" i="1"/>
  <c r="N408" i="1"/>
  <c r="N506" i="1"/>
  <c r="N1711" i="1"/>
  <c r="N1770" i="1"/>
  <c r="N1853" i="1"/>
  <c r="N1936" i="1"/>
  <c r="N2037" i="1"/>
  <c r="N2110" i="1"/>
  <c r="N2152" i="1"/>
  <c r="N29" i="1"/>
  <c r="N354" i="1"/>
  <c r="N1097" i="1"/>
  <c r="N507" i="1"/>
  <c r="N1771" i="1"/>
  <c r="N1827" i="1"/>
  <c r="N1967" i="1"/>
  <c r="N2111" i="1"/>
  <c r="N2200" i="1"/>
  <c r="N1147" i="1"/>
  <c r="N1529" i="1"/>
  <c r="N442" i="1"/>
  <c r="N1665" i="1"/>
  <c r="N1796" i="1"/>
  <c r="N1914" i="1"/>
  <c r="N2065" i="1"/>
  <c r="N2159" i="1"/>
  <c r="N83" i="1"/>
  <c r="N390" i="1"/>
  <c r="N481" i="1"/>
  <c r="N1714" i="1"/>
  <c r="N1832" i="1"/>
  <c r="N2019" i="1"/>
  <c r="N2113" i="1"/>
  <c r="N890" i="1"/>
  <c r="N1389" i="1"/>
  <c r="N418" i="1"/>
  <c r="N1667" i="1"/>
  <c r="N1774" i="1"/>
  <c r="N1916" i="1"/>
  <c r="N2067" i="1"/>
  <c r="N2161" i="1"/>
  <c r="N518" i="1"/>
  <c r="N1924" i="1"/>
  <c r="N552" i="1"/>
  <c r="N1004" i="1"/>
  <c r="N33" i="1"/>
  <c r="N1286" i="1"/>
  <c r="N192" i="1"/>
  <c r="N294" i="1"/>
  <c r="N1435" i="1"/>
  <c r="N338" i="1"/>
  <c r="N1509" i="1"/>
  <c r="N1584" i="1"/>
  <c r="N625" i="1"/>
  <c r="N728" i="1"/>
  <c r="N1083" i="1"/>
  <c r="N434" i="1"/>
  <c r="N474" i="1"/>
  <c r="N502" i="1"/>
  <c r="N1656" i="1"/>
  <c r="N537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737" i="1"/>
  <c r="N664" i="1"/>
  <c r="N1300" i="1"/>
  <c r="N1345" i="1"/>
  <c r="N1450" i="1"/>
  <c r="N1590" i="1"/>
  <c r="N407" i="1"/>
  <c r="N1113" i="1"/>
  <c r="N685" i="1"/>
  <c r="N1769" i="1"/>
  <c r="N1908" i="1"/>
  <c r="N2104" i="1"/>
  <c r="N2177" i="1"/>
  <c r="N387" i="1"/>
  <c r="N1087" i="1"/>
  <c r="N478" i="1"/>
  <c r="N686" i="1"/>
  <c r="N1826" i="1"/>
  <c r="N1912" i="1"/>
  <c r="N1988" i="1"/>
  <c r="N2084" i="1"/>
  <c r="N2199" i="1"/>
  <c r="N854" i="1"/>
  <c r="N1321" i="1"/>
  <c r="N213" i="1"/>
  <c r="N1591" i="1"/>
  <c r="N440" i="1"/>
  <c r="N479" i="1"/>
  <c r="N1712" i="1"/>
  <c r="N1795" i="1"/>
  <c r="N1913" i="1"/>
  <c r="N2064" i="1"/>
  <c r="N2132" i="1"/>
  <c r="N82" i="1"/>
  <c r="N1366" i="1"/>
  <c r="N389" i="1"/>
  <c r="N480" i="1"/>
  <c r="N1740" i="1"/>
  <c r="N1887" i="1"/>
  <c r="N2039" i="1"/>
  <c r="N2133" i="1"/>
  <c r="N2206" i="1"/>
  <c r="N856" i="1"/>
  <c r="N1326" i="1"/>
  <c r="N1540" i="1"/>
  <c r="N453" i="1"/>
  <c r="N1666" i="1"/>
  <c r="N1741" i="1"/>
  <c r="N1888" i="1"/>
  <c r="N2040" i="1"/>
  <c r="N2160" i="1"/>
  <c r="N84" i="1"/>
  <c r="N236" i="1"/>
  <c r="N611" i="1"/>
  <c r="N454" i="1"/>
  <c r="N1689" i="1"/>
  <c r="N1857" i="1"/>
  <c r="N2046" i="1"/>
  <c r="N2135" i="1"/>
  <c r="N1637" i="1"/>
  <c r="N1753" i="1"/>
  <c r="N1892" i="1"/>
  <c r="N2001" i="1"/>
  <c r="N2096" i="1"/>
  <c r="N736" i="1"/>
  <c r="N1012" i="1"/>
  <c r="N709" i="1"/>
  <c r="N1288" i="1"/>
  <c r="N193" i="1"/>
  <c r="N1344" i="1"/>
  <c r="N1441" i="1"/>
  <c r="N341" i="1"/>
  <c r="N1522" i="1"/>
  <c r="N1585" i="1"/>
  <c r="N1063" i="1"/>
  <c r="N405" i="1"/>
  <c r="N1082" i="1"/>
  <c r="N435" i="1"/>
  <c r="N475" i="1"/>
  <c r="N503" i="1"/>
  <c r="N1657" i="1"/>
  <c r="N539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343" i="1"/>
  <c r="N1084" i="1"/>
  <c r="N505" i="1"/>
  <c r="N1710" i="1"/>
  <c r="N1793" i="1"/>
  <c r="N1852" i="1"/>
  <c r="N1965" i="1"/>
  <c r="N1987" i="1"/>
  <c r="N2036" i="1"/>
  <c r="N2083" i="1"/>
  <c r="N2198" i="1"/>
  <c r="N1593" i="1"/>
  <c r="N438" i="1"/>
  <c r="N1659" i="1"/>
  <c r="N1738" i="1"/>
  <c r="N1794" i="1"/>
  <c r="N1880" i="1"/>
  <c r="N1966" i="1"/>
  <c r="N2016" i="1"/>
  <c r="N2063" i="1"/>
  <c r="N2131" i="1"/>
  <c r="N2178" i="1"/>
  <c r="N80" i="1"/>
  <c r="N1617" i="1"/>
  <c r="N654" i="1"/>
  <c r="N1739" i="1"/>
  <c r="N1854" i="1"/>
  <c r="N2038" i="1"/>
  <c r="N2158" i="1"/>
  <c r="N825" i="1"/>
  <c r="N609" i="1"/>
  <c r="N1098" i="1"/>
  <c r="N512" i="1"/>
  <c r="N1713" i="1"/>
  <c r="N1855" i="1"/>
  <c r="N1991" i="1"/>
  <c r="N2086" i="1"/>
  <c r="N2180" i="1"/>
  <c r="N1369" i="1"/>
  <c r="N732" i="1"/>
  <c r="N513" i="1"/>
  <c r="N1773" i="1"/>
  <c r="N1997" i="1"/>
  <c r="N2066" i="1"/>
  <c r="N2134" i="1"/>
  <c r="N130" i="1"/>
  <c r="N1624" i="1"/>
  <c r="N483" i="1"/>
  <c r="N1715" i="1"/>
  <c r="N1801" i="1"/>
  <c r="N1948" i="1"/>
  <c r="N2088" i="1"/>
  <c r="N1721" i="1"/>
  <c r="N1868" i="1"/>
  <c r="N2023" i="1"/>
  <c r="N2164" i="1"/>
  <c r="N740" i="1"/>
  <c r="N28" i="1"/>
  <c r="N47" i="1"/>
  <c r="N1320" i="1"/>
  <c r="N201" i="1"/>
  <c r="N1346" i="1"/>
  <c r="N1465" i="1"/>
  <c r="N347" i="1"/>
  <c r="N819" i="1"/>
  <c r="N892" i="1"/>
  <c r="N1188" i="1"/>
  <c r="N94" i="1"/>
  <c r="N133" i="1"/>
  <c r="N241" i="1"/>
  <c r="N1393" i="1"/>
  <c r="N305" i="1"/>
  <c r="N1482" i="1"/>
  <c r="N1550" i="1"/>
  <c r="N612" i="1"/>
  <c r="N1604" i="1"/>
  <c r="N1634" i="1"/>
  <c r="N642" i="1"/>
  <c r="N455" i="1"/>
  <c r="N484" i="1"/>
  <c r="N516" i="1"/>
  <c r="N523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944" i="1"/>
  <c r="N1240" i="1"/>
  <c r="N248" i="1"/>
  <c r="N313" i="1"/>
  <c r="N1561" i="1"/>
  <c r="N1599" i="1"/>
  <c r="N1693" i="1"/>
  <c r="N2070" i="1"/>
  <c r="N1017" i="1"/>
  <c r="N899" i="1"/>
  <c r="N1196" i="1"/>
  <c r="N1238" i="1"/>
  <c r="N148" i="1"/>
  <c r="N246" i="1"/>
  <c r="N1394" i="1"/>
  <c r="N312" i="1"/>
  <c r="N1487" i="1"/>
  <c r="N1551" i="1"/>
  <c r="N1107" i="1"/>
  <c r="N395" i="1"/>
  <c r="N1636" i="1"/>
  <c r="N425" i="1"/>
  <c r="N456" i="1"/>
  <c r="N485" i="1"/>
  <c r="N517" i="1"/>
  <c r="N524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821" i="1"/>
  <c r="N693" i="1"/>
  <c r="N154" i="1"/>
  <c r="N1395" i="1"/>
  <c r="N1489" i="1"/>
  <c r="N632" i="1"/>
  <c r="N526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536" i="1"/>
  <c r="M524" i="1"/>
  <c r="M1653" i="1"/>
  <c r="M515" i="1"/>
  <c r="M504" i="1"/>
  <c r="M488" i="1"/>
  <c r="M476" i="1"/>
  <c r="M463" i="1"/>
  <c r="M448" i="1"/>
  <c r="M435" i="1"/>
  <c r="M1112" i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41" i="1"/>
  <c r="M684" i="1"/>
  <c r="M1661" i="1"/>
  <c r="M682" i="1"/>
  <c r="M1643" i="1"/>
  <c r="M496" i="1"/>
  <c r="M480" i="1"/>
  <c r="M470" i="1"/>
  <c r="M456" i="1"/>
  <c r="M442" i="1"/>
  <c r="M735" i="1"/>
  <c r="M423" i="1"/>
  <c r="M1092" i="1"/>
  <c r="M1081" i="1"/>
  <c r="M1625" i="1"/>
  <c r="M407" i="1"/>
  <c r="M637" i="1"/>
  <c r="M628" i="1"/>
  <c r="M393" i="1"/>
  <c r="M1067" i="1"/>
  <c r="M1600" i="1"/>
  <c r="M381" i="1"/>
  <c r="M719" i="1"/>
  <c r="M1106" i="1"/>
  <c r="M1587" i="1"/>
  <c r="M1571" i="1"/>
  <c r="M1555" i="1"/>
  <c r="M1533" i="1"/>
  <c r="M1523" i="1"/>
  <c r="M1509" i="1"/>
  <c r="M1503" i="1"/>
  <c r="M1487" i="1"/>
  <c r="M367" i="1"/>
  <c r="M352" i="1"/>
  <c r="M335" i="1"/>
  <c r="M321" i="1"/>
  <c r="M603" i="1"/>
  <c r="M669" i="1"/>
  <c r="M1473" i="1"/>
  <c r="M1460" i="1"/>
  <c r="M1446" i="1"/>
  <c r="M1434" i="1"/>
  <c r="M1407" i="1"/>
  <c r="M1393" i="1"/>
  <c r="M1379" i="1"/>
  <c r="M1366" i="1"/>
  <c r="M1345" i="1"/>
  <c r="M296" i="1"/>
  <c r="M280" i="1"/>
  <c r="M264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654" i="1"/>
  <c r="M653" i="1"/>
  <c r="M1659" i="1"/>
  <c r="M521" i="1"/>
  <c r="M510" i="1"/>
  <c r="M494" i="1"/>
  <c r="M478" i="1"/>
  <c r="M469" i="1"/>
  <c r="M454" i="1"/>
  <c r="M440" i="1"/>
  <c r="M648" i="1"/>
  <c r="M422" i="1"/>
  <c r="M1096" i="1"/>
  <c r="M1079" i="1"/>
  <c r="M1072" i="1"/>
  <c r="M1623" i="1"/>
  <c r="M404" i="1"/>
  <c r="M723" i="1"/>
  <c r="M398" i="1"/>
  <c r="M391" i="1"/>
  <c r="M1058" i="1"/>
  <c r="M622" i="1"/>
  <c r="M620" i="1"/>
  <c r="M717" i="1"/>
  <c r="M377" i="1"/>
  <c r="M1585" i="1"/>
  <c r="M1570" i="1"/>
  <c r="M1553" i="1"/>
  <c r="M1538" i="1"/>
  <c r="M1521" i="1"/>
  <c r="M1507" i="1"/>
  <c r="M1501" i="1"/>
  <c r="M1484" i="1"/>
  <c r="M365" i="1"/>
  <c r="M350" i="1"/>
  <c r="M1673" i="1"/>
  <c r="M319" i="1"/>
  <c r="M601" i="1"/>
  <c r="M306" i="1"/>
  <c r="M1471" i="1"/>
  <c r="M1410" i="1"/>
  <c r="M1445" i="1"/>
  <c r="M1432" i="1"/>
  <c r="M1419" i="1"/>
  <c r="M1391" i="1"/>
  <c r="M1377" i="1"/>
  <c r="M1364" i="1"/>
  <c r="M1343" i="1"/>
  <c r="M294" i="1"/>
  <c r="M278" i="1"/>
  <c r="M262" i="1"/>
  <c r="M247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685" i="1"/>
  <c r="M528" i="1"/>
  <c r="M1657" i="1"/>
  <c r="M519" i="1"/>
  <c r="M508" i="1"/>
  <c r="M492" i="1"/>
  <c r="M651" i="1"/>
  <c r="M467" i="1"/>
  <c r="M452" i="1"/>
  <c r="M439" i="1"/>
  <c r="M733" i="1"/>
  <c r="M419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538" i="1"/>
  <c r="M526" i="1"/>
  <c r="M1655" i="1"/>
  <c r="M517" i="1"/>
  <c r="M506" i="1"/>
  <c r="M490" i="1"/>
  <c r="M649" i="1"/>
  <c r="M465" i="1"/>
  <c r="M450" i="1"/>
  <c r="M437" i="1"/>
  <c r="M1638" i="1"/>
  <c r="M643" i="1"/>
  <c r="M1094" i="1"/>
  <c r="M1075" i="1"/>
  <c r="M1635" i="1"/>
  <c r="M1619" i="1"/>
  <c r="M403" i="1"/>
  <c r="M634" i="1"/>
  <c r="M1606" i="1"/>
  <c r="M387" i="1"/>
  <c r="M1062" i="1"/>
  <c r="M1681" i="1"/>
  <c r="M1110" i="1"/>
  <c r="M613" i="1"/>
  <c r="M1597" i="1"/>
  <c r="M1582" i="1"/>
  <c r="M1566" i="1"/>
  <c r="M1549" i="1"/>
  <c r="M1534" i="1"/>
  <c r="M1519" i="1"/>
  <c r="M374" i="1"/>
  <c r="M1497" i="1"/>
  <c r="M1481" i="1"/>
  <c r="M361" i="1"/>
  <c r="M346" i="1"/>
  <c r="M331" i="1"/>
  <c r="M316" i="1"/>
  <c r="M597" i="1"/>
  <c r="M302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537" i="1"/>
  <c r="M525" i="1"/>
  <c r="M1654" i="1"/>
  <c r="M516" i="1"/>
  <c r="M505" i="1"/>
  <c r="M489" i="1"/>
  <c r="M1113" i="1"/>
  <c r="M464" i="1"/>
  <c r="M449" i="1"/>
  <c r="M436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534" i="1"/>
  <c r="M1660" i="1"/>
  <c r="M511" i="1"/>
  <c r="M491" i="1"/>
  <c r="M446" i="1"/>
  <c r="M734" i="1"/>
  <c r="M732" i="1"/>
  <c r="M1085" i="1"/>
  <c r="M413" i="1"/>
  <c r="M1621" i="1"/>
  <c r="M1614" i="1"/>
  <c r="M1610" i="1"/>
  <c r="M626" i="1"/>
  <c r="M1065" i="1"/>
  <c r="M678" i="1"/>
  <c r="M676" i="1"/>
  <c r="M715" i="1"/>
  <c r="M1586" i="1"/>
  <c r="M1567" i="1"/>
  <c r="M1546" i="1"/>
  <c r="M1527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533" i="1"/>
  <c r="M1658" i="1"/>
  <c r="M1646" i="1"/>
  <c r="M487" i="1"/>
  <c r="M427" i="1"/>
  <c r="M430" i="1"/>
  <c r="M647" i="1"/>
  <c r="M731" i="1"/>
  <c r="M1084" i="1"/>
  <c r="M641" i="1"/>
  <c r="M1620" i="1"/>
  <c r="M728" i="1"/>
  <c r="M632" i="1"/>
  <c r="M394" i="1"/>
  <c r="M1064" i="1"/>
  <c r="M1680" i="1"/>
  <c r="M1108" i="1"/>
  <c r="M607" i="1"/>
  <c r="M1584" i="1"/>
  <c r="M1565" i="1"/>
  <c r="M1545" i="1"/>
  <c r="M1526" i="1"/>
  <c r="M1508" i="1"/>
  <c r="M1498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532" i="1"/>
  <c r="M1656" i="1"/>
  <c r="M1645" i="1"/>
  <c r="M486" i="1"/>
  <c r="M431" i="1"/>
  <c r="M445" i="1"/>
  <c r="M681" i="1"/>
  <c r="M1101" i="1"/>
  <c r="M1082" i="1"/>
  <c r="M1071" i="1"/>
  <c r="M640" i="1"/>
  <c r="M727" i="1"/>
  <c r="M631" i="1"/>
  <c r="M392" i="1"/>
  <c r="M1059" i="1"/>
  <c r="M1679" i="1"/>
  <c r="M618" i="1"/>
  <c r="M606" i="1"/>
  <c r="M1581" i="1"/>
  <c r="M1564" i="1"/>
  <c r="M1544" i="1"/>
  <c r="M1525" i="1"/>
  <c r="M1506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531" i="1"/>
  <c r="M1652" i="1"/>
  <c r="M1644" i="1"/>
  <c r="M485" i="1"/>
  <c r="M468" i="1"/>
  <c r="M429" i="1"/>
  <c r="M426" i="1"/>
  <c r="M1100" i="1"/>
  <c r="M1083" i="1"/>
  <c r="M1637" i="1"/>
  <c r="M1618" i="1"/>
  <c r="M726" i="1"/>
  <c r="M630" i="1"/>
  <c r="M390" i="1"/>
  <c r="M1060" i="1"/>
  <c r="M1678" i="1"/>
  <c r="M617" i="1"/>
  <c r="M378" i="1"/>
  <c r="M1583" i="1"/>
  <c r="M1563" i="1"/>
  <c r="M1543" i="1"/>
  <c r="M1524" i="1"/>
  <c r="M376" i="1"/>
  <c r="M1495" i="1"/>
  <c r="M370" i="1"/>
  <c r="M340" i="1"/>
  <c r="M309" i="1"/>
  <c r="M315" i="1"/>
  <c r="M593" i="1"/>
  <c r="M1476" i="1"/>
  <c r="M1461" i="1"/>
  <c r="M1416" i="1"/>
  <c r="M1429" i="1"/>
  <c r="M1402" i="1"/>
  <c r="M1384" i="1"/>
  <c r="M1370" i="1"/>
  <c r="M1348" i="1"/>
  <c r="M297" i="1"/>
  <c r="M277" i="1"/>
  <c r="M259" i="1"/>
  <c r="M243" i="1"/>
  <c r="M228" i="1"/>
  <c r="M212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30" i="1"/>
  <c r="M1651" i="1"/>
  <c r="M1642" i="1"/>
  <c r="M484" i="1"/>
  <c r="M466" i="1"/>
  <c r="M444" i="1"/>
  <c r="M680" i="1"/>
  <c r="M1099" i="1"/>
  <c r="M1080" i="1"/>
  <c r="M1636" i="1"/>
  <c r="M1617" i="1"/>
  <c r="M725" i="1"/>
  <c r="M629" i="1"/>
  <c r="M389" i="1"/>
  <c r="M1063" i="1"/>
  <c r="M1057" i="1"/>
  <c r="M616" i="1"/>
  <c r="M714" i="1"/>
  <c r="M1580" i="1"/>
  <c r="M1558" i="1"/>
  <c r="M1542" i="1"/>
  <c r="M1522" i="1"/>
  <c r="M375" i="1"/>
  <c r="M1494" i="1"/>
  <c r="M369" i="1"/>
  <c r="M353" i="1"/>
  <c r="M333" i="1"/>
  <c r="M314" i="1"/>
  <c r="M592" i="1"/>
  <c r="M1475" i="1"/>
  <c r="M1459" i="1"/>
  <c r="M1444" i="1"/>
  <c r="M1414" i="1"/>
  <c r="M1401" i="1"/>
  <c r="M1362" i="1"/>
  <c r="M1369" i="1"/>
  <c r="M1347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19" i="1"/>
  <c r="M1303" i="1"/>
  <c r="M1287" i="1"/>
  <c r="M1272" i="1"/>
  <c r="M1257" i="1"/>
  <c r="M1239" i="1"/>
  <c r="M101" i="1"/>
  <c r="M89" i="1"/>
  <c r="M78" i="1"/>
  <c r="M64" i="1"/>
  <c r="M42" i="1"/>
  <c r="M34" i="1"/>
  <c r="M586" i="1"/>
  <c r="M702" i="1"/>
  <c r="M1217" i="1"/>
  <c r="M1202" i="1"/>
  <c r="M1187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68" i="1"/>
  <c r="M1650" i="1"/>
  <c r="M483" i="1"/>
  <c r="M462" i="1"/>
  <c r="M443" i="1"/>
  <c r="M545" i="1"/>
  <c r="M730" i="1"/>
  <c r="M1078" i="1"/>
  <c r="M1634" i="1"/>
  <c r="M412" i="1"/>
  <c r="M639" i="1"/>
  <c r="M399" i="1"/>
  <c r="M388" i="1"/>
  <c r="M384" i="1"/>
  <c r="M1054" i="1"/>
  <c r="M720" i="1"/>
  <c r="M713" i="1"/>
  <c r="M1579" i="1"/>
  <c r="M1562" i="1"/>
  <c r="M1541" i="1"/>
  <c r="M1520" i="1"/>
  <c r="M605" i="1"/>
  <c r="M1493" i="1"/>
  <c r="M1675" i="1"/>
  <c r="M351" i="1"/>
  <c r="M332" i="1"/>
  <c r="M310" i="1"/>
  <c r="M591" i="1"/>
  <c r="M1474" i="1"/>
  <c r="M1458" i="1"/>
  <c r="M1443" i="1"/>
  <c r="M1428" i="1"/>
  <c r="M1400" i="1"/>
  <c r="M1383" i="1"/>
  <c r="M1359" i="1"/>
  <c r="M1346" i="1"/>
  <c r="M293" i="1"/>
  <c r="M275" i="1"/>
  <c r="M257" i="1"/>
  <c r="M241" i="1"/>
  <c r="M226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685" i="1"/>
  <c r="M529" i="1"/>
  <c r="M1648" i="1"/>
  <c r="M503" i="1"/>
  <c r="M481" i="1"/>
  <c r="M460" i="1"/>
  <c r="M428" i="1"/>
  <c r="M645" i="1"/>
  <c r="M1097" i="1"/>
  <c r="M1076" i="1"/>
  <c r="M1632" i="1"/>
  <c r="M406" i="1"/>
  <c r="M724" i="1"/>
  <c r="M1608" i="1"/>
  <c r="M385" i="1"/>
  <c r="M1602" i="1"/>
  <c r="M1056" i="1"/>
  <c r="M1107" i="1"/>
  <c r="M1596" i="1"/>
  <c r="M1577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540" i="1"/>
  <c r="M1665" i="1"/>
  <c r="M518" i="1"/>
  <c r="M498" i="1"/>
  <c r="M474" i="1"/>
  <c r="M455" i="1"/>
  <c r="M1640" i="1"/>
  <c r="M420" i="1"/>
  <c r="M1090" i="1"/>
  <c r="M415" i="1"/>
  <c r="M1627" i="1"/>
  <c r="M1616" i="1"/>
  <c r="M633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686" i="1"/>
  <c r="M1664" i="1"/>
  <c r="M514" i="1"/>
  <c r="M497" i="1"/>
  <c r="M473" i="1"/>
  <c r="M453" i="1"/>
  <c r="M1639" i="1"/>
  <c r="M2180" i="1"/>
  <c r="M2118" i="1"/>
  <c r="M2054" i="1"/>
  <c r="M1985" i="1"/>
  <c r="M1923" i="1"/>
  <c r="M1859" i="1"/>
  <c r="M1791" i="1"/>
  <c r="M1733" i="1"/>
  <c r="M655" i="1"/>
  <c r="M512" i="1"/>
  <c r="M459" i="1"/>
  <c r="M424" i="1"/>
  <c r="M417" i="1"/>
  <c r="M408" i="1"/>
  <c r="M396" i="1"/>
  <c r="M624" i="1"/>
  <c r="M1109" i="1"/>
  <c r="M1590" i="1"/>
  <c r="M1554" i="1"/>
  <c r="M675" i="1"/>
  <c r="M711" i="1"/>
  <c r="M1480" i="1"/>
  <c r="M354" i="1"/>
  <c r="M328" i="1"/>
  <c r="M1052" i="1"/>
  <c r="M304" i="1"/>
  <c r="M1463" i="1"/>
  <c r="M1441" i="1"/>
  <c r="M1423" i="1"/>
  <c r="M1390" i="1"/>
  <c r="M1357" i="1"/>
  <c r="M1344" i="1"/>
  <c r="M289" i="1"/>
  <c r="M268" i="1"/>
  <c r="M125" i="1"/>
  <c r="M229" i="1"/>
  <c r="M208" i="1"/>
  <c r="M2179" i="1"/>
  <c r="M2115" i="1"/>
  <c r="M2045" i="1"/>
  <c r="M1983" i="1"/>
  <c r="M1922" i="1"/>
  <c r="M1858" i="1"/>
  <c r="M1787" i="1"/>
  <c r="M1732" i="1"/>
  <c r="M539" i="1"/>
  <c r="M507" i="1"/>
  <c r="M458" i="1"/>
  <c r="M421" i="1"/>
  <c r="M416" i="1"/>
  <c r="M405" i="1"/>
  <c r="M395" i="1"/>
  <c r="M623" i="1"/>
  <c r="M718" i="1"/>
  <c r="M1589" i="1"/>
  <c r="M1552" i="1"/>
  <c r="M674" i="1"/>
  <c r="M1505" i="1"/>
  <c r="M1105" i="1"/>
  <c r="M349" i="1"/>
  <c r="M327" i="1"/>
  <c r="M602" i="1"/>
  <c r="M668" i="1"/>
  <c r="M1462" i="1"/>
  <c r="M1440" i="1"/>
  <c r="M1413" i="1"/>
  <c r="M1389" i="1"/>
  <c r="M1372" i="1"/>
  <c r="M1342" i="1"/>
  <c r="M288" i="1"/>
  <c r="M267" i="1"/>
  <c r="M246" i="1"/>
  <c r="M2178" i="1"/>
  <c r="M2114" i="1"/>
  <c r="M2038" i="1"/>
  <c r="M1981" i="1"/>
  <c r="M1917" i="1"/>
  <c r="M1844" i="1"/>
  <c r="M1783" i="1"/>
  <c r="M1731" i="1"/>
  <c r="M535" i="1"/>
  <c r="M502" i="1"/>
  <c r="M457" i="1"/>
  <c r="M644" i="1"/>
  <c r="M679" i="1"/>
  <c r="M1615" i="1"/>
  <c r="M1605" i="1"/>
  <c r="M383" i="1"/>
  <c r="M615" i="1"/>
  <c r="M1588" i="1"/>
  <c r="M1551" i="1"/>
  <c r="M1518" i="1"/>
  <c r="M1504" i="1"/>
  <c r="M372" i="1"/>
  <c r="M348" i="1"/>
  <c r="M326" i="1"/>
  <c r="M600" i="1"/>
  <c r="M667" i="1"/>
  <c r="M1457" i="1"/>
  <c r="M1439" i="1"/>
  <c r="M1422" i="1"/>
  <c r="M1388" i="1"/>
  <c r="M1371" i="1"/>
  <c r="M1341" i="1"/>
  <c r="M287" i="1"/>
  <c r="M266" i="1"/>
  <c r="M245" i="1"/>
  <c r="M224" i="1"/>
  <c r="M2173" i="1"/>
  <c r="M2100" i="1"/>
  <c r="M2037" i="1"/>
  <c r="M1975" i="1"/>
  <c r="M1911" i="1"/>
  <c r="M1842" i="1"/>
  <c r="M1782" i="1"/>
  <c r="M1727" i="1"/>
  <c r="M683" i="1"/>
  <c r="M501" i="1"/>
  <c r="M432" i="1"/>
  <c r="M642" i="1"/>
  <c r="M729" i="1"/>
  <c r="M1111" i="1"/>
  <c r="M1604" i="1"/>
  <c r="M1601" i="1"/>
  <c r="M614" i="1"/>
  <c r="M1578" i="1"/>
  <c r="M1550" i="1"/>
  <c r="M1517" i="1"/>
  <c r="M1502" i="1"/>
  <c r="M371" i="1"/>
  <c r="M347" i="1"/>
  <c r="M325" i="1"/>
  <c r="M599" i="1"/>
  <c r="M1478" i="1"/>
  <c r="M1456" i="1"/>
  <c r="M1438" i="1"/>
  <c r="M1421" i="1"/>
  <c r="M1387" i="1"/>
  <c r="M1368" i="1"/>
  <c r="M1340" i="1"/>
  <c r="M286" i="1"/>
  <c r="M265" i="1"/>
  <c r="M244" i="1"/>
  <c r="M223" i="1"/>
  <c r="M205" i="1"/>
  <c r="M188" i="1"/>
  <c r="M172" i="1"/>
  <c r="M2167" i="1"/>
  <c r="M2098" i="1"/>
  <c r="M2036" i="1"/>
  <c r="M1972" i="1"/>
  <c r="M1903" i="1"/>
  <c r="M1841" i="1"/>
  <c r="M1781" i="1"/>
  <c r="M1725" i="1"/>
  <c r="M527" i="1"/>
  <c r="M500" i="1"/>
  <c r="M451" i="1"/>
  <c r="M418" i="1"/>
  <c r="M414" i="1"/>
  <c r="M402" i="1"/>
  <c r="M1603" i="1"/>
  <c r="M382" i="1"/>
  <c r="M612" i="1"/>
  <c r="M1576" i="1"/>
  <c r="M1548" i="1"/>
  <c r="M1516" i="1"/>
  <c r="M1500" i="1"/>
  <c r="M1674" i="1"/>
  <c r="M345" i="1"/>
  <c r="M324" i="1"/>
  <c r="M598" i="1"/>
  <c r="M1477" i="1"/>
  <c r="M1455" i="1"/>
  <c r="M1408" i="1"/>
  <c r="M1420" i="1"/>
  <c r="M1386" i="1"/>
  <c r="M1367" i="1"/>
  <c r="M1339" i="1"/>
  <c r="M285" i="1"/>
  <c r="M263" i="1"/>
  <c r="M124" i="1"/>
  <c r="M222" i="1"/>
  <c r="M204" i="1"/>
  <c r="M187" i="1"/>
  <c r="M171" i="1"/>
  <c r="M156" i="1"/>
  <c r="M121" i="1"/>
  <c r="M127" i="1"/>
  <c r="M1322" i="1"/>
  <c r="M1305" i="1"/>
  <c r="M1288" i="1"/>
  <c r="M1271" i="1"/>
  <c r="M1255" i="1"/>
  <c r="M1236" i="1"/>
  <c r="M63" i="1"/>
  <c r="M84" i="1"/>
  <c r="M75" i="1"/>
  <c r="M1234" i="1"/>
  <c r="M1231" i="1"/>
  <c r="M1227" i="1"/>
  <c r="M576" i="1"/>
  <c r="M661" i="1"/>
  <c r="M1206" i="1"/>
  <c r="M1183" i="1"/>
  <c r="M1172" i="1"/>
  <c r="M1156" i="1"/>
  <c r="M1140" i="1"/>
  <c r="M1049" i="1"/>
  <c r="M1036" i="1"/>
  <c r="M1015" i="1"/>
  <c r="M1001" i="1"/>
  <c r="M985" i="1"/>
  <c r="M969" i="1"/>
  <c r="M953" i="1"/>
  <c r="M938" i="1"/>
  <c r="M922" i="1"/>
  <c r="M805" i="1"/>
  <c r="M895" i="1"/>
  <c r="M886" i="1"/>
  <c r="M812" i="1"/>
  <c r="M866" i="1"/>
  <c r="M862" i="1"/>
  <c r="M851" i="1"/>
  <c r="M793" i="1"/>
  <c r="M777" i="1"/>
  <c r="M757" i="1"/>
  <c r="M745" i="1"/>
  <c r="M1130" i="1"/>
  <c r="M2150" i="1"/>
  <c r="M2093" i="1"/>
  <c r="M2029" i="1"/>
  <c r="M1955" i="1"/>
  <c r="M1893" i="1"/>
  <c r="M1829" i="1"/>
  <c r="M1764" i="1"/>
  <c r="M1709" i="1"/>
  <c r="M1666" i="1"/>
  <c r="M493" i="1"/>
  <c r="M438" i="1"/>
  <c r="M1091" i="1"/>
  <c r="M1630" i="1"/>
  <c r="M401" i="1"/>
  <c r="M1682" i="1"/>
  <c r="M609" i="1"/>
  <c r="M1573" i="1"/>
  <c r="M1539" i="1"/>
  <c r="M1513" i="1"/>
  <c r="M1492" i="1"/>
  <c r="M364" i="1"/>
  <c r="M342" i="1"/>
  <c r="M320" i="1"/>
  <c r="M594" i="1"/>
  <c r="M1469" i="1"/>
  <c r="M1453" i="1"/>
  <c r="M1435" i="1"/>
  <c r="M1404" i="1"/>
  <c r="M1382" i="1"/>
  <c r="M1361" i="1"/>
  <c r="M1336" i="1"/>
  <c r="M282" i="1"/>
  <c r="M256" i="1"/>
  <c r="M238" i="1"/>
  <c r="M219" i="1"/>
  <c r="M201" i="1"/>
  <c r="M184" i="1"/>
  <c r="M168" i="1"/>
  <c r="M153" i="1"/>
  <c r="M140" i="1"/>
  <c r="M114" i="1"/>
  <c r="M1318" i="1"/>
  <c r="M1301" i="1"/>
  <c r="M1285" i="1"/>
  <c r="M1268" i="1"/>
  <c r="M1252" i="1"/>
  <c r="M110" i="1"/>
  <c r="M95" i="1"/>
  <c r="M59" i="1"/>
  <c r="M73" i="1"/>
  <c r="M48" i="1"/>
  <c r="M1228" i="1"/>
  <c r="M1224" i="1"/>
  <c r="M705" i="1"/>
  <c r="M1219" i="1"/>
  <c r="M1203" i="1"/>
  <c r="M1182" i="1"/>
  <c r="M1169" i="1"/>
  <c r="M1153" i="1"/>
  <c r="M690" i="1"/>
  <c r="M1046" i="1"/>
  <c r="M1033" i="1"/>
  <c r="M1024" i="1"/>
  <c r="M998" i="1"/>
  <c r="M982" i="1"/>
  <c r="M966" i="1"/>
  <c r="M950" i="1"/>
  <c r="M935" i="1"/>
  <c r="M919" i="1"/>
  <c r="M908" i="1"/>
  <c r="M892" i="1"/>
  <c r="M883" i="1"/>
  <c r="M813" i="1"/>
  <c r="M827" i="1"/>
  <c r="M859" i="1"/>
  <c r="M848" i="1"/>
  <c r="M790" i="1"/>
  <c r="M776" i="1"/>
  <c r="M753" i="1"/>
  <c r="M742" i="1"/>
  <c r="M1127" i="1"/>
  <c r="M571" i="1"/>
  <c r="M19" i="1"/>
  <c r="M11" i="1"/>
  <c r="M2198" i="1"/>
  <c r="M2130" i="1"/>
  <c r="M2067" i="1"/>
  <c r="M2005" i="1"/>
  <c r="M1941" i="1"/>
  <c r="M1871" i="1"/>
  <c r="M1810" i="1"/>
  <c r="M1750" i="1"/>
  <c r="M1686" i="1"/>
  <c r="M652" i="1"/>
  <c r="M475" i="1"/>
  <c r="M1102" i="1"/>
  <c r="M1086" i="1"/>
  <c r="M1622" i="1"/>
  <c r="M1611" i="1"/>
  <c r="M1069" i="1"/>
  <c r="M1677" i="1"/>
  <c r="M1595" i="1"/>
  <c r="M1561" i="1"/>
  <c r="M1531" i="1"/>
  <c r="M672" i="1"/>
  <c r="M1486" i="1"/>
  <c r="M358" i="1"/>
  <c r="M336" i="1"/>
  <c r="M312" i="1"/>
  <c r="M305" i="1"/>
  <c r="M1467" i="1"/>
  <c r="M1448" i="1"/>
  <c r="M1427" i="1"/>
  <c r="M1396" i="1"/>
  <c r="M1358" i="1"/>
  <c r="M1352" i="1"/>
  <c r="M298" i="1"/>
  <c r="M2197" i="1"/>
  <c r="M2127" i="1"/>
  <c r="M2066" i="1"/>
  <c r="M2002" i="1"/>
  <c r="M1927" i="1"/>
  <c r="M1869" i="1"/>
  <c r="M1809" i="1"/>
  <c r="M1749" i="1"/>
  <c r="M1684" i="1"/>
  <c r="M522" i="1"/>
  <c r="M472" i="1"/>
  <c r="M646" i="1"/>
  <c r="M1077" i="1"/>
  <c r="M411" i="1"/>
  <c r="M1609" i="1"/>
  <c r="M1068" i="1"/>
  <c r="M379" i="1"/>
  <c r="M1594" i="1"/>
  <c r="M1560" i="1"/>
  <c r="M1530" i="1"/>
  <c r="M712" i="1"/>
  <c r="M1485" i="1"/>
  <c r="M357" i="1"/>
  <c r="M334" i="1"/>
  <c r="M311" i="1"/>
  <c r="M303" i="1"/>
  <c r="M1466" i="1"/>
  <c r="M1447" i="1"/>
  <c r="M1426" i="1"/>
  <c r="M1395" i="1"/>
  <c r="M1375" i="1"/>
  <c r="M1351" i="1"/>
  <c r="M292" i="1"/>
  <c r="M2183" i="1"/>
  <c r="M2125" i="1"/>
  <c r="M2065" i="1"/>
  <c r="M2001" i="1"/>
  <c r="M1925" i="1"/>
  <c r="M1863" i="1"/>
  <c r="M1803" i="1"/>
  <c r="M1739" i="1"/>
  <c r="M1683" i="1"/>
  <c r="M520" i="1"/>
  <c r="M471" i="1"/>
  <c r="M1074" i="1"/>
  <c r="M410" i="1"/>
  <c r="M1607" i="1"/>
  <c r="M1066" i="1"/>
  <c r="M619" i="1"/>
  <c r="M1593" i="1"/>
  <c r="M1557" i="1"/>
  <c r="M1529" i="1"/>
  <c r="M373" i="1"/>
  <c r="M1483" i="1"/>
  <c r="M356" i="1"/>
  <c r="M330" i="1"/>
  <c r="M307" i="1"/>
  <c r="M301" i="1"/>
  <c r="M1465" i="1"/>
  <c r="M1409" i="1"/>
  <c r="M1425" i="1"/>
  <c r="M1394" i="1"/>
  <c r="M1374" i="1"/>
  <c r="M1350" i="1"/>
  <c r="M2181" i="1"/>
  <c r="M2119" i="1"/>
  <c r="M2055" i="1"/>
  <c r="M1987" i="1"/>
  <c r="M1924" i="1"/>
  <c r="M1862" i="1"/>
  <c r="M1799" i="1"/>
  <c r="M1734" i="1"/>
  <c r="M1669" i="1"/>
  <c r="M513" i="1"/>
  <c r="M461" i="1"/>
  <c r="M425" i="1"/>
  <c r="M1073" i="1"/>
  <c r="M409" i="1"/>
  <c r="M397" i="1"/>
  <c r="M625" i="1"/>
  <c r="M1599" i="1"/>
  <c r="M1592" i="1"/>
  <c r="M1556" i="1"/>
  <c r="M1528" i="1"/>
  <c r="M1676" i="1"/>
  <c r="M1482" i="1"/>
  <c r="M355" i="1"/>
  <c r="M329" i="1"/>
  <c r="M604" i="1"/>
  <c r="M300" i="1"/>
  <c r="M1464" i="1"/>
  <c r="M1442" i="1"/>
  <c r="M1424" i="1"/>
  <c r="M1392" i="1"/>
  <c r="M1373" i="1"/>
  <c r="M1349" i="1"/>
  <c r="M2145" i="1"/>
  <c r="M1954" i="1"/>
  <c r="M1778" i="1"/>
  <c r="M1649" i="1"/>
  <c r="M1089" i="1"/>
  <c r="M627" i="1"/>
  <c r="M1598" i="1"/>
  <c r="M1512" i="1"/>
  <c r="M344" i="1"/>
  <c r="M670" i="1"/>
  <c r="M1415" i="1"/>
  <c r="M1365" i="1"/>
  <c r="M281" i="1"/>
  <c r="M249" i="1"/>
  <c r="M217" i="1"/>
  <c r="M194" i="1"/>
  <c r="M175" i="1"/>
  <c r="M123" i="1"/>
  <c r="M141" i="1"/>
  <c r="M1333" i="1"/>
  <c r="M1314" i="1"/>
  <c r="M1295" i="1"/>
  <c r="M1277" i="1"/>
  <c r="M1259" i="1"/>
  <c r="M1237" i="1"/>
  <c r="M96" i="1"/>
  <c r="M81" i="1"/>
  <c r="M70" i="1"/>
  <c r="M41" i="1"/>
  <c r="M30" i="1"/>
  <c r="M579" i="1"/>
  <c r="M693" i="1"/>
  <c r="M1204" i="1"/>
  <c r="M1185" i="1"/>
  <c r="M1165" i="1"/>
  <c r="M1147" i="1"/>
  <c r="M29" i="1"/>
  <c r="M1038" i="1"/>
  <c r="M1026" i="1"/>
  <c r="M999" i="1"/>
  <c r="M980" i="1"/>
  <c r="M962" i="1"/>
  <c r="M944" i="1"/>
  <c r="M927" i="1"/>
  <c r="M911" i="1"/>
  <c r="M896" i="1"/>
  <c r="M884" i="1"/>
  <c r="M840" i="1"/>
  <c r="M806" i="1"/>
  <c r="M854" i="1"/>
  <c r="M842" i="1"/>
  <c r="M780" i="1"/>
  <c r="M768" i="1"/>
  <c r="M743" i="1"/>
  <c r="M1125" i="1"/>
  <c r="M568" i="1"/>
  <c r="M567" i="1"/>
  <c r="M558" i="1"/>
  <c r="M2143" i="1"/>
  <c r="M1953" i="1"/>
  <c r="M1777" i="1"/>
  <c r="M1647" i="1"/>
  <c r="M1088" i="1"/>
  <c r="M386" i="1"/>
  <c r="M1591" i="1"/>
  <c r="M1511" i="1"/>
  <c r="M343" i="1"/>
  <c r="M590" i="1"/>
  <c r="M1433" i="1"/>
  <c r="M1363" i="1"/>
  <c r="M279" i="1"/>
  <c r="M248" i="1"/>
  <c r="M216" i="1"/>
  <c r="M193" i="1"/>
  <c r="M174" i="1"/>
  <c r="M155" i="1"/>
  <c r="M139" i="1"/>
  <c r="M1332" i="1"/>
  <c r="M1313" i="1"/>
  <c r="M1294" i="1"/>
  <c r="M1276" i="1"/>
  <c r="M1258" i="1"/>
  <c r="M112" i="1"/>
  <c r="M53" i="1"/>
  <c r="M80" i="1"/>
  <c r="M55" i="1"/>
  <c r="M40" i="1"/>
  <c r="M663" i="1"/>
  <c r="M578" i="1"/>
  <c r="M1221" i="1"/>
  <c r="M1201" i="1"/>
  <c r="M1184" i="1"/>
  <c r="M1164" i="1"/>
  <c r="M1146" i="1"/>
  <c r="M28" i="1"/>
  <c r="M1037" i="1"/>
  <c r="M1020" i="1"/>
  <c r="M997" i="1"/>
  <c r="M979" i="1"/>
  <c r="M961" i="1"/>
  <c r="M943" i="1"/>
  <c r="M926" i="1"/>
  <c r="M910" i="1"/>
  <c r="M894" i="1"/>
  <c r="M832" i="1"/>
  <c r="M874" i="1"/>
  <c r="M799" i="1"/>
  <c r="M824" i="1"/>
  <c r="M796" i="1"/>
  <c r="M779" i="1"/>
  <c r="M752" i="1"/>
  <c r="M741" i="1"/>
  <c r="M1124" i="1"/>
  <c r="M544" i="1"/>
  <c r="M566" i="1"/>
  <c r="M557" i="1"/>
  <c r="M6" i="1"/>
  <c r="M1051" i="1"/>
  <c r="M1025" i="1"/>
  <c r="M978" i="1"/>
  <c r="M942" i="1"/>
  <c r="M909" i="1"/>
  <c r="M893" i="1"/>
  <c r="M873" i="1"/>
  <c r="M853" i="1"/>
  <c r="M841" i="1"/>
  <c r="M750" i="1"/>
  <c r="M740" i="1"/>
  <c r="M543" i="1"/>
  <c r="M556" i="1"/>
  <c r="M546" i="1"/>
  <c r="M924" i="1"/>
  <c r="M834" i="1"/>
  <c r="M872" i="1"/>
  <c r="M852" i="1"/>
  <c r="M795" i="1"/>
  <c r="M739" i="1"/>
  <c r="M542" i="1"/>
  <c r="M555" i="1"/>
  <c r="M904" i="1"/>
  <c r="M788" i="1"/>
  <c r="M1540" i="1"/>
  <c r="M122" i="1"/>
  <c r="M2097" i="1"/>
  <c r="M1951" i="1"/>
  <c r="M1762" i="1"/>
  <c r="M499" i="1"/>
  <c r="M1093" i="1"/>
  <c r="M722" i="1"/>
  <c r="M1575" i="1"/>
  <c r="M1510" i="1"/>
  <c r="M341" i="1"/>
  <c r="M1472" i="1"/>
  <c r="M1431" i="1"/>
  <c r="M1356" i="1"/>
  <c r="M274" i="1"/>
  <c r="M240" i="1"/>
  <c r="M215" i="1"/>
  <c r="M192" i="1"/>
  <c r="M173" i="1"/>
  <c r="M154" i="1"/>
  <c r="M137" i="1"/>
  <c r="M1331" i="1"/>
  <c r="M1312" i="1"/>
  <c r="M1293" i="1"/>
  <c r="M1275" i="1"/>
  <c r="M1256" i="1"/>
  <c r="M111" i="1"/>
  <c r="M62" i="1"/>
  <c r="M79" i="1"/>
  <c r="M69" i="1"/>
  <c r="M39" i="1"/>
  <c r="M708" i="1"/>
  <c r="M577" i="1"/>
  <c r="M1220" i="1"/>
  <c r="M1200" i="1"/>
  <c r="M1181" i="1"/>
  <c r="M1163" i="1"/>
  <c r="M1145" i="1"/>
  <c r="M1018" i="1"/>
  <c r="M996" i="1"/>
  <c r="M960" i="1"/>
  <c r="M925" i="1"/>
  <c r="M882" i="1"/>
  <c r="M798" i="1"/>
  <c r="M778" i="1"/>
  <c r="M1123" i="1"/>
  <c r="M565" i="1"/>
  <c r="M959" i="1"/>
  <c r="M891" i="1"/>
  <c r="M822" i="1"/>
  <c r="M756" i="1"/>
  <c r="M656" i="1"/>
  <c r="M990" i="1"/>
  <c r="M1117" i="1"/>
  <c r="M260" i="1"/>
  <c r="M2095" i="1"/>
  <c r="M1942" i="1"/>
  <c r="M1761" i="1"/>
  <c r="M495" i="1"/>
  <c r="M1087" i="1"/>
  <c r="M721" i="1"/>
  <c r="M1574" i="1"/>
  <c r="M673" i="1"/>
  <c r="M339" i="1"/>
  <c r="M1470" i="1"/>
  <c r="M1430" i="1"/>
  <c r="M1355" i="1"/>
  <c r="M273" i="1"/>
  <c r="M239" i="1"/>
  <c r="M214" i="1"/>
  <c r="M191" i="1"/>
  <c r="M170" i="1"/>
  <c r="M152" i="1"/>
  <c r="M136" i="1"/>
  <c r="M1330" i="1"/>
  <c r="M1311" i="1"/>
  <c r="M1292" i="1"/>
  <c r="M1274" i="1"/>
  <c r="M1254" i="1"/>
  <c r="M109" i="1"/>
  <c r="M94" i="1"/>
  <c r="M58" i="1"/>
  <c r="M51" i="1"/>
  <c r="M38" i="1"/>
  <c r="M707" i="1"/>
  <c r="M575" i="1"/>
  <c r="M1218" i="1"/>
  <c r="M1199" i="1"/>
  <c r="M1180" i="1"/>
  <c r="M1162" i="1"/>
  <c r="M1144" i="1"/>
  <c r="M1050" i="1"/>
  <c r="M1035" i="1"/>
  <c r="M1023" i="1"/>
  <c r="M995" i="1"/>
  <c r="M977" i="1"/>
  <c r="M941" i="1"/>
  <c r="M881" i="1"/>
  <c r="M760" i="1"/>
  <c r="M1122" i="1"/>
  <c r="M972" i="1"/>
  <c r="M24" i="1"/>
  <c r="M232" i="1"/>
  <c r="M2085" i="1"/>
  <c r="M1895" i="1"/>
  <c r="M1759" i="1"/>
  <c r="M482" i="1"/>
  <c r="M1633" i="1"/>
  <c r="M1070" i="1"/>
  <c r="M1572" i="1"/>
  <c r="M1499" i="1"/>
  <c r="M338" i="1"/>
  <c r="M1411" i="1"/>
  <c r="M1418" i="1"/>
  <c r="M1354" i="1"/>
  <c r="M272" i="1"/>
  <c r="M237" i="1"/>
  <c r="M213" i="1"/>
  <c r="M190" i="1"/>
  <c r="M169" i="1"/>
  <c r="M151" i="1"/>
  <c r="M135" i="1"/>
  <c r="M1329" i="1"/>
  <c r="M1310" i="1"/>
  <c r="M1291" i="1"/>
  <c r="M1273" i="1"/>
  <c r="M1253" i="1"/>
  <c r="M108" i="1"/>
  <c r="M93" i="1"/>
  <c r="M57" i="1"/>
  <c r="M710" i="1"/>
  <c r="M37" i="1"/>
  <c r="M662" i="1"/>
  <c r="M706" i="1"/>
  <c r="M1216" i="1"/>
  <c r="M1198" i="1"/>
  <c r="M1179" i="1"/>
  <c r="M1161" i="1"/>
  <c r="M1143" i="1"/>
  <c r="M1670" i="1"/>
  <c r="M1034" i="1"/>
  <c r="M1012" i="1"/>
  <c r="M994" i="1"/>
  <c r="M976" i="1"/>
  <c r="M958" i="1"/>
  <c r="M940" i="1"/>
  <c r="M923" i="1"/>
  <c r="M839" i="1"/>
  <c r="M804" i="1"/>
  <c r="M880" i="1"/>
  <c r="M871" i="1"/>
  <c r="M826" i="1"/>
  <c r="M816" i="1"/>
  <c r="M794" i="1"/>
  <c r="M751" i="1"/>
  <c r="M767" i="1"/>
  <c r="M738" i="1"/>
  <c r="M1121" i="1"/>
  <c r="M657" i="1"/>
  <c r="M688" i="1"/>
  <c r="M554" i="1"/>
  <c r="M1226" i="1"/>
  <c r="M1215" i="1"/>
  <c r="M1178" i="1"/>
  <c r="M1142" i="1"/>
  <c r="M1022" i="1"/>
  <c r="M993" i="1"/>
  <c r="M975" i="1"/>
  <c r="M957" i="1"/>
  <c r="M921" i="1"/>
  <c r="M890" i="1"/>
  <c r="M870" i="1"/>
  <c r="M808" i="1"/>
  <c r="M766" i="1"/>
  <c r="M737" i="1"/>
  <c r="M27" i="1"/>
  <c r="M553" i="1"/>
  <c r="M833" i="1"/>
  <c r="M869" i="1"/>
  <c r="M807" i="1"/>
  <c r="M774" i="1"/>
  <c r="M1119" i="1"/>
  <c r="M562" i="1"/>
  <c r="M1158" i="1"/>
  <c r="M937" i="1"/>
  <c r="M905" i="1"/>
  <c r="M850" i="1"/>
  <c r="M773" i="1"/>
  <c r="M1136" i="1"/>
  <c r="M563" i="1"/>
  <c r="M2035" i="1"/>
  <c r="M1707" i="1"/>
  <c r="M1626" i="1"/>
  <c r="M1547" i="1"/>
  <c r="M1454" i="1"/>
  <c r="M1335" i="1"/>
  <c r="M233" i="1"/>
  <c r="M147" i="1"/>
  <c r="M1306" i="1"/>
  <c r="M1248" i="1"/>
  <c r="M65" i="1"/>
  <c r="M700" i="1"/>
  <c r="M1194" i="1"/>
  <c r="M1044" i="1"/>
  <c r="M1008" i="1"/>
  <c r="M888" i="1"/>
  <c r="M867" i="1"/>
  <c r="M772" i="1"/>
  <c r="M15" i="1"/>
  <c r="M317" i="1"/>
  <c r="M182" i="1"/>
  <c r="M1304" i="1"/>
  <c r="M2084" i="1"/>
  <c r="M1894" i="1"/>
  <c r="M1757" i="1"/>
  <c r="M479" i="1"/>
  <c r="M1631" i="1"/>
  <c r="M1061" i="1"/>
  <c r="M1559" i="1"/>
  <c r="M1496" i="1"/>
  <c r="M337" i="1"/>
  <c r="M1412" i="1"/>
  <c r="M1405" i="1"/>
  <c r="M1353" i="1"/>
  <c r="M271" i="1"/>
  <c r="M236" i="1"/>
  <c r="M210" i="1"/>
  <c r="M189" i="1"/>
  <c r="M167" i="1"/>
  <c r="M117" i="1"/>
  <c r="M134" i="1"/>
  <c r="M1328" i="1"/>
  <c r="M1309" i="1"/>
  <c r="M1290" i="1"/>
  <c r="M1270" i="1"/>
  <c r="M1251" i="1"/>
  <c r="M107" i="1"/>
  <c r="M92" i="1"/>
  <c r="M67" i="1"/>
  <c r="M1672" i="1"/>
  <c r="M1233" i="1"/>
  <c r="M704" i="1"/>
  <c r="M1197" i="1"/>
  <c r="M1160" i="1"/>
  <c r="M1048" i="1"/>
  <c r="M1011" i="1"/>
  <c r="M837" i="1"/>
  <c r="M907" i="1"/>
  <c r="M879" i="1"/>
  <c r="M809" i="1"/>
  <c r="M792" i="1"/>
  <c r="M775" i="1"/>
  <c r="M1120" i="1"/>
  <c r="M564" i="1"/>
  <c r="M906" i="1"/>
  <c r="M865" i="1"/>
  <c r="M736" i="1"/>
  <c r="M552" i="1"/>
  <c r="M692" i="1"/>
  <c r="M1009" i="1"/>
  <c r="M955" i="1"/>
  <c r="M889" i="1"/>
  <c r="M864" i="1"/>
  <c r="M789" i="1"/>
  <c r="M1118" i="1"/>
  <c r="M447" i="1"/>
  <c r="M318" i="1"/>
  <c r="M261" i="1"/>
  <c r="M132" i="1"/>
  <c r="M1286" i="1"/>
  <c r="M90" i="1"/>
  <c r="M1222" i="1"/>
  <c r="M1175" i="1"/>
  <c r="M1031" i="1"/>
  <c r="M954" i="1"/>
  <c r="M863" i="1"/>
  <c r="M764" i="1"/>
  <c r="M1406" i="1"/>
  <c r="M131" i="1"/>
  <c r="M2070" i="1"/>
  <c r="M1892" i="1"/>
  <c r="M1714" i="1"/>
  <c r="M477" i="1"/>
  <c r="M1629" i="1"/>
  <c r="M621" i="1"/>
  <c r="M1569" i="1"/>
  <c r="M1491" i="1"/>
  <c r="M323" i="1"/>
  <c r="M1417" i="1"/>
  <c r="M1403" i="1"/>
  <c r="M1338" i="1"/>
  <c r="M270" i="1"/>
  <c r="M235" i="1"/>
  <c r="M209" i="1"/>
  <c r="M186" i="1"/>
  <c r="M166" i="1"/>
  <c r="M149" i="1"/>
  <c r="M133" i="1"/>
  <c r="M1327" i="1"/>
  <c r="M1308" i="1"/>
  <c r="M1289" i="1"/>
  <c r="M1269" i="1"/>
  <c r="M1250" i="1"/>
  <c r="M106" i="1"/>
  <c r="M91" i="1"/>
  <c r="M77" i="1"/>
  <c r="M665" i="1"/>
  <c r="M1232" i="1"/>
  <c r="M1225" i="1"/>
  <c r="M703" i="1"/>
  <c r="M1214" i="1"/>
  <c r="M1196" i="1"/>
  <c r="M1177" i="1"/>
  <c r="M1159" i="1"/>
  <c r="M1141" i="1"/>
  <c r="M1047" i="1"/>
  <c r="M1032" i="1"/>
  <c r="M1010" i="1"/>
  <c r="M992" i="1"/>
  <c r="M974" i="1"/>
  <c r="M956" i="1"/>
  <c r="M939" i="1"/>
  <c r="M920" i="1"/>
  <c r="M831" i="1"/>
  <c r="M791" i="1"/>
  <c r="M748" i="1"/>
  <c r="M26" i="1"/>
  <c r="M1176" i="1"/>
  <c r="M1021" i="1"/>
  <c r="M973" i="1"/>
  <c r="M836" i="1"/>
  <c r="M868" i="1"/>
  <c r="M765" i="1"/>
  <c r="M25" i="1"/>
  <c r="M551" i="1"/>
  <c r="M1053" i="1"/>
  <c r="M1489" i="1"/>
  <c r="M1398" i="1"/>
  <c r="M163" i="1"/>
  <c r="M1325" i="1"/>
  <c r="M104" i="1"/>
  <c r="M1235" i="1"/>
  <c r="M1212" i="1"/>
  <c r="M1157" i="1"/>
  <c r="M918" i="1"/>
  <c r="M849" i="1"/>
  <c r="M1488" i="1"/>
  <c r="M162" i="1"/>
  <c r="M1284" i="1"/>
  <c r="M2068" i="1"/>
  <c r="M1889" i="1"/>
  <c r="M1711" i="1"/>
  <c r="M650" i="1"/>
  <c r="M1628" i="1"/>
  <c r="M1568" i="1"/>
  <c r="M1490" i="1"/>
  <c r="M322" i="1"/>
  <c r="M1468" i="1"/>
  <c r="M1399" i="1"/>
  <c r="M1337" i="1"/>
  <c r="M269" i="1"/>
  <c r="M234" i="1"/>
  <c r="M207" i="1"/>
  <c r="M185" i="1"/>
  <c r="M165" i="1"/>
  <c r="M148" i="1"/>
  <c r="M120" i="1"/>
  <c r="M1326" i="1"/>
  <c r="M1307" i="1"/>
  <c r="M1242" i="1"/>
  <c r="M1267" i="1"/>
  <c r="M1249" i="1"/>
  <c r="M105" i="1"/>
  <c r="M61" i="1"/>
  <c r="M76" i="1"/>
  <c r="M588" i="1"/>
  <c r="M1230" i="1"/>
  <c r="M1223" i="1"/>
  <c r="M701" i="1"/>
  <c r="M1213" i="1"/>
  <c r="M1195" i="1"/>
  <c r="M1045" i="1"/>
  <c r="M991" i="1"/>
  <c r="M830" i="1"/>
  <c r="M1887" i="1"/>
  <c r="M183" i="1"/>
  <c r="M1266" i="1"/>
  <c r="M1229" i="1"/>
  <c r="M691" i="1"/>
  <c r="M878" i="1"/>
  <c r="M550" i="1"/>
  <c r="M203" i="1"/>
  <c r="M206" i="1"/>
  <c r="M936" i="1"/>
  <c r="M1135" i="1"/>
  <c r="M1397" i="1"/>
  <c r="M2031" i="1"/>
  <c r="M1874" i="1"/>
  <c r="M1703" i="1"/>
  <c r="M441" i="1"/>
  <c r="M1624" i="1"/>
  <c r="M1055" i="1"/>
  <c r="M1334" i="1"/>
  <c r="M1324" i="1"/>
  <c r="M2159" i="1"/>
  <c r="M2007" i="1"/>
  <c r="M1828" i="1"/>
  <c r="M523" i="1"/>
  <c r="M1641" i="1"/>
  <c r="M400" i="1"/>
  <c r="M611" i="1"/>
  <c r="M1535" i="1"/>
  <c r="M363" i="1"/>
  <c r="M596" i="1"/>
  <c r="M1450" i="1"/>
  <c r="M1381" i="1"/>
  <c r="M291" i="1"/>
  <c r="M253" i="1"/>
  <c r="M225" i="1"/>
  <c r="M199" i="1"/>
  <c r="M119" i="1"/>
  <c r="M159" i="1"/>
  <c r="M126" i="1"/>
  <c r="M128" i="1"/>
  <c r="M1320" i="1"/>
  <c r="M1299" i="1"/>
  <c r="M1281" i="1"/>
  <c r="M1262" i="1"/>
  <c r="M1244" i="1"/>
  <c r="M100" i="1"/>
  <c r="M85" i="1"/>
  <c r="M74" i="1"/>
  <c r="M46" i="1"/>
  <c r="M35" i="1"/>
  <c r="M583" i="1"/>
  <c r="M697" i="1"/>
  <c r="M1671" i="1"/>
  <c r="M1190" i="1"/>
  <c r="M1170" i="1"/>
  <c r="M1151" i="1"/>
  <c r="M1139" i="1"/>
  <c r="M1013" i="1"/>
  <c r="M1030" i="1"/>
  <c r="M1004" i="1"/>
  <c r="M986" i="1"/>
  <c r="M967" i="1"/>
  <c r="M948" i="1"/>
  <c r="M931" i="1"/>
  <c r="M915" i="1"/>
  <c r="M900" i="1"/>
  <c r="M814" i="1"/>
  <c r="M829" i="1"/>
  <c r="M810" i="1"/>
  <c r="M857" i="1"/>
  <c r="M845" i="1"/>
  <c r="M784" i="1"/>
  <c r="M2151" i="1"/>
  <c r="M2006" i="1"/>
  <c r="M1814" i="1"/>
  <c r="M1667" i="1"/>
  <c r="M1103" i="1"/>
  <c r="M635" i="1"/>
  <c r="M610" i="1"/>
  <c r="M1532" i="1"/>
  <c r="M362" i="1"/>
  <c r="M595" i="1"/>
  <c r="M1449" i="1"/>
  <c r="M1380" i="1"/>
  <c r="M290" i="1"/>
  <c r="M252" i="1"/>
  <c r="M221" i="1"/>
  <c r="M198" i="1"/>
  <c r="M178" i="1"/>
  <c r="M118" i="1"/>
  <c r="M144" i="1"/>
  <c r="M116" i="1"/>
  <c r="M1317" i="1"/>
  <c r="M1298" i="1"/>
  <c r="M1280" i="1"/>
  <c r="M1241" i="1"/>
  <c r="M1243" i="1"/>
  <c r="M99" i="1"/>
  <c r="M83" i="1"/>
  <c r="M72" i="1"/>
  <c r="M45" i="1"/>
  <c r="M33" i="1"/>
  <c r="M582" i="1"/>
  <c r="M696" i="1"/>
  <c r="M1208" i="1"/>
  <c r="M1189" i="1"/>
  <c r="M1168" i="1"/>
  <c r="M1150" i="1"/>
  <c r="M1138" i="1"/>
  <c r="M1019" i="1"/>
  <c r="M1029" i="1"/>
  <c r="M1003" i="1"/>
  <c r="M984" i="1"/>
  <c r="M965" i="1"/>
  <c r="M947" i="1"/>
  <c r="M930" i="1"/>
  <c r="M914" i="1"/>
  <c r="M899" i="1"/>
  <c r="M887" i="1"/>
  <c r="M875" i="1"/>
  <c r="M800" i="1"/>
  <c r="M856" i="1"/>
  <c r="M844" i="1"/>
  <c r="M783" i="1"/>
  <c r="M771" i="1"/>
  <c r="M747" i="1"/>
  <c r="M1129" i="1"/>
  <c r="M572" i="1"/>
  <c r="M18" i="1"/>
  <c r="M2149" i="1"/>
  <c r="M1971" i="1"/>
  <c r="M1812" i="1"/>
  <c r="M1663" i="1"/>
  <c r="M1098" i="1"/>
  <c r="M1613" i="1"/>
  <c r="M608" i="1"/>
  <c r="M1515" i="1"/>
  <c r="M360" i="1"/>
  <c r="M1479" i="1"/>
  <c r="M1437" i="1"/>
  <c r="M1378" i="1"/>
  <c r="M284" i="1"/>
  <c r="M251" i="1"/>
  <c r="M220" i="1"/>
  <c r="M197" i="1"/>
  <c r="M177" i="1"/>
  <c r="M158" i="1"/>
  <c r="M143" i="1"/>
  <c r="M115" i="1"/>
  <c r="M1316" i="1"/>
  <c r="M1297" i="1"/>
  <c r="M1279" i="1"/>
  <c r="M1261" i="1"/>
  <c r="M1240" i="1"/>
  <c r="M98" i="1"/>
  <c r="M60" i="1"/>
  <c r="M52" i="1"/>
  <c r="M44" i="1"/>
  <c r="M32" i="1"/>
  <c r="M581" i="1"/>
  <c r="M695" i="1"/>
  <c r="M1207" i="1"/>
  <c r="M1188" i="1"/>
  <c r="M1167" i="1"/>
  <c r="M1149" i="1"/>
  <c r="M1137" i="1"/>
  <c r="M1040" i="1"/>
  <c r="M1028" i="1"/>
  <c r="M1002" i="1"/>
  <c r="M983" i="1"/>
  <c r="M964" i="1"/>
  <c r="M946" i="1"/>
  <c r="M929" i="1"/>
  <c r="M913" i="1"/>
  <c r="M898" i="1"/>
  <c r="M802" i="1"/>
  <c r="M821" i="1"/>
  <c r="M1839" i="1"/>
  <c r="M1536" i="1"/>
  <c r="M283" i="1"/>
  <c r="M146" i="1"/>
  <c r="M1264" i="1"/>
  <c r="M56" i="1"/>
  <c r="M574" i="1"/>
  <c r="M1154" i="1"/>
  <c r="M1006" i="1"/>
  <c r="M933" i="1"/>
  <c r="M877" i="1"/>
  <c r="M843" i="1"/>
  <c r="M761" i="1"/>
  <c r="M22" i="1"/>
  <c r="M9" i="1"/>
  <c r="M8" i="1"/>
  <c r="M561" i="1"/>
  <c r="M901" i="1"/>
  <c r="M1436" i="1"/>
  <c r="M559" i="1"/>
  <c r="M952" i="1"/>
  <c r="M1007" i="1"/>
  <c r="M1837" i="1"/>
  <c r="M1514" i="1"/>
  <c r="M255" i="1"/>
  <c r="M145" i="1"/>
  <c r="M1263" i="1"/>
  <c r="M68" i="1"/>
  <c r="M698" i="1"/>
  <c r="M1152" i="1"/>
  <c r="M1005" i="1"/>
  <c r="M932" i="1"/>
  <c r="M876" i="1"/>
  <c r="M823" i="1"/>
  <c r="M746" i="1"/>
  <c r="M21" i="1"/>
  <c r="M1042" i="1"/>
  <c r="M1302" i="1"/>
  <c r="M1186" i="1"/>
  <c r="M1385" i="1"/>
  <c r="M819" i="1"/>
  <c r="M1811" i="1"/>
  <c r="M368" i="1"/>
  <c r="M254" i="1"/>
  <c r="M142" i="1"/>
  <c r="M1260" i="1"/>
  <c r="M71" i="1"/>
  <c r="M694" i="1"/>
  <c r="M1148" i="1"/>
  <c r="M1000" i="1"/>
  <c r="M928" i="1"/>
  <c r="M820" i="1"/>
  <c r="M787" i="1"/>
  <c r="M744" i="1"/>
  <c r="M20" i="1"/>
  <c r="M7" i="1"/>
  <c r="M1134" i="1"/>
  <c r="M17" i="1"/>
  <c r="M1315" i="1"/>
  <c r="M758" i="1"/>
  <c r="M860" i="1"/>
  <c r="M31" i="1"/>
  <c r="M1115" i="1"/>
  <c r="M587" i="1"/>
  <c r="M846" i="1"/>
  <c r="M1700" i="1"/>
  <c r="M366" i="1"/>
  <c r="M250" i="1"/>
  <c r="M130" i="1"/>
  <c r="M1247" i="1"/>
  <c r="M50" i="1"/>
  <c r="M1211" i="1"/>
  <c r="M660" i="1"/>
  <c r="M989" i="1"/>
  <c r="M917" i="1"/>
  <c r="M828" i="1"/>
  <c r="M786" i="1"/>
  <c r="M687" i="1"/>
  <c r="M1192" i="1"/>
  <c r="M196" i="1"/>
  <c r="M963" i="1"/>
  <c r="M825" i="1"/>
  <c r="M66" i="1"/>
  <c r="M1699" i="1"/>
  <c r="M359" i="1"/>
  <c r="M231" i="1"/>
  <c r="M129" i="1"/>
  <c r="M1246" i="1"/>
  <c r="M49" i="1"/>
  <c r="M1210" i="1"/>
  <c r="M659" i="1"/>
  <c r="M988" i="1"/>
  <c r="M835" i="1"/>
  <c r="M838" i="1"/>
  <c r="M785" i="1"/>
  <c r="M1133" i="1"/>
  <c r="M16" i="1"/>
  <c r="M1209" i="1"/>
  <c r="M987" i="1"/>
  <c r="M811" i="1"/>
  <c r="M1132" i="1"/>
  <c r="M14" i="1"/>
  <c r="M313" i="1"/>
  <c r="M43" i="1"/>
  <c r="M689" i="1"/>
  <c r="M912" i="1"/>
  <c r="M781" i="1"/>
  <c r="M13" i="1"/>
  <c r="M759" i="1"/>
  <c r="M12" i="1"/>
  <c r="M1095" i="1"/>
  <c r="M54" i="1"/>
  <c r="M902" i="1"/>
  <c r="M1126" i="1"/>
  <c r="M1451" i="1"/>
  <c r="M709" i="1"/>
  <c r="M1191" i="1"/>
  <c r="M749" i="1"/>
  <c r="M560" i="1"/>
  <c r="M181" i="1"/>
  <c r="M1039" i="1"/>
  <c r="M858" i="1"/>
  <c r="M1612" i="1"/>
  <c r="M88" i="1"/>
  <c r="M1017" i="1"/>
  <c r="M770" i="1"/>
  <c r="M548" i="1"/>
  <c r="M1957" i="1"/>
  <c r="M1265" i="1"/>
  <c r="M934" i="1"/>
  <c r="M23" i="1"/>
  <c r="M1662" i="1"/>
  <c r="M308" i="1"/>
  <c r="M230" i="1"/>
  <c r="M589" i="1"/>
  <c r="M1245" i="1"/>
  <c r="M47" i="1"/>
  <c r="M658" i="1"/>
  <c r="M916" i="1"/>
  <c r="M782" i="1"/>
  <c r="M434" i="1"/>
  <c r="M218" i="1"/>
  <c r="M1323" i="1"/>
  <c r="M1238" i="1"/>
  <c r="M1205" i="1"/>
  <c r="M981" i="1"/>
  <c r="M818" i="1"/>
  <c r="M1131" i="1"/>
  <c r="M817" i="1"/>
  <c r="M1128" i="1"/>
  <c r="M1452" i="1"/>
  <c r="M664" i="1"/>
  <c r="M970" i="1"/>
  <c r="M861" i="1"/>
  <c r="M638" i="1"/>
  <c r="M102" i="1"/>
  <c r="M1041" i="1"/>
  <c r="M1116" i="1"/>
  <c r="M636" i="1"/>
  <c r="M97" i="1"/>
  <c r="M897" i="1"/>
  <c r="M754" i="1"/>
  <c r="M180" i="1"/>
  <c r="M803" i="1"/>
  <c r="M1114" i="1"/>
  <c r="M1537" i="1"/>
  <c r="M1155" i="1"/>
  <c r="M1174" i="1"/>
  <c r="M299" i="1"/>
  <c r="M699" i="1"/>
  <c r="M10" i="1"/>
  <c r="M433" i="1"/>
  <c r="M671" i="1"/>
  <c r="M202" i="1"/>
  <c r="M1321" i="1"/>
  <c r="M103" i="1"/>
  <c r="M36" i="1"/>
  <c r="M1193" i="1"/>
  <c r="M1043" i="1"/>
  <c r="M971" i="1"/>
  <c r="M903" i="1"/>
  <c r="M200" i="1"/>
  <c r="M968" i="1"/>
  <c r="M1300" i="1"/>
  <c r="M1296" i="1"/>
  <c r="M755" i="1"/>
  <c r="M2148" i="1"/>
  <c r="M380" i="1"/>
  <c r="M1360" i="1"/>
  <c r="M176" i="1"/>
  <c r="M1283" i="1"/>
  <c r="M87" i="1"/>
  <c r="M585" i="1"/>
  <c r="M1173" i="1"/>
  <c r="M1016" i="1"/>
  <c r="M951" i="1"/>
  <c r="M815" i="1"/>
  <c r="M855" i="1"/>
  <c r="M769" i="1"/>
  <c r="M573" i="1"/>
  <c r="M549" i="1"/>
  <c r="M2013" i="1"/>
  <c r="M666" i="1"/>
  <c r="M160" i="1"/>
  <c r="M82" i="1"/>
  <c r="M1166" i="1"/>
  <c r="M945" i="1"/>
  <c r="M797" i="1"/>
  <c r="M569" i="1"/>
  <c r="M2017" i="1"/>
  <c r="M677" i="1"/>
  <c r="M1376" i="1"/>
  <c r="M161" i="1"/>
  <c r="M1282" i="1"/>
  <c r="M86" i="1"/>
  <c r="M584" i="1"/>
  <c r="M1171" i="1"/>
  <c r="M1014" i="1"/>
  <c r="M949" i="1"/>
  <c r="M801" i="1"/>
  <c r="M847" i="1"/>
  <c r="M763" i="1"/>
  <c r="M570" i="1"/>
  <c r="M547" i="1"/>
  <c r="M716" i="1"/>
  <c r="M1278" i="1"/>
  <c r="M580" i="1"/>
  <c r="M1027" i="1"/>
  <c r="M885" i="1"/>
  <c r="M762" i="1"/>
  <c r="M1104" i="1"/>
  <c r="M157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222" i="2"/>
  <c r="D97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3" i="2"/>
  <c r="D108" i="2"/>
  <c r="D98" i="2"/>
  <c r="D99" i="2"/>
  <c r="D102" i="2"/>
  <c r="D100" i="2"/>
  <c r="D106" i="2"/>
  <c r="D103" i="2"/>
  <c r="D104" i="2"/>
  <c r="D109" i="2"/>
  <c r="D110" i="2"/>
  <c r="D101" i="2"/>
  <c r="D107" i="2"/>
  <c r="D118" i="2"/>
  <c r="D131" i="2"/>
  <c r="D124" i="2"/>
  <c r="D129" i="2"/>
  <c r="D120" i="2"/>
  <c r="D132" i="2"/>
  <c r="D122" i="2"/>
  <c r="D123" i="2"/>
  <c r="D133" i="2"/>
  <c r="D125" i="2"/>
  <c r="D127" i="2"/>
  <c r="D116" i="2"/>
  <c r="D134" i="2"/>
  <c r="D121" i="2"/>
  <c r="D128" i="2"/>
  <c r="D142" i="2"/>
  <c r="D146" i="2"/>
  <c r="D145" i="2"/>
  <c r="D144" i="2"/>
  <c r="D143" i="2"/>
  <c r="D141" i="2"/>
  <c r="D161" i="2"/>
  <c r="D150" i="2"/>
  <c r="D155" i="2"/>
  <c r="D148" i="2"/>
  <c r="D158" i="2"/>
  <c r="D156" i="2"/>
  <c r="D159" i="2"/>
  <c r="D152" i="2"/>
  <c r="D149" i="2"/>
  <c r="D162" i="2"/>
  <c r="D167" i="2"/>
  <c r="D160" i="2"/>
  <c r="D151" i="2"/>
  <c r="D157" i="2"/>
  <c r="D163" i="2"/>
  <c r="D154" i="2"/>
  <c r="D164" i="2"/>
  <c r="D165" i="2"/>
  <c r="D166" i="2"/>
  <c r="D153" i="2"/>
  <c r="D169" i="2"/>
  <c r="D175" i="2"/>
  <c r="D172" i="2"/>
  <c r="D168" i="2"/>
  <c r="D171" i="2"/>
  <c r="D170" i="2"/>
  <c r="D176" i="2"/>
  <c r="D180" i="2"/>
  <c r="D181" i="2"/>
  <c r="D182" i="2"/>
  <c r="D183" i="2"/>
  <c r="D173" i="2"/>
  <c r="D174" i="2"/>
  <c r="D177" i="2"/>
  <c r="D184" i="2"/>
  <c r="D178" i="2"/>
  <c r="D179" i="2"/>
  <c r="D78" i="2"/>
  <c r="D79" i="2"/>
  <c r="D80" i="2"/>
  <c r="D105" i="2"/>
  <c r="D119" i="2"/>
  <c r="D147" i="2"/>
  <c r="D191" i="2"/>
  <c r="D187" i="2"/>
  <c r="D185" i="2"/>
  <c r="D192" i="2"/>
  <c r="D188" i="2"/>
  <c r="D194" i="2"/>
  <c r="D196" i="2"/>
  <c r="D186" i="2"/>
  <c r="D189" i="2"/>
  <c r="D197" i="2"/>
  <c r="D198" i="2"/>
  <c r="D199" i="2"/>
  <c r="D190" i="2"/>
  <c r="D193" i="2"/>
  <c r="D195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5" i="2"/>
  <c r="D126" i="2"/>
  <c r="D221" i="2"/>
  <c r="D139" i="2"/>
  <c r="D135" i="2"/>
  <c r="D140" i="2"/>
  <c r="D117" i="2"/>
  <c r="D136" i="2"/>
  <c r="D137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2" i="2"/>
  <c r="D130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222" i="2"/>
  <c r="A97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3" i="2"/>
  <c r="A114" i="2"/>
  <c r="A108" i="2"/>
  <c r="A98" i="2"/>
  <c r="A99" i="2"/>
  <c r="A102" i="2"/>
  <c r="A100" i="2"/>
  <c r="A106" i="2"/>
  <c r="A103" i="2"/>
  <c r="A104" i="2"/>
  <c r="A109" i="2"/>
  <c r="A110" i="2"/>
  <c r="A101" i="2"/>
  <c r="A107" i="2"/>
  <c r="A118" i="2"/>
  <c r="A131" i="2"/>
  <c r="A124" i="2"/>
  <c r="A129" i="2"/>
  <c r="A120" i="2"/>
  <c r="A132" i="2"/>
  <c r="A122" i="2"/>
  <c r="A123" i="2"/>
  <c r="A133" i="2"/>
  <c r="A125" i="2"/>
  <c r="A127" i="2"/>
  <c r="A116" i="2"/>
  <c r="A134" i="2"/>
  <c r="A121" i="2"/>
  <c r="A128" i="2"/>
  <c r="A142" i="2"/>
  <c r="A146" i="2"/>
  <c r="A145" i="2"/>
  <c r="A144" i="2"/>
  <c r="A143" i="2"/>
  <c r="A141" i="2"/>
  <c r="A161" i="2"/>
  <c r="A150" i="2"/>
  <c r="A155" i="2"/>
  <c r="A148" i="2"/>
  <c r="A158" i="2"/>
  <c r="A156" i="2"/>
  <c r="A159" i="2"/>
  <c r="A152" i="2"/>
  <c r="A149" i="2"/>
  <c r="A162" i="2"/>
  <c r="A167" i="2"/>
  <c r="A160" i="2"/>
  <c r="A151" i="2"/>
  <c r="A157" i="2"/>
  <c r="A163" i="2"/>
  <c r="A154" i="2"/>
  <c r="A164" i="2"/>
  <c r="A165" i="2"/>
  <c r="A166" i="2"/>
  <c r="A153" i="2"/>
  <c r="A169" i="2"/>
  <c r="A175" i="2"/>
  <c r="A172" i="2"/>
  <c r="A168" i="2"/>
  <c r="A171" i="2"/>
  <c r="A170" i="2"/>
  <c r="A176" i="2"/>
  <c r="A180" i="2"/>
  <c r="A181" i="2"/>
  <c r="A182" i="2"/>
  <c r="A183" i="2"/>
  <c r="A173" i="2"/>
  <c r="A174" i="2"/>
  <c r="A177" i="2"/>
  <c r="A184" i="2"/>
  <c r="A178" i="2"/>
  <c r="A179" i="2"/>
  <c r="A78" i="2"/>
  <c r="A79" i="2"/>
  <c r="A80" i="2"/>
  <c r="A105" i="2"/>
  <c r="A119" i="2"/>
  <c r="A147" i="2"/>
  <c r="A191" i="2"/>
  <c r="A187" i="2"/>
  <c r="A185" i="2"/>
  <c r="A192" i="2"/>
  <c r="A188" i="2"/>
  <c r="A194" i="2"/>
  <c r="A196" i="2"/>
  <c r="A186" i="2"/>
  <c r="A189" i="2"/>
  <c r="A197" i="2"/>
  <c r="A198" i="2"/>
  <c r="A199" i="2"/>
  <c r="A190" i="2"/>
  <c r="A193" i="2"/>
  <c r="A195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5" i="2"/>
  <c r="A126" i="2"/>
  <c r="A221" i="2"/>
  <c r="A138" i="2"/>
  <c r="A139" i="2"/>
  <c r="A135" i="2"/>
  <c r="A140" i="2"/>
  <c r="A117" i="2"/>
  <c r="A136" i="2"/>
  <c r="A137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2" i="2"/>
  <c r="A130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9" i="5"/>
  <c r="D19" i="5"/>
  <c r="A20" i="5"/>
  <c r="D20" i="5"/>
  <c r="D22" i="5"/>
  <c r="A23" i="5"/>
  <c r="D23" i="5"/>
  <c r="A15" i="5"/>
  <c r="D15" i="5"/>
  <c r="A16" i="5"/>
  <c r="D16" i="5"/>
  <c r="A11" i="5"/>
  <c r="D11" i="5"/>
  <c r="A12" i="5"/>
  <c r="D12" i="5"/>
  <c r="A13" i="5"/>
  <c r="D13" i="5"/>
  <c r="A163" i="5"/>
  <c r="D163" i="5"/>
  <c r="A164" i="5"/>
  <c r="D164" i="5"/>
  <c r="A165" i="5"/>
  <c r="D165" i="5"/>
  <c r="A149" i="5"/>
  <c r="D149" i="5"/>
  <c r="A150" i="5"/>
  <c r="D150" i="5"/>
  <c r="A155" i="5"/>
  <c r="D155" i="5"/>
  <c r="A156" i="5"/>
  <c r="D156" i="5"/>
  <c r="A157" i="5"/>
  <c r="D157" i="5"/>
  <c r="M3" i="1" l="1"/>
  <c r="N3" i="1"/>
  <c r="D111" i="2"/>
  <c r="D5" i="2" s="1" a="1"/>
  <c r="D5" i="2" s="1"/>
  <c r="E5" i="5" a="1"/>
  <c r="E5" i="5" s="1"/>
  <c r="E5" i="2" a="1"/>
  <c r="E5" i="2" s="1"/>
  <c r="A18" i="5" l="1"/>
  <c r="A5" i="5" s="1" a="1"/>
  <c r="A5" i="5" s="1"/>
  <c r="D18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1" i="2"/>
  <c r="A5" i="2" s="1" a="1"/>
  <c r="A5" i="2" s="1"/>
  <c r="O547" i="1" l="1"/>
  <c r="O589" i="1"/>
  <c r="Q589" i="1" s="1"/>
  <c r="O496" i="1"/>
  <c r="Q496" i="1" s="1"/>
  <c r="O200" i="1"/>
  <c r="Q200" i="1" s="1"/>
  <c r="O464" i="1"/>
  <c r="R464" i="1" s="1"/>
  <c r="T464" i="1" s="1"/>
  <c r="O1165" i="1"/>
  <c r="R1165" i="1" s="1"/>
  <c r="T1165" i="1" s="1"/>
  <c r="O1449" i="1"/>
  <c r="Q1449" i="1" s="1"/>
  <c r="O693" i="1"/>
  <c r="Q693" i="1" s="1"/>
  <c r="O1560" i="1"/>
  <c r="Q1560" i="1" s="1"/>
  <c r="O1522" i="1"/>
  <c r="Q1522" i="1" s="1"/>
  <c r="O1626" i="1"/>
  <c r="Q1626" i="1" s="1"/>
  <c r="O154" i="1"/>
  <c r="Q154" i="1" s="1"/>
  <c r="O1359" i="1"/>
  <c r="O1501" i="1"/>
  <c r="O2035" i="1"/>
  <c r="Q2035" i="1" s="1"/>
  <c r="O1752" i="1"/>
  <c r="Q1752" i="1" s="1"/>
  <c r="O409" i="1"/>
  <c r="O484" i="1"/>
  <c r="Q484" i="1" s="1"/>
  <c r="O386" i="1"/>
  <c r="Q386" i="1" s="1"/>
  <c r="O1253" i="1"/>
  <c r="R1253" i="1" s="1"/>
  <c r="T1253" i="1" s="1"/>
  <c r="O1310" i="1"/>
  <c r="Q1310" i="1" s="1"/>
  <c r="O1564" i="1"/>
  <c r="Q1564" i="1" s="1"/>
  <c r="O1307" i="1"/>
  <c r="Q1307" i="1" s="1"/>
  <c r="O1900" i="1"/>
  <c r="Q1900" i="1" s="1"/>
  <c r="O1479" i="1"/>
  <c r="R1479" i="1" s="1"/>
  <c r="T1479" i="1" s="1"/>
  <c r="O1457" i="1"/>
  <c r="Q1457" i="1" s="1"/>
  <c r="O1884" i="1"/>
  <c r="Q1884" i="1" s="1"/>
  <c r="O256" i="1"/>
  <c r="Q256" i="1" s="1"/>
  <c r="O510" i="1"/>
  <c r="Q510" i="1" s="1"/>
  <c r="O392" i="1"/>
  <c r="Q392" i="1" s="1"/>
  <c r="O1498" i="1"/>
  <c r="Q1498" i="1" s="1"/>
  <c r="O2049" i="1"/>
  <c r="Q2049" i="1" s="1"/>
  <c r="O360" i="1"/>
  <c r="Q360" i="1" s="1"/>
  <c r="O30" i="1"/>
  <c r="Q30" i="1" s="1"/>
  <c r="O448" i="1"/>
  <c r="Q448" i="1" s="1"/>
  <c r="O1352" i="1"/>
  <c r="Q1352" i="1" s="1"/>
  <c r="O1732" i="1"/>
  <c r="Q1732" i="1" s="1"/>
  <c r="O1291" i="1"/>
  <c r="Q1291" i="1" s="1"/>
  <c r="O1701" i="1"/>
  <c r="Q1701" i="1" s="1"/>
  <c r="O176" i="1"/>
  <c r="Q176" i="1" s="1"/>
  <c r="O1757" i="1"/>
  <c r="Q1757" i="1" s="1"/>
  <c r="O1774" i="1"/>
  <c r="Q1774" i="1" s="1"/>
  <c r="O1194" i="1"/>
  <c r="Q1194" i="1" s="1"/>
  <c r="O1429" i="1"/>
  <c r="Q1429" i="1" s="1"/>
  <c r="O1937" i="1"/>
  <c r="Q1937" i="1" s="1"/>
  <c r="O2202" i="1"/>
  <c r="Q2202" i="1" s="1"/>
  <c r="O1539" i="1"/>
  <c r="Q1539" i="1" s="1"/>
  <c r="O1605" i="1"/>
  <c r="Q1605" i="1" s="1"/>
  <c r="O1972" i="1"/>
  <c r="Q1972" i="1" s="1"/>
  <c r="O1755" i="1"/>
  <c r="Q1755" i="1" s="1"/>
  <c r="O1995" i="1"/>
  <c r="Q1995" i="1" s="1"/>
  <c r="O1741" i="1"/>
  <c r="Q1741" i="1" s="1"/>
  <c r="O1380" i="1"/>
  <c r="Q1380" i="1" s="1"/>
  <c r="O688" i="1"/>
  <c r="Q688" i="1" s="1"/>
  <c r="O242" i="1"/>
  <c r="Q242" i="1" s="1"/>
  <c r="O391" i="1"/>
  <c r="Q391" i="1" s="1"/>
  <c r="O1393" i="1"/>
  <c r="Q1393" i="1" s="1"/>
  <c r="O1596" i="1"/>
  <c r="Q1596" i="1" s="1"/>
  <c r="O673" i="1"/>
  <c r="Q673" i="1" s="1"/>
  <c r="O1191" i="1"/>
  <c r="Q1191" i="1" s="1"/>
  <c r="O300" i="1"/>
  <c r="O1245" i="1"/>
  <c r="Q1245" i="1" s="1"/>
  <c r="O408" i="1"/>
  <c r="Q408" i="1" s="1"/>
  <c r="O671" i="1"/>
  <c r="Q671" i="1" s="1"/>
  <c r="O237" i="1"/>
  <c r="Q237" i="1" s="1"/>
  <c r="O93" i="1"/>
  <c r="R93" i="1" s="1"/>
  <c r="T93" i="1" s="1"/>
  <c r="O380" i="1"/>
  <c r="R380" i="1" s="1"/>
  <c r="T380" i="1" s="1"/>
  <c r="O497" i="1"/>
  <c r="Q497" i="1" s="1"/>
  <c r="O1512" i="1"/>
  <c r="Q1512" i="1" s="1"/>
  <c r="O1549" i="1"/>
  <c r="Q1549" i="1" s="1"/>
  <c r="O1529" i="1"/>
  <c r="Q1529" i="1" s="1"/>
  <c r="O467" i="1"/>
  <c r="Q467" i="1" s="1"/>
  <c r="O14" i="1"/>
  <c r="Q14" i="1" s="1"/>
  <c r="O1451" i="1"/>
  <c r="Q1451" i="1" s="1"/>
  <c r="O1446" i="1"/>
  <c r="Q1446" i="1" s="1"/>
  <c r="O516" i="1"/>
  <c r="Q516" i="1" s="1"/>
  <c r="O46" i="1"/>
  <c r="Q46" i="1" s="1"/>
  <c r="O401" i="1"/>
  <c r="R401" i="1" s="1"/>
  <c r="T401" i="1" s="1"/>
  <c r="O334" i="1"/>
  <c r="Q334" i="1" s="1"/>
  <c r="O216" i="1"/>
  <c r="Q216" i="1" s="1"/>
  <c r="O631" i="1"/>
  <c r="R631" i="1" s="1"/>
  <c r="T631" i="1" s="1"/>
  <c r="O1637" i="1"/>
  <c r="Q1637" i="1" s="1"/>
  <c r="O621" i="1"/>
  <c r="R621" i="1" s="1"/>
  <c r="T621" i="1" s="1"/>
  <c r="O567" i="1"/>
  <c r="Q567" i="1" s="1"/>
  <c r="O635" i="1"/>
  <c r="Q635" i="1" s="1"/>
  <c r="O1202" i="1"/>
  <c r="Q1202" i="1" s="1"/>
  <c r="O53" i="1"/>
  <c r="O123" i="1"/>
  <c r="O205" i="1"/>
  <c r="Q205" i="1" s="1"/>
  <c r="O1243" i="1"/>
  <c r="Q1243" i="1" s="1"/>
  <c r="O1315" i="1"/>
  <c r="Q1315" i="1" s="1"/>
  <c r="O1335" i="1"/>
  <c r="Q1335" i="1" s="1"/>
  <c r="O435" i="1"/>
  <c r="Q435" i="1" s="1"/>
  <c r="O128" i="1"/>
  <c r="Q128" i="1" s="1"/>
  <c r="O570" i="1"/>
  <c r="Q570" i="1" s="1"/>
  <c r="O1330" i="1"/>
  <c r="Q1330" i="1" s="1"/>
  <c r="O1404" i="1"/>
  <c r="O63" i="1"/>
  <c r="O1448" i="1"/>
  <c r="R1448" i="1" s="1"/>
  <c r="T1448" i="1" s="1"/>
  <c r="O345" i="1"/>
  <c r="Q345" i="1" s="1"/>
  <c r="O109" i="1"/>
  <c r="Q109" i="1" s="1"/>
  <c r="O250" i="1"/>
  <c r="Q250" i="1" s="1"/>
  <c r="O1274" i="1"/>
  <c r="Q1274" i="1" s="1"/>
  <c r="O603" i="1"/>
  <c r="R603" i="1" s="1"/>
  <c r="T603" i="1" s="1"/>
  <c r="O298" i="1"/>
  <c r="Q298" i="1" s="1"/>
  <c r="O288" i="1"/>
  <c r="Q288" i="1" s="1"/>
  <c r="O372" i="1"/>
  <c r="O1144" i="1"/>
  <c r="Q1144" i="1" s="1"/>
  <c r="O568" i="1"/>
  <c r="Q568" i="1" s="1"/>
  <c r="O463" i="1"/>
  <c r="Q463" i="1" s="1"/>
  <c r="O94" i="1"/>
  <c r="R94" i="1" s="1"/>
  <c r="T94" i="1" s="1"/>
  <c r="O527" i="1"/>
  <c r="Q527" i="1" s="1"/>
  <c r="O1655" i="1"/>
  <c r="Q1655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684" i="1"/>
  <c r="Q1684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703" i="1"/>
  <c r="Q703" i="1" s="1"/>
  <c r="O691" i="1"/>
  <c r="Q691" i="1" s="1"/>
  <c r="O728" i="1"/>
  <c r="Q728" i="1" s="1"/>
  <c r="O709" i="1"/>
  <c r="Q709" i="1" s="1"/>
  <c r="O666" i="1"/>
  <c r="Q666" i="1" s="1"/>
  <c r="O1128" i="1"/>
  <c r="Q1128" i="1" s="1"/>
  <c r="O1159" i="1"/>
  <c r="Q1159" i="1" s="1"/>
  <c r="O1210" i="1"/>
  <c r="Q1210" i="1" s="1"/>
  <c r="O1265" i="1"/>
  <c r="Q1265" i="1" s="1"/>
  <c r="O1296" i="1"/>
  <c r="Q1296" i="1" s="1"/>
  <c r="O1327" i="1"/>
  <c r="Q1327" i="1" s="1"/>
  <c r="O1129" i="1"/>
  <c r="Q1129" i="1" s="1"/>
  <c r="O1160" i="1"/>
  <c r="Q1160" i="1" s="1"/>
  <c r="O1282" i="1"/>
  <c r="Q1282" i="1" s="1"/>
  <c r="O1344" i="1"/>
  <c r="Q1344" i="1" s="1"/>
  <c r="O1239" i="1"/>
  <c r="Q1239" i="1" s="1"/>
  <c r="O1418" i="1"/>
  <c r="Q1418" i="1" s="1"/>
  <c r="O1598" i="1"/>
  <c r="Q1598" i="1" s="1"/>
  <c r="O1614" i="1"/>
  <c r="Q1614" i="1" s="1"/>
  <c r="O1628" i="1"/>
  <c r="Q1628" i="1" s="1"/>
  <c r="O1118" i="1"/>
  <c r="Q1118" i="1" s="1"/>
  <c r="O1277" i="1"/>
  <c r="Q1277" i="1" s="1"/>
  <c r="O1303" i="1"/>
  <c r="Q1303" i="1" s="1"/>
  <c r="O1193" i="1"/>
  <c r="Q1193" i="1" s="1"/>
  <c r="O1356" i="1"/>
  <c r="Q1356" i="1" s="1"/>
  <c r="O1445" i="1"/>
  <c r="Q1445" i="1" s="1"/>
  <c r="O1364" i="1"/>
  <c r="Q1364" i="1" s="1"/>
  <c r="O1263" i="1"/>
  <c r="Q1263" i="1" s="1"/>
  <c r="O1217" i="1"/>
  <c r="Q1217" i="1" s="1"/>
  <c r="O1225" i="1"/>
  <c r="Q1225" i="1" s="1"/>
  <c r="O1433" i="1"/>
  <c r="Q1433" i="1" s="1"/>
  <c r="O1654" i="1"/>
  <c r="Q1654" i="1" s="1"/>
  <c r="O1463" i="1"/>
  <c r="Q1463" i="1" s="1"/>
  <c r="O1542" i="1"/>
  <c r="Q1542" i="1" s="1"/>
  <c r="O1663" i="1"/>
  <c r="Q1663" i="1" s="1"/>
  <c r="O1389" i="1"/>
  <c r="Q1389" i="1" s="1"/>
  <c r="O1503" i="1"/>
  <c r="Q1503" i="1" s="1"/>
  <c r="O1413" i="1"/>
  <c r="Q1413" i="1" s="1"/>
  <c r="O39" i="1"/>
  <c r="Q39" i="1" s="1"/>
  <c r="O184" i="1"/>
  <c r="R184" i="1" s="1"/>
  <c r="T184" i="1" s="1"/>
  <c r="O313" i="1"/>
  <c r="Q313" i="1" s="1"/>
  <c r="O343" i="1"/>
  <c r="Q343" i="1" s="1"/>
  <c r="O374" i="1"/>
  <c r="Q374" i="1" s="1"/>
  <c r="O421" i="1"/>
  <c r="O8" i="1"/>
  <c r="Q8" i="1" s="1"/>
  <c r="O36" i="1"/>
  <c r="R36" i="1" s="1"/>
  <c r="T36" i="1" s="1"/>
  <c r="O58" i="1"/>
  <c r="R58" i="1" s="1"/>
  <c r="T58" i="1" s="1"/>
  <c r="O103" i="1"/>
  <c r="R103" i="1" s="1"/>
  <c r="T103" i="1" s="1"/>
  <c r="O185" i="1"/>
  <c r="Q185" i="1" s="1"/>
  <c r="O375" i="1"/>
  <c r="Q375" i="1" s="1"/>
  <c r="O487" i="1"/>
  <c r="Q487" i="1" s="1"/>
  <c r="O9" i="1"/>
  <c r="Q9" i="1" s="1"/>
  <c r="O24" i="1"/>
  <c r="R24" i="1" s="1"/>
  <c r="T24" i="1" s="1"/>
  <c r="O79" i="1"/>
  <c r="Q79" i="1" s="1"/>
  <c r="O171" i="1"/>
  <c r="Q171" i="1" s="1"/>
  <c r="O458" i="1"/>
  <c r="Q458" i="1" s="1"/>
  <c r="O131" i="1"/>
  <c r="Q131" i="1" s="1"/>
  <c r="O203" i="1"/>
  <c r="Q203" i="1" s="1"/>
  <c r="O249" i="1"/>
  <c r="Q249" i="1" s="1"/>
  <c r="O29" i="1"/>
  <c r="Q29" i="1" s="1"/>
  <c r="O132" i="1"/>
  <c r="R132" i="1" s="1"/>
  <c r="T132" i="1" s="1"/>
  <c r="O282" i="1"/>
  <c r="Q282" i="1" s="1"/>
  <c r="O316" i="1"/>
  <c r="R316" i="1" s="1"/>
  <c r="T316" i="1" s="1"/>
  <c r="O11" i="1"/>
  <c r="Q11" i="1" s="1"/>
  <c r="O43" i="1"/>
  <c r="R43" i="1" s="1"/>
  <c r="T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0" i="1"/>
  <c r="Q540" i="1" s="1"/>
  <c r="O13" i="1"/>
  <c r="R13" i="1" s="1"/>
  <c r="T13" i="1" s="1"/>
  <c r="O456" i="1"/>
  <c r="Q456" i="1" s="1"/>
  <c r="O38" i="1"/>
  <c r="O241" i="1"/>
  <c r="Q241" i="1" s="1"/>
  <c r="O324" i="1"/>
  <c r="Q324" i="1" s="1"/>
  <c r="O478" i="1"/>
  <c r="Q478" i="1" s="1"/>
  <c r="O352" i="1"/>
  <c r="Q352" i="1" s="1"/>
  <c r="O440" i="1"/>
  <c r="Q440" i="1" s="1"/>
  <c r="O460" i="1"/>
  <c r="Q460" i="1" s="1"/>
  <c r="O499" i="1"/>
  <c r="Q499" i="1" s="1"/>
  <c r="O214" i="1"/>
  <c r="Q214" i="1" s="1"/>
  <c r="O480" i="1"/>
  <c r="R480" i="1" s="1"/>
  <c r="T480" i="1" s="1"/>
  <c r="O500" i="1"/>
  <c r="Q500" i="1" s="1"/>
  <c r="O378" i="1"/>
  <c r="R378" i="1" s="1"/>
  <c r="T378" i="1" s="1"/>
  <c r="O245" i="1"/>
  <c r="Q245" i="1" s="1"/>
  <c r="O303" i="1"/>
  <c r="O503" i="1"/>
  <c r="R503" i="1" s="1"/>
  <c r="T503" i="1" s="1"/>
  <c r="O20" i="1"/>
  <c r="O49" i="1"/>
  <c r="Q49" i="1" s="1"/>
  <c r="O194" i="1"/>
  <c r="Q194" i="1" s="1"/>
  <c r="O246" i="1"/>
  <c r="Q246" i="1" s="1"/>
  <c r="O505" i="1"/>
  <c r="R505" i="1" s="1"/>
  <c r="T505" i="1" s="1"/>
  <c r="O56" i="1"/>
  <c r="R56" i="1" s="1"/>
  <c r="T56" i="1" s="1"/>
  <c r="O114" i="1"/>
  <c r="Q114" i="1" s="1"/>
  <c r="O339" i="1"/>
  <c r="Q339" i="1" s="1"/>
  <c r="O449" i="1"/>
  <c r="Q449" i="1" s="1"/>
  <c r="O168" i="1"/>
  <c r="R168" i="1" s="1"/>
  <c r="T168" i="1" s="1"/>
  <c r="O32" i="1"/>
  <c r="Q32" i="1" s="1"/>
  <c r="O226" i="1"/>
  <c r="Q226" i="1" s="1"/>
  <c r="O88" i="1"/>
  <c r="Q88" i="1" s="1"/>
  <c r="O261" i="1"/>
  <c r="Q261" i="1" s="1"/>
  <c r="O491" i="1"/>
  <c r="Q491" i="1" s="1"/>
  <c r="O526" i="1"/>
  <c r="Q526" i="1" s="1"/>
  <c r="O357" i="1"/>
  <c r="Q357" i="1" s="1"/>
  <c r="O111" i="1"/>
  <c r="Q111" i="1" s="1"/>
  <c r="O436" i="1"/>
  <c r="Q436" i="1" s="1"/>
  <c r="O529" i="1"/>
  <c r="R529" i="1" s="1"/>
  <c r="T529" i="1" s="1"/>
  <c r="O335" i="1"/>
  <c r="Q335" i="1" s="1"/>
  <c r="O336" i="1"/>
  <c r="Q336" i="1" s="1"/>
  <c r="O442" i="1"/>
  <c r="Q442" i="1" s="1"/>
  <c r="O134" i="1"/>
  <c r="Q134" i="1" s="1"/>
  <c r="O198" i="1"/>
  <c r="Q198" i="1" s="1"/>
  <c r="O446" i="1"/>
  <c r="Q446" i="1" s="1"/>
  <c r="O69" i="1"/>
  <c r="Q69" i="1" s="1"/>
  <c r="O163" i="1"/>
  <c r="Q163" i="1" s="1"/>
  <c r="O342" i="1"/>
  <c r="Q342" i="1" s="1"/>
  <c r="O207" i="1"/>
  <c r="Q207" i="1" s="1"/>
  <c r="O501" i="1"/>
  <c r="Q501" i="1" s="1"/>
  <c r="O506" i="1"/>
  <c r="Q506" i="1" s="1"/>
  <c r="O60" i="1"/>
  <c r="R60" i="1" s="1"/>
  <c r="T60" i="1" s="1"/>
  <c r="O507" i="1"/>
  <c r="Q507" i="1" s="1"/>
  <c r="O230" i="1"/>
  <c r="Q230" i="1" s="1"/>
  <c r="O90" i="1"/>
  <c r="Q90" i="1" s="1"/>
  <c r="O239" i="1"/>
  <c r="Q239" i="1" s="1"/>
  <c r="O470" i="1"/>
  <c r="R470" i="1" s="1"/>
  <c r="T470" i="1" s="1"/>
  <c r="O517" i="1"/>
  <c r="Q517" i="1" s="1"/>
  <c r="O597" i="1"/>
  <c r="Q597" i="1" s="1"/>
  <c r="O577" i="1"/>
  <c r="Q577" i="1" s="1"/>
  <c r="O654" i="1"/>
  <c r="Q654" i="1" s="1"/>
  <c r="O651" i="1"/>
  <c r="Q651" i="1" s="1"/>
  <c r="O555" i="1"/>
  <c r="R555" i="1" s="1"/>
  <c r="T555" i="1" s="1"/>
  <c r="O606" i="1"/>
  <c r="Q606" i="1" s="1"/>
  <c r="O652" i="1"/>
  <c r="Q652" i="1" s="1"/>
  <c r="O564" i="1"/>
  <c r="Q564" i="1" s="1"/>
  <c r="O619" i="1"/>
  <c r="R619" i="1" s="1"/>
  <c r="T619" i="1" s="1"/>
  <c r="O622" i="1"/>
  <c r="Q622" i="1" s="1"/>
  <c r="O565" i="1"/>
  <c r="R565" i="1" s="1"/>
  <c r="T565" i="1" s="1"/>
  <c r="O584" i="1"/>
  <c r="R584" i="1" s="1"/>
  <c r="T584" i="1" s="1"/>
  <c r="O566" i="1"/>
  <c r="Q566" i="1" s="1"/>
  <c r="O630" i="1"/>
  <c r="R630" i="1" s="1"/>
  <c r="T630" i="1" s="1"/>
  <c r="O633" i="1"/>
  <c r="Q633" i="1" s="1"/>
  <c r="O574" i="1"/>
  <c r="Q574" i="1" s="1"/>
  <c r="O593" i="1"/>
  <c r="Q593" i="1" s="1"/>
  <c r="O617" i="1"/>
  <c r="Q617" i="1" s="1"/>
  <c r="O548" i="1"/>
  <c r="Q548" i="1" s="1"/>
  <c r="O559" i="1"/>
  <c r="Q559" i="1" s="1"/>
  <c r="O610" i="1"/>
  <c r="Q610" i="1" s="1"/>
  <c r="O655" i="1"/>
  <c r="Q655" i="1" s="1"/>
  <c r="O579" i="1"/>
  <c r="Q579" i="1" s="1"/>
  <c r="O611" i="1"/>
  <c r="Q611" i="1" s="1"/>
  <c r="O1074" i="1"/>
  <c r="Q1074" i="1" s="1"/>
  <c r="M135" i="5" l="1"/>
  <c r="R1404" i="1"/>
  <c r="T1404" i="1" s="1"/>
  <c r="M194" i="5"/>
  <c r="R409" i="1"/>
  <c r="T409" i="1" s="1"/>
  <c r="M278" i="5"/>
  <c r="R1501" i="1"/>
  <c r="T1501" i="1" s="1"/>
  <c r="Q1253" i="1"/>
  <c r="M168" i="2"/>
  <c r="M285" i="5"/>
  <c r="M347" i="5"/>
  <c r="M102" i="5"/>
  <c r="M32" i="2"/>
  <c r="M163" i="5"/>
  <c r="M313" i="5"/>
  <c r="M206" i="5"/>
  <c r="M169" i="2"/>
  <c r="M18" i="5"/>
  <c r="M305" i="5"/>
  <c r="M118" i="2"/>
  <c r="M96" i="5"/>
  <c r="M103" i="5"/>
  <c r="M71" i="5"/>
  <c r="M361" i="5"/>
  <c r="M220" i="2"/>
  <c r="M414" i="5"/>
  <c r="M31" i="5"/>
  <c r="M328" i="5"/>
  <c r="M81" i="2"/>
  <c r="M357" i="5"/>
  <c r="M354" i="5"/>
  <c r="M158" i="2"/>
  <c r="M62" i="5"/>
  <c r="M95" i="2"/>
  <c r="M33" i="5"/>
  <c r="M134" i="2"/>
  <c r="M337" i="5"/>
  <c r="M290" i="5"/>
  <c r="M131" i="5"/>
  <c r="M34" i="5"/>
  <c r="M149" i="5"/>
  <c r="M21" i="5"/>
  <c r="M24" i="5"/>
  <c r="M345" i="5"/>
  <c r="M265" i="5"/>
  <c r="M202" i="5"/>
  <c r="M267" i="5"/>
  <c r="M300" i="5"/>
  <c r="M87" i="2"/>
  <c r="M231" i="5"/>
  <c r="M202" i="2"/>
  <c r="M425" i="5"/>
  <c r="M48" i="5"/>
  <c r="M323" i="5"/>
  <c r="M83" i="5"/>
  <c r="M248" i="5"/>
  <c r="M218" i="5"/>
  <c r="M384" i="5"/>
  <c r="M199" i="5"/>
  <c r="M38" i="5"/>
  <c r="M367" i="5"/>
  <c r="M75" i="5"/>
  <c r="M428" i="5"/>
  <c r="M65" i="2"/>
  <c r="M244" i="5"/>
  <c r="M356" i="5"/>
  <c r="M355" i="5"/>
  <c r="M178" i="2"/>
  <c r="M79" i="5"/>
  <c r="M214" i="5"/>
  <c r="M397" i="5"/>
  <c r="M190" i="5"/>
  <c r="M32" i="5"/>
  <c r="M207" i="5"/>
  <c r="M293" i="5"/>
  <c r="M153" i="5"/>
  <c r="M387" i="5"/>
  <c r="M29" i="5"/>
  <c r="M160" i="5"/>
  <c r="M197" i="2"/>
  <c r="M382" i="5"/>
  <c r="M69" i="5"/>
  <c r="M167" i="5"/>
  <c r="M63" i="2"/>
  <c r="M215" i="5"/>
  <c r="M216" i="5"/>
  <c r="M119" i="2"/>
  <c r="M268" i="5"/>
  <c r="M320" i="5"/>
  <c r="M395" i="5"/>
  <c r="M401" i="5"/>
  <c r="M90" i="2"/>
  <c r="M192" i="2"/>
  <c r="M175" i="2"/>
  <c r="M165" i="2"/>
  <c r="M179" i="2"/>
  <c r="M40" i="2"/>
  <c r="M107" i="2"/>
  <c r="M62" i="2"/>
  <c r="M126" i="2"/>
  <c r="M55" i="2"/>
  <c r="M155" i="2"/>
  <c r="M128" i="2"/>
  <c r="M123" i="2"/>
  <c r="M141" i="2"/>
  <c r="Q630" i="1"/>
  <c r="Q584" i="1"/>
  <c r="Q132" i="1"/>
  <c r="Q619" i="1"/>
  <c r="Q603" i="1"/>
  <c r="Q184" i="1"/>
  <c r="Q168" i="1"/>
  <c r="Q621" i="1"/>
  <c r="Q43" i="1"/>
  <c r="Q94" i="1"/>
  <c r="Q316" i="1"/>
  <c r="Q1501" i="1"/>
  <c r="Q93" i="1"/>
  <c r="Q1404" i="1"/>
  <c r="Q409" i="1"/>
  <c r="Q1479" i="1"/>
  <c r="Q1448" i="1"/>
  <c r="Q1165" i="1"/>
  <c r="Q378" i="1"/>
  <c r="Q380" i="1"/>
  <c r="Q36" i="1"/>
  <c r="Q565" i="1"/>
  <c r="Q13" i="1"/>
  <c r="Q555" i="1"/>
  <c r="Q480" i="1"/>
  <c r="Q470" i="1"/>
  <c r="Q505" i="1"/>
  <c r="Q529" i="1"/>
  <c r="Q464" i="1"/>
  <c r="Q503" i="1"/>
  <c r="Q631" i="1"/>
  <c r="Q103" i="1"/>
  <c r="Q401" i="1"/>
  <c r="Q38" i="1"/>
  <c r="Q60" i="1"/>
  <c r="Q303" i="1"/>
  <c r="Q123" i="1"/>
  <c r="Q53" i="1"/>
  <c r="Q421" i="1"/>
  <c r="Q372" i="1"/>
  <c r="Q59" i="1"/>
  <c r="Q56" i="1"/>
  <c r="Q1359" i="1"/>
  <c r="Q20" i="1"/>
  <c r="Q24" i="1"/>
  <c r="Q63" i="1"/>
  <c r="Q58" i="1"/>
  <c r="Q300" i="1"/>
  <c r="Q547" i="1"/>
  <c r="O468" i="1"/>
  <c r="Q468" i="1" s="1"/>
  <c r="O167" i="1"/>
  <c r="R167" i="1" s="1"/>
  <c r="T167" i="1" s="1"/>
  <c r="O244" i="1"/>
  <c r="Q244" i="1" s="1"/>
  <c r="O461" i="1"/>
  <c r="Q461" i="1" s="1"/>
  <c r="O274" i="1"/>
  <c r="R274" i="1" s="1"/>
  <c r="T274" i="1" s="1"/>
  <c r="O1638" i="1"/>
  <c r="Q1638" i="1" s="1"/>
  <c r="O1585" i="1"/>
  <c r="R1585" i="1" s="1"/>
  <c r="T1585" i="1" s="1"/>
  <c r="O341" i="1"/>
  <c r="Q341" i="1" s="1"/>
  <c r="O444" i="1"/>
  <c r="Q444" i="1" s="1"/>
  <c r="O1562" i="1"/>
  <c r="Q1562" i="1" s="1"/>
  <c r="O1537" i="1"/>
  <c r="Q1537" i="1" s="1"/>
  <c r="O1620" i="1"/>
  <c r="Q1620" i="1" s="1"/>
  <c r="O1513" i="1"/>
  <c r="R1513" i="1" s="1"/>
  <c r="T1513" i="1" s="1"/>
  <c r="O1288" i="1"/>
  <c r="Q1288" i="1" s="1"/>
  <c r="O727" i="1"/>
  <c r="Q727" i="1" s="1"/>
  <c r="O1105" i="1"/>
  <c r="Q1105" i="1" s="1"/>
  <c r="O2055" i="1"/>
  <c r="Q2055" i="1" s="1"/>
  <c r="O1368" i="1"/>
  <c r="Q1368" i="1" s="1"/>
  <c r="O528" i="1"/>
  <c r="Q528" i="1" s="1"/>
  <c r="O156" i="1"/>
  <c r="Q156" i="1" s="1"/>
  <c r="O1381" i="1"/>
  <c r="R1381" i="1" s="1"/>
  <c r="T1381" i="1" s="1"/>
  <c r="O1441" i="1"/>
  <c r="Q1441" i="1" s="1"/>
  <c r="O423" i="1"/>
  <c r="Q423" i="1" s="1"/>
  <c r="O1687" i="1"/>
  <c r="Q1687" i="1" s="1"/>
  <c r="O1976" i="1"/>
  <c r="Q1976" i="1" s="1"/>
  <c r="O1649" i="1"/>
  <c r="Q1649" i="1" s="1"/>
  <c r="O1880" i="1"/>
  <c r="Q1880" i="1" s="1"/>
  <c r="O381" i="1"/>
  <c r="R381" i="1" s="1"/>
  <c r="T381" i="1" s="1"/>
  <c r="O1476" i="1"/>
  <c r="Q1476" i="1" s="1"/>
  <c r="O1326" i="1"/>
  <c r="Q1326" i="1" s="1"/>
  <c r="O677" i="1"/>
  <c r="Q677" i="1" s="1"/>
  <c r="O231" i="1"/>
  <c r="Q231" i="1" s="1"/>
  <c r="O224" i="1"/>
  <c r="Q224" i="1" s="1"/>
  <c r="O1606" i="1"/>
  <c r="Q1606" i="1" s="1"/>
  <c r="O1130" i="1"/>
  <c r="Q1130" i="1" s="1"/>
  <c r="O716" i="1"/>
  <c r="Q716" i="1" s="1"/>
  <c r="O1109" i="1"/>
  <c r="R1109" i="1" s="1"/>
  <c r="T1109" i="1" s="1"/>
  <c r="O1590" i="1"/>
  <c r="Q1590" i="1" s="1"/>
  <c r="O1992" i="1"/>
  <c r="Q1992" i="1" s="1"/>
  <c r="O600" i="1"/>
  <c r="Q600" i="1" s="1"/>
  <c r="O598" i="1"/>
  <c r="Q598" i="1" s="1"/>
  <c r="O535" i="1"/>
  <c r="Q535" i="1" s="1"/>
  <c r="O301" i="1"/>
  <c r="O18" i="1"/>
  <c r="O582" i="1"/>
  <c r="Q582" i="1" s="1"/>
  <c r="O177" i="1"/>
  <c r="R177" i="1" s="1"/>
  <c r="T177" i="1" s="1"/>
  <c r="O419" i="1"/>
  <c r="O1447" i="1"/>
  <c r="Q1447" i="1" s="1"/>
  <c r="O1309" i="1"/>
  <c r="Q1309" i="1" s="1"/>
  <c r="O1132" i="1"/>
  <c r="Q1132" i="1" s="1"/>
  <c r="O1896" i="1"/>
  <c r="Q1896" i="1" s="1"/>
  <c r="O1798" i="1"/>
  <c r="Q1798" i="1" s="1"/>
  <c r="O1242" i="1"/>
  <c r="Q1242" i="1" s="1"/>
  <c r="O2147" i="1"/>
  <c r="Q2147" i="1" s="1"/>
  <c r="O297" i="1"/>
  <c r="Q297" i="1" s="1"/>
  <c r="O1215" i="1"/>
  <c r="Q1215" i="1" s="1"/>
  <c r="O629" i="1"/>
  <c r="R629" i="1" s="1"/>
  <c r="T629" i="1" s="1"/>
  <c r="O482" i="1"/>
  <c r="R482" i="1" s="1"/>
  <c r="T482" i="1" s="1"/>
  <c r="O1659" i="1"/>
  <c r="O2162" i="1"/>
  <c r="Q2162" i="1" s="1"/>
  <c r="O325" i="1"/>
  <c r="R325" i="1" s="1"/>
  <c r="T325" i="1" s="1"/>
  <c r="O251" i="1"/>
  <c r="Q251" i="1" s="1"/>
  <c r="O72" i="1"/>
  <c r="R72" i="1" s="1"/>
  <c r="T72" i="1" s="1"/>
  <c r="O1403" i="1"/>
  <c r="Q1403" i="1" s="1"/>
  <c r="O1355" i="1"/>
  <c r="Q1355" i="1" s="1"/>
  <c r="O1482" i="1"/>
  <c r="Q1482" i="1" s="1"/>
  <c r="O1300" i="1"/>
  <c r="Q1300" i="1" s="1"/>
  <c r="O1345" i="1"/>
  <c r="Q1345" i="1" s="1"/>
  <c r="O1491" i="1"/>
  <c r="Q1491" i="1" s="1"/>
  <c r="O661" i="1"/>
  <c r="Q661" i="1" s="1"/>
  <c r="O2171" i="1"/>
  <c r="Q2171" i="1" s="1"/>
  <c r="O1750" i="1"/>
  <c r="Q1750" i="1" s="1"/>
  <c r="O1682" i="1"/>
  <c r="R1682" i="1" s="1"/>
  <c r="T1682" i="1" s="1"/>
  <c r="O536" i="1"/>
  <c r="Q536" i="1" s="1"/>
  <c r="O340" i="1"/>
  <c r="O1244" i="1"/>
  <c r="Q1244" i="1" s="1"/>
  <c r="O2091" i="1"/>
  <c r="Q2091" i="1" s="1"/>
  <c r="O665" i="1"/>
  <c r="Q665" i="1" s="1"/>
  <c r="O426" i="1"/>
  <c r="R426" i="1" s="1"/>
  <c r="T426" i="1" s="1"/>
  <c r="O355" i="1"/>
  <c r="Q355" i="1" s="1"/>
  <c r="O523" i="1"/>
  <c r="Q523" i="1" s="1"/>
  <c r="O1349" i="1"/>
  <c r="Q1349" i="1" s="1"/>
  <c r="O729" i="1"/>
  <c r="Q729" i="1" s="1"/>
  <c r="O26" i="1"/>
  <c r="Q26" i="1" s="1"/>
  <c r="O1574" i="1"/>
  <c r="Q1574" i="1" s="1"/>
  <c r="O272" i="1"/>
  <c r="R272" i="1" s="1"/>
  <c r="T272" i="1" s="1"/>
  <c r="O1559" i="1"/>
  <c r="Q1559" i="1" s="1"/>
  <c r="O2103" i="1"/>
  <c r="Q2103" i="1" s="1"/>
  <c r="O1885" i="1"/>
  <c r="Q1885" i="1" s="1"/>
  <c r="O512" i="1"/>
  <c r="Q512" i="1" s="1"/>
  <c r="O1235" i="1"/>
  <c r="Q1235" i="1" s="1"/>
  <c r="O1737" i="1"/>
  <c r="Q1737" i="1" s="1"/>
  <c r="O649" i="1"/>
  <c r="Q649" i="1" s="1"/>
  <c r="O91" i="1"/>
  <c r="Q91" i="1" s="1"/>
  <c r="O1290" i="1"/>
  <c r="Q1290" i="1" s="1"/>
  <c r="O1807" i="1"/>
  <c r="Q1807" i="1" s="1"/>
  <c r="O638" i="1"/>
  <c r="R638" i="1" s="1"/>
  <c r="T638" i="1" s="1"/>
  <c r="O618" i="1"/>
  <c r="Q618" i="1" s="1"/>
  <c r="O431" i="1"/>
  <c r="R431" i="1" s="1"/>
  <c r="T431" i="1" s="1"/>
  <c r="O363" i="1"/>
  <c r="Q363" i="1" s="1"/>
  <c r="O438" i="1"/>
  <c r="Q438" i="1" s="1"/>
  <c r="O183" i="1"/>
  <c r="Q183" i="1" s="1"/>
  <c r="O351" i="1"/>
  <c r="Q351" i="1" s="1"/>
  <c r="O76" i="1"/>
  <c r="R76" i="1" s="1"/>
  <c r="T76" i="1" s="1"/>
  <c r="O315" i="1"/>
  <c r="R315" i="1" s="1"/>
  <c r="T315" i="1" s="1"/>
  <c r="O358" i="1"/>
  <c r="Q358" i="1" s="1"/>
  <c r="O1241" i="1"/>
  <c r="Q1241" i="1" s="1"/>
  <c r="O1336" i="1"/>
  <c r="Q1336" i="1" s="1"/>
  <c r="O1966" i="1"/>
  <c r="Q1966" i="1" s="1"/>
  <c r="O1178" i="1"/>
  <c r="Q1178" i="1" s="1"/>
  <c r="O387" i="1"/>
  <c r="Q387" i="1" s="1"/>
  <c r="O1261" i="1"/>
  <c r="Q1261" i="1" s="1"/>
  <c r="O1580" i="1"/>
  <c r="Q1580" i="1" s="1"/>
  <c r="O1298" i="1"/>
  <c r="Q1298" i="1" s="1"/>
  <c r="O700" i="1"/>
  <c r="Q700" i="1" s="1"/>
  <c r="O1970" i="1"/>
  <c r="Q1970" i="1" s="1"/>
  <c r="O1994" i="1"/>
  <c r="Q1994" i="1" s="1"/>
  <c r="O2059" i="1"/>
  <c r="Q2059" i="1" s="1"/>
  <c r="O112" i="1"/>
  <c r="Q112" i="1" s="1"/>
  <c r="O135" i="1"/>
  <c r="Q135" i="1" s="1"/>
  <c r="O1334" i="1"/>
  <c r="Q1334" i="1" s="1"/>
  <c r="O1383" i="1"/>
  <c r="Q1383" i="1" s="1"/>
  <c r="O563" i="1"/>
  <c r="R563" i="1" s="1"/>
  <c r="T563" i="1" s="1"/>
  <c r="O1959" i="1"/>
  <c r="Q1959" i="1" s="1"/>
  <c r="O556" i="1"/>
  <c r="Q556" i="1" s="1"/>
  <c r="O141" i="1"/>
  <c r="R141" i="1" s="1"/>
  <c r="T141" i="1" s="1"/>
  <c r="O1365" i="1"/>
  <c r="R1365" i="1" s="1"/>
  <c r="T1365" i="1" s="1"/>
  <c r="O640" i="1"/>
  <c r="Q640" i="1" s="1"/>
  <c r="O1471" i="1"/>
  <c r="Q1471" i="1" s="1"/>
  <c r="O110" i="1"/>
  <c r="Q110" i="1" s="1"/>
  <c r="O188" i="1"/>
  <c r="Q188" i="1" s="1"/>
  <c r="O265" i="1"/>
  <c r="R265" i="1" s="1"/>
  <c r="T265" i="1" s="1"/>
  <c r="O1121" i="1"/>
  <c r="Q1121" i="1" s="1"/>
  <c r="O1313" i="1"/>
  <c r="Q1313" i="1" s="1"/>
  <c r="O545" i="1"/>
  <c r="Q545" i="1" s="1"/>
  <c r="O1131" i="1"/>
  <c r="Q1131" i="1" s="1"/>
  <c r="O518" i="1"/>
  <c r="Q518" i="1" s="1"/>
  <c r="O1669" i="1"/>
  <c r="Q1669" i="1" s="1"/>
  <c r="O1233" i="1"/>
  <c r="Q1233" i="1" s="1"/>
  <c r="O543" i="1"/>
  <c r="Q543" i="1" s="1"/>
  <c r="O2133" i="1"/>
  <c r="Q2133" i="1" s="1"/>
  <c r="O1954" i="1"/>
  <c r="Q1954" i="1" s="1"/>
  <c r="O2201" i="1"/>
  <c r="Q2201" i="1" s="1"/>
  <c r="O1916" i="1"/>
  <c r="Q1916" i="1" s="1"/>
  <c r="O602" i="1"/>
  <c r="Q602" i="1" s="1"/>
  <c r="O2039" i="1"/>
  <c r="Q2039" i="1" s="1"/>
  <c r="O594" i="1"/>
  <c r="O1177" i="1"/>
  <c r="Q1177" i="1" s="1"/>
  <c r="O455" i="1"/>
  <c r="Q455" i="1" s="1"/>
  <c r="O2156" i="1"/>
  <c r="Q2156" i="1" s="1"/>
  <c r="O1948" i="1"/>
  <c r="Q1948" i="1" s="1"/>
  <c r="O1110" i="1"/>
  <c r="R1110" i="1" s="1"/>
  <c r="T1110" i="1" s="1"/>
  <c r="O1135" i="1"/>
  <c r="Q1135" i="1" s="1"/>
  <c r="O1507" i="1"/>
  <c r="Q1507" i="1" s="1"/>
  <c r="O1646" i="1"/>
  <c r="Q1646" i="1" s="1"/>
  <c r="O590" i="1"/>
  <c r="Q590" i="1" s="1"/>
  <c r="O140" i="1"/>
  <c r="O233" i="1"/>
  <c r="Q233" i="1" s="1"/>
  <c r="O1516" i="1"/>
  <c r="Q1516" i="1" s="1"/>
  <c r="O2181" i="1"/>
  <c r="Q2181" i="1" s="1"/>
  <c r="O1816" i="1"/>
  <c r="Q1816" i="1" s="1"/>
  <c r="O68" i="1"/>
  <c r="Q68" i="1" s="1"/>
  <c r="O1597" i="1"/>
  <c r="Q1597" i="1" s="1"/>
  <c r="O1911" i="1"/>
  <c r="Q1911" i="1" s="1"/>
  <c r="O210" i="1"/>
  <c r="Q210" i="1" s="1"/>
  <c r="O1231" i="1"/>
  <c r="Q1231" i="1" s="1"/>
  <c r="O1187" i="1"/>
  <c r="Q1187" i="1" s="1"/>
  <c r="O2190" i="1"/>
  <c r="Q2190" i="1" s="1"/>
  <c r="O406" i="1"/>
  <c r="O107" i="1"/>
  <c r="Q107" i="1" s="1"/>
  <c r="O1228" i="1"/>
  <c r="Q1228" i="1" s="1"/>
  <c r="O2017" i="1"/>
  <c r="Q2017" i="1" s="1"/>
  <c r="O411" i="1"/>
  <c r="Q411" i="1" s="1"/>
  <c r="O1464" i="1"/>
  <c r="Q1464" i="1" s="1"/>
  <c r="O725" i="1"/>
  <c r="Q725" i="1" s="1"/>
  <c r="O1730" i="1"/>
  <c r="Q1730" i="1" s="1"/>
  <c r="O680" i="1"/>
  <c r="Q680" i="1" s="1"/>
  <c r="O329" i="1"/>
  <c r="Q329" i="1" s="1"/>
  <c r="O1869" i="1"/>
  <c r="Q1869" i="1" s="1"/>
  <c r="O2127" i="1"/>
  <c r="Q2127" i="1" s="1"/>
  <c r="O1776" i="1"/>
  <c r="Q1776" i="1" s="1"/>
  <c r="O284" i="1"/>
  <c r="Q284" i="1" s="1"/>
  <c r="O1378" i="1"/>
  <c r="Q1378" i="1" s="1"/>
  <c r="O1264" i="1"/>
  <c r="Q1264" i="1" s="1"/>
  <c r="O1843" i="1"/>
  <c r="Q1843" i="1" s="1"/>
  <c r="O1734" i="1"/>
  <c r="Q1734" i="1" s="1"/>
  <c r="O1578" i="1"/>
  <c r="Q1578" i="1" s="1"/>
  <c r="O405" i="1"/>
  <c r="Q405" i="1" s="1"/>
  <c r="O1887" i="1"/>
  <c r="Q1887" i="1" s="1"/>
  <c r="O51" i="1"/>
  <c r="Q51" i="1" s="1"/>
  <c r="O255" i="1"/>
  <c r="Q255" i="1" s="1"/>
  <c r="O520" i="1"/>
  <c r="Q520" i="1" s="1"/>
  <c r="O1126" i="1"/>
  <c r="Q1126" i="1" s="1"/>
  <c r="O1787" i="1"/>
  <c r="Q1787" i="1" s="1"/>
  <c r="O2022" i="1"/>
  <c r="Q2022" i="1" s="1"/>
  <c r="O192" i="1"/>
  <c r="Q192" i="1" s="1"/>
  <c r="O493" i="1"/>
  <c r="Q493" i="1" s="1"/>
  <c r="O275" i="1"/>
  <c r="Q275" i="1" s="1"/>
  <c r="O1593" i="1"/>
  <c r="Q1593" i="1" s="1"/>
  <c r="O1260" i="1"/>
  <c r="Q1260" i="1" s="1"/>
  <c r="O2148" i="1"/>
  <c r="Q2148" i="1" s="1"/>
  <c r="O623" i="1"/>
  <c r="Q623" i="1" s="1"/>
  <c r="O307" i="1"/>
  <c r="O151" i="1"/>
  <c r="Q151" i="1" s="1"/>
  <c r="O89" i="1"/>
  <c r="Q89" i="1" s="1"/>
  <c r="O191" i="1"/>
  <c r="Q191" i="1" s="1"/>
  <c r="O434" i="1"/>
  <c r="Q434" i="1" s="1"/>
  <c r="O1466" i="1"/>
  <c r="Q1466" i="1" s="1"/>
  <c r="O1514" i="1"/>
  <c r="Q1514" i="1" s="1"/>
  <c r="O1468" i="1"/>
  <c r="Q1468" i="1" s="1"/>
  <c r="O1634" i="1"/>
  <c r="Q1634" i="1" s="1"/>
  <c r="O1224" i="1"/>
  <c r="Q1224" i="1" s="1"/>
  <c r="O1525" i="1"/>
  <c r="Q1525" i="1" s="1"/>
  <c r="O1567" i="1"/>
  <c r="Q1567" i="1" s="1"/>
  <c r="O1613" i="1"/>
  <c r="Q1613" i="1" s="1"/>
  <c r="O1154" i="1"/>
  <c r="Q1154" i="1" s="1"/>
  <c r="O1484" i="1"/>
  <c r="O720" i="1"/>
  <c r="O2021" i="1"/>
  <c r="Q2021" i="1" s="1"/>
  <c r="O248" i="1"/>
  <c r="Q248" i="1" s="1"/>
  <c r="O1563" i="1"/>
  <c r="Q1563" i="1" s="1"/>
  <c r="O346" i="1"/>
  <c r="Q346" i="1" s="1"/>
  <c r="O323" i="1"/>
  <c r="R323" i="1" s="1"/>
  <c r="T323" i="1" s="1"/>
  <c r="O98" i="1"/>
  <c r="R98" i="1" s="1"/>
  <c r="T98" i="1" s="1"/>
  <c r="O647" i="1"/>
  <c r="Q647" i="1" s="1"/>
  <c r="O495" i="1"/>
  <c r="Q495" i="1" s="1"/>
  <c r="O443" i="1"/>
  <c r="Q443" i="1" s="1"/>
  <c r="O1424" i="1"/>
  <c r="R1424" i="1" s="1"/>
  <c r="T1424" i="1" s="1"/>
  <c r="O1442" i="1"/>
  <c r="R1442" i="1" s="1"/>
  <c r="T1442" i="1" s="1"/>
  <c r="O1769" i="1"/>
  <c r="Q1769" i="1" s="1"/>
  <c r="O2060" i="1"/>
  <c r="Q2060" i="1" s="1"/>
  <c r="O1535" i="1"/>
  <c r="Q1535" i="1" s="1"/>
  <c r="O1582" i="1"/>
  <c r="R1582" i="1" s="1"/>
  <c r="T1582" i="1" s="1"/>
  <c r="O1108" i="1"/>
  <c r="Q1108" i="1" s="1"/>
  <c r="O2047" i="1"/>
  <c r="Q2047" i="1" s="1"/>
  <c r="O2196" i="1"/>
  <c r="Q2196" i="1" s="1"/>
  <c r="O684" i="1"/>
  <c r="Q684" i="1" s="1"/>
  <c r="O402" i="1"/>
  <c r="R402" i="1" s="1"/>
  <c r="T402" i="1" s="1"/>
  <c r="O337" i="1"/>
  <c r="R337" i="1" s="1"/>
  <c r="T337" i="1" s="1"/>
  <c r="O306" i="1"/>
  <c r="Q306" i="1" s="1"/>
  <c r="O271" i="1"/>
  <c r="O415" i="1"/>
  <c r="Q415" i="1" s="1"/>
  <c r="O537" i="1"/>
  <c r="R537" i="1" s="1"/>
  <c r="T537" i="1" s="1"/>
  <c r="O105" i="1"/>
  <c r="R105" i="1" s="1"/>
  <c r="T105" i="1" s="1"/>
  <c r="O393" i="1"/>
  <c r="Q393" i="1" s="1"/>
  <c r="O1348" i="1"/>
  <c r="Q1348" i="1" s="1"/>
  <c r="O1420" i="1"/>
  <c r="Q1420" i="1" s="1"/>
  <c r="O1324" i="1"/>
  <c r="Q1324" i="1" s="1"/>
  <c r="O1149" i="1"/>
  <c r="Q1149" i="1" s="1"/>
  <c r="O389" i="1"/>
  <c r="Q389" i="1" s="1"/>
  <c r="O319" i="1"/>
  <c r="R319" i="1" s="1"/>
  <c r="T319" i="1" s="1"/>
  <c r="O209" i="1"/>
  <c r="Q209" i="1" s="1"/>
  <c r="O96" i="1"/>
  <c r="R96" i="1" s="1"/>
  <c r="T96" i="1" s="1"/>
  <c r="O354" i="1"/>
  <c r="Q354" i="1" s="1"/>
  <c r="O1329" i="1"/>
  <c r="Q1329" i="1" s="1"/>
  <c r="O1436" i="1"/>
  <c r="Q1436" i="1" s="1"/>
  <c r="O1489" i="1"/>
  <c r="Q1489" i="1" s="1"/>
  <c r="O694" i="1"/>
  <c r="Q694" i="1" s="1"/>
  <c r="O734" i="1"/>
  <c r="Q734" i="1" s="1"/>
  <c r="O2009" i="1"/>
  <c r="Q2009" i="1" s="1"/>
  <c r="O1915" i="1"/>
  <c r="Q1915" i="1" s="1"/>
  <c r="O1870" i="1"/>
  <c r="Q1870" i="1" s="1"/>
  <c r="O1185" i="1"/>
  <c r="Q1185" i="1" s="1"/>
  <c r="O1411" i="1"/>
  <c r="O416" i="1"/>
  <c r="Q416" i="1" s="1"/>
  <c r="O585" i="1"/>
  <c r="R585" i="1" s="1"/>
  <c r="T585" i="1" s="1"/>
  <c r="O407" i="1"/>
  <c r="Q407" i="1" s="1"/>
  <c r="O531" i="1"/>
  <c r="Q531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07" i="1"/>
  <c r="O1521" i="1"/>
  <c r="Q1521" i="1" s="1"/>
  <c r="O1533" i="1"/>
  <c r="O1422" i="1"/>
  <c r="Q1422" i="1" s="1"/>
  <c r="O1332" i="1"/>
  <c r="Q1332" i="1" s="1"/>
  <c r="O1293" i="1"/>
  <c r="Q1293" i="1" s="1"/>
  <c r="O1140" i="1"/>
  <c r="Q1140" i="1" s="1"/>
  <c r="O1284" i="1"/>
  <c r="Q1284" i="1" s="1"/>
  <c r="O1428" i="1"/>
  <c r="Q1428" i="1" s="1"/>
  <c r="O682" i="1"/>
  <c r="Q682" i="1" s="1"/>
  <c r="O735" i="1"/>
  <c r="Q735" i="1" s="1"/>
  <c r="O1779" i="1"/>
  <c r="Q1779" i="1" s="1"/>
  <c r="O1698" i="1"/>
  <c r="Q1698" i="1" s="1"/>
  <c r="O2142" i="1"/>
  <c r="Q2142" i="1" s="1"/>
  <c r="O373" i="1"/>
  <c r="Q373" i="1" s="1"/>
  <c r="O513" i="1"/>
  <c r="Q513" i="1" s="1"/>
  <c r="O483" i="1"/>
  <c r="Q483" i="1" s="1"/>
  <c r="O84" i="1"/>
  <c r="Q84" i="1" s="1"/>
  <c r="O16" i="1"/>
  <c r="O477" i="1"/>
  <c r="Q477" i="1" s="1"/>
  <c r="O174" i="1"/>
  <c r="Q174" i="1" s="1"/>
  <c r="O52" i="1"/>
  <c r="O1372" i="1"/>
  <c r="O1660" i="1"/>
  <c r="Q1660" i="1" s="1"/>
  <c r="O1718" i="1"/>
  <c r="Q1718" i="1" s="1"/>
  <c r="O1991" i="1"/>
  <c r="Q1991" i="1" s="1"/>
  <c r="O1675" i="1"/>
  <c r="O1924" i="1"/>
  <c r="Q1924" i="1" s="1"/>
  <c r="O695" i="1"/>
  <c r="Q695" i="1" s="1"/>
  <c r="O2129" i="1"/>
  <c r="Q2129" i="1" s="1"/>
  <c r="O490" i="1"/>
  <c r="Q490" i="1" s="1"/>
  <c r="O636" i="1"/>
  <c r="R636" i="1" s="1"/>
  <c r="T636" i="1" s="1"/>
  <c r="O327" i="1"/>
  <c r="R327" i="1" s="1"/>
  <c r="T327" i="1" s="1"/>
  <c r="O1171" i="1"/>
  <c r="R1171" i="1" s="1"/>
  <c r="T1171" i="1" s="1"/>
  <c r="O2219" i="1"/>
  <c r="Q2219" i="1" s="1"/>
  <c r="O2036" i="1"/>
  <c r="Q2036" i="1" s="1"/>
  <c r="O2149" i="1"/>
  <c r="Q2149" i="1" s="1"/>
  <c r="O80" i="1"/>
  <c r="Q80" i="1" s="1"/>
  <c r="O1508" i="1"/>
  <c r="Q1508" i="1" s="1"/>
  <c r="O1964" i="1"/>
  <c r="Q1964" i="1" s="1"/>
  <c r="O1700" i="1"/>
  <c r="Q1700" i="1" s="1"/>
  <c r="O50" i="1"/>
  <c r="Q50" i="1" s="1"/>
  <c r="O295" i="1"/>
  <c r="Q295" i="1" s="1"/>
  <c r="O1639" i="1"/>
  <c r="Q1639" i="1" s="1"/>
  <c r="O1340" i="1"/>
  <c r="Q1340" i="1" s="1"/>
  <c r="O1125" i="1"/>
  <c r="Q1125" i="1" s="1"/>
  <c r="O1487" i="1"/>
  <c r="Q1487" i="1" s="1"/>
  <c r="O1283" i="1"/>
  <c r="Q1283" i="1" s="1"/>
  <c r="O1391" i="1"/>
  <c r="O715" i="1"/>
  <c r="Q715" i="1" s="1"/>
  <c r="O1997" i="1"/>
  <c r="Q1997" i="1" s="1"/>
  <c r="O1691" i="1"/>
  <c r="Q1691" i="1" s="1"/>
  <c r="O320" i="1"/>
  <c r="Q320" i="1" s="1"/>
  <c r="O223" i="1"/>
  <c r="Q223" i="1" s="1"/>
  <c r="O120" i="1"/>
  <c r="R120" i="1" s="1"/>
  <c r="T120" i="1" s="1"/>
  <c r="O1467" i="1"/>
  <c r="R1467" i="1" s="1"/>
  <c r="T1467" i="1" s="1"/>
  <c r="O1150" i="1"/>
  <c r="Q1150" i="1" s="1"/>
  <c r="O1602" i="1"/>
  <c r="Q1602" i="1" s="1"/>
  <c r="O1357" i="1"/>
  <c r="O686" i="1"/>
  <c r="Q686" i="1" s="1"/>
  <c r="O704" i="1"/>
  <c r="R704" i="1" s="1"/>
  <c r="T704" i="1" s="1"/>
  <c r="O1761" i="1"/>
  <c r="Q1761" i="1" s="1"/>
  <c r="O1259" i="1"/>
  <c r="Q1259" i="1" s="1"/>
  <c r="O1826" i="1"/>
  <c r="Q1826" i="1" s="1"/>
  <c r="O225" i="1"/>
  <c r="Q225" i="1" s="1"/>
  <c r="O349" i="1"/>
  <c r="Q349" i="1" s="1"/>
  <c r="O104" i="1"/>
  <c r="Q104" i="1" s="1"/>
  <c r="O1493" i="1"/>
  <c r="Q1493" i="1" s="1"/>
  <c r="O2011" i="1"/>
  <c r="Q2011" i="1" s="1"/>
  <c r="O439" i="1"/>
  <c r="Q439" i="1" s="1"/>
  <c r="O57" i="1"/>
  <c r="O277" i="1"/>
  <c r="Q277" i="1" s="1"/>
  <c r="O45" i="1"/>
  <c r="Q45" i="1" s="1"/>
  <c r="O1181" i="1"/>
  <c r="Q1181" i="1" s="1"/>
  <c r="O1823" i="1"/>
  <c r="Q1823" i="1" s="1"/>
  <c r="O1974" i="1"/>
  <c r="Q1974" i="1" s="1"/>
  <c r="O561" i="1"/>
  <c r="R561" i="1" s="1"/>
  <c r="T561" i="1" s="1"/>
  <c r="O1237" i="1"/>
  <c r="Q1237" i="1" s="1"/>
  <c r="O612" i="1"/>
  <c r="Q612" i="1" s="1"/>
  <c r="O1782" i="1"/>
  <c r="Q1782" i="1" s="1"/>
  <c r="O1932" i="1"/>
  <c r="Q1932" i="1" s="1"/>
  <c r="O662" i="1"/>
  <c r="Q662" i="1" s="1"/>
  <c r="O318" i="1"/>
  <c r="Q318" i="1" s="1"/>
  <c r="O453" i="1"/>
  <c r="Q453" i="1" s="1"/>
  <c r="O1873" i="1"/>
  <c r="Q1873" i="1" s="1"/>
  <c r="O1400" i="1"/>
  <c r="Q1400" i="1" s="1"/>
  <c r="O1694" i="1"/>
  <c r="Q1694" i="1" s="1"/>
  <c r="O1601" i="1"/>
  <c r="Q1601" i="1" s="1"/>
  <c r="O681" i="1"/>
  <c r="Q681" i="1" s="1"/>
  <c r="O65" i="1"/>
  <c r="O396" i="1"/>
  <c r="R396" i="1" s="1"/>
  <c r="T396" i="1" s="1"/>
  <c r="O2175" i="1"/>
  <c r="Q2175" i="1" s="1"/>
  <c r="O1432" i="1"/>
  <c r="Q1432" i="1" s="1"/>
  <c r="O1901" i="1"/>
  <c r="Q1901" i="1" s="1"/>
  <c r="O2122" i="1"/>
  <c r="Q2122" i="1" s="1"/>
  <c r="O2220" i="1"/>
  <c r="Q2220" i="1" s="1"/>
  <c r="O122" i="1"/>
  <c r="O197" i="1"/>
  <c r="Q197" i="1" s="1"/>
  <c r="O1963" i="1"/>
  <c r="Q1963" i="1" s="1"/>
  <c r="O466" i="1"/>
  <c r="Q466" i="1" s="1"/>
  <c r="O668" i="1"/>
  <c r="Q668" i="1" s="1"/>
  <c r="O1923" i="1"/>
  <c r="Q1923" i="1" s="1"/>
  <c r="O639" i="1"/>
  <c r="Q639" i="1" s="1"/>
  <c r="O149" i="1"/>
  <c r="Q149" i="1" s="1"/>
  <c r="O452" i="1"/>
  <c r="Q452" i="1" s="1"/>
  <c r="O178" i="1"/>
  <c r="Q178" i="1" s="1"/>
  <c r="O48" i="1"/>
  <c r="Q48" i="1" s="1"/>
  <c r="O447" i="1"/>
  <c r="Q447" i="1" s="1"/>
  <c r="O283" i="1"/>
  <c r="Q283" i="1" s="1"/>
  <c r="O202" i="1"/>
  <c r="R202" i="1" s="1"/>
  <c r="T202" i="1" s="1"/>
  <c r="O1615" i="1"/>
  <c r="Q1615" i="1" s="1"/>
  <c r="O1556" i="1"/>
  <c r="Q1556" i="1" s="1"/>
  <c r="O1583" i="1"/>
  <c r="Q1583" i="1" s="1"/>
  <c r="O689" i="1"/>
  <c r="Q689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0" i="1"/>
  <c r="O1686" i="1"/>
  <c r="Q1686" i="1" s="1"/>
  <c r="O613" i="1"/>
  <c r="Q613" i="1" s="1"/>
  <c r="O124" i="1"/>
  <c r="R124" i="1" s="1"/>
  <c r="T124" i="1" s="1"/>
  <c r="O81" i="1"/>
  <c r="R81" i="1" s="1"/>
  <c r="T81" i="1" s="1"/>
  <c r="O170" i="1"/>
  <c r="Q170" i="1" s="1"/>
  <c r="O1569" i="1"/>
  <c r="Q1569" i="1" s="1"/>
  <c r="O1478" i="1"/>
  <c r="Q1478" i="1" s="1"/>
  <c r="O1434" i="1"/>
  <c r="Q1434" i="1" s="1"/>
  <c r="O1316" i="1"/>
  <c r="Q1316" i="1" s="1"/>
  <c r="O683" i="1"/>
  <c r="R683" i="1" s="1"/>
  <c r="T683" i="1" s="1"/>
  <c r="O732" i="1"/>
  <c r="Q732" i="1" s="1"/>
  <c r="O1960" i="1"/>
  <c r="Q1960" i="1" s="1"/>
  <c r="O2124" i="1"/>
  <c r="Q2124" i="1" s="1"/>
  <c r="O1347" i="1"/>
  <c r="Q1347" i="1" s="1"/>
  <c r="O609" i="1"/>
  <c r="Q609" i="1" s="1"/>
  <c r="O152" i="1"/>
  <c r="Q152" i="1" s="1"/>
  <c r="O1192" i="1"/>
  <c r="Q1192" i="1" s="1"/>
  <c r="O1552" i="1"/>
  <c r="O554" i="1"/>
  <c r="Q554" i="1" s="1"/>
  <c r="O604" i="1"/>
  <c r="R604" i="1" s="1"/>
  <c r="T604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332" i="1"/>
  <c r="R332" i="1" s="1"/>
  <c r="T332" i="1" s="1"/>
  <c r="O1949" i="1"/>
  <c r="Q1949" i="1" s="1"/>
  <c r="O1075" i="1"/>
  <c r="Q1075" i="1" s="1"/>
  <c r="O75" i="1"/>
  <c r="R75" i="1" s="1"/>
  <c r="T75" i="1" s="1"/>
  <c r="O1229" i="1"/>
  <c r="Q1229" i="1" s="1"/>
  <c r="O1756" i="1"/>
  <c r="Q1756" i="1" s="1"/>
  <c r="O390" i="1"/>
  <c r="Q390" i="1" s="1"/>
  <c r="O1363" i="1"/>
  <c r="Q1363" i="1" s="1"/>
  <c r="O182" i="1"/>
  <c r="Q182" i="1" s="1"/>
  <c r="O492" i="1"/>
  <c r="Q492" i="1" s="1"/>
  <c r="O646" i="1"/>
  <c r="Q646" i="1" s="1"/>
  <c r="O309" i="1"/>
  <c r="O1653" i="1"/>
  <c r="Q1653" i="1" s="1"/>
  <c r="O1656" i="1"/>
  <c r="Q1656" i="1" s="1"/>
  <c r="O1308" i="1"/>
  <c r="Q1308" i="1" s="1"/>
  <c r="O1153" i="1"/>
  <c r="O1104" i="1"/>
  <c r="Q1104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4" i="1"/>
  <c r="Q1124" i="1" s="1"/>
  <c r="O1470" i="1"/>
  <c r="Q1470" i="1" s="1"/>
  <c r="O1492" i="1"/>
  <c r="Q1492" i="1" s="1"/>
  <c r="O2012" i="1"/>
  <c r="Q2012" i="1" s="1"/>
  <c r="O1849" i="1"/>
  <c r="Q1849" i="1" s="1"/>
  <c r="O398" i="1"/>
  <c r="Q398" i="1" s="1"/>
  <c r="O1406" i="1"/>
  <c r="O1321" i="1"/>
  <c r="Q1321" i="1" s="1"/>
  <c r="O1509" i="1"/>
  <c r="Q1509" i="1" s="1"/>
  <c r="O1401" i="1"/>
  <c r="Q1401" i="1" s="1"/>
  <c r="O1305" i="1"/>
  <c r="Q1305" i="1" s="1"/>
  <c r="O678" i="1"/>
  <c r="Q678" i="1" s="1"/>
  <c r="O2157" i="1"/>
  <c r="Q2157" i="1" s="1"/>
  <c r="O2216" i="1"/>
  <c r="Q2216" i="1" s="1"/>
  <c r="O2199" i="1"/>
  <c r="Q2199" i="1" s="1"/>
  <c r="O2140" i="1"/>
  <c r="Q2140" i="1" s="1"/>
  <c r="O296" i="1"/>
  <c r="Q296" i="1" s="1"/>
  <c r="O437" i="1"/>
  <c r="Q437" i="1" s="1"/>
  <c r="O445" i="1"/>
  <c r="Q445" i="1" s="1"/>
  <c r="O1250" i="1"/>
  <c r="Q1250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311" i="1"/>
  <c r="Q311" i="1" s="1"/>
  <c r="O136" i="1"/>
  <c r="Q136" i="1" s="1"/>
  <c r="O186" i="1"/>
  <c r="Q186" i="1" s="1"/>
  <c r="O2066" i="1"/>
  <c r="Q2066" i="1" s="1"/>
  <c r="O208" i="1"/>
  <c r="Q208" i="1" s="1"/>
  <c r="O553" i="1"/>
  <c r="Q553" i="1" s="1"/>
  <c r="O77" i="1"/>
  <c r="Q77" i="1" s="1"/>
  <c r="O1622" i="1"/>
  <c r="Q1622" i="1" s="1"/>
  <c r="O165" i="1"/>
  <c r="Q165" i="1" s="1"/>
  <c r="O144" i="1"/>
  <c r="Q144" i="1" s="1"/>
  <c r="O1566" i="1"/>
  <c r="Q1566" i="1" s="1"/>
  <c r="O1612" i="1"/>
  <c r="Q1612" i="1" s="1"/>
  <c r="O1337" i="1"/>
  <c r="Q1337" i="1" s="1"/>
  <c r="O1147" i="1"/>
  <c r="Q1147" i="1" s="1"/>
  <c r="O179" i="1"/>
  <c r="Q179" i="1" s="1"/>
  <c r="O1386" i="1"/>
  <c r="Q1386" i="1" s="1"/>
  <c r="O257" i="1"/>
  <c r="Q257" i="1" s="1"/>
  <c r="O519" i="1"/>
  <c r="Q519" i="1" s="1"/>
  <c r="O1174" i="1"/>
  <c r="Q1174" i="1" s="1"/>
  <c r="O1106" i="1"/>
  <c r="Q1106" i="1" s="1"/>
  <c r="O1766" i="1"/>
  <c r="Q1766" i="1" s="1"/>
  <c r="O1723" i="1"/>
  <c r="Q1723" i="1" s="1"/>
  <c r="O1735" i="1"/>
  <c r="Q1735" i="1" s="1"/>
  <c r="O366" i="1"/>
  <c r="Q366" i="1" s="1"/>
  <c r="O7" i="1"/>
  <c r="Q7" i="1" s="1"/>
  <c r="O1183" i="1"/>
  <c r="Q1183" i="1" s="1"/>
  <c r="O1633" i="1"/>
  <c r="Q1633" i="1" s="1"/>
  <c r="O1163" i="1"/>
  <c r="O1182" i="1"/>
  <c r="R1182" i="1" s="1"/>
  <c r="T1182" i="1" s="1"/>
  <c r="O1587" i="1"/>
  <c r="Q1587" i="1" s="1"/>
  <c r="O1371" i="1"/>
  <c r="Q1371" i="1" s="1"/>
  <c r="O1168" i="1"/>
  <c r="Q1168" i="1" s="1"/>
  <c r="O1822" i="1"/>
  <c r="Q1822" i="1" s="1"/>
  <c r="O1641" i="1"/>
  <c r="O232" i="1"/>
  <c r="Q232" i="1" s="1"/>
  <c r="O498" i="1"/>
  <c r="Q498" i="1" s="1"/>
  <c r="O269" i="1"/>
  <c r="Q269" i="1" s="1"/>
  <c r="O25" i="1"/>
  <c r="R25" i="1" s="1"/>
  <c r="T25" i="1" s="1"/>
  <c r="O1538" i="1"/>
  <c r="Q1538" i="1" s="1"/>
  <c r="O1550" i="1"/>
  <c r="Q1550" i="1" s="1"/>
  <c r="O1475" i="1"/>
  <c r="Q1475" i="1" s="1"/>
  <c r="O1453" i="1"/>
  <c r="Q1453" i="1" s="1"/>
  <c r="O1627" i="1"/>
  <c r="Q1627" i="1" s="1"/>
  <c r="O1412" i="1"/>
  <c r="O1211" i="1"/>
  <c r="Q1211" i="1" s="1"/>
  <c r="O1515" i="1"/>
  <c r="Q1515" i="1" s="1"/>
  <c r="O664" i="1"/>
  <c r="Q664" i="1" s="1"/>
  <c r="O698" i="1"/>
  <c r="Q698" i="1" s="1"/>
  <c r="O1681" i="1"/>
  <c r="O1825" i="1"/>
  <c r="Q1825" i="1" s="1"/>
  <c r="O1981" i="1"/>
  <c r="Q1981" i="1" s="1"/>
  <c r="O1904" i="1"/>
  <c r="Q1904" i="1" s="1"/>
  <c r="O1706" i="1"/>
  <c r="Q1706" i="1" s="1"/>
  <c r="O1302" i="1"/>
  <c r="Q1302" i="1" s="1"/>
  <c r="O362" i="1"/>
  <c r="Q362" i="1" s="1"/>
  <c r="O243" i="1"/>
  <c r="Q243" i="1" s="1"/>
  <c r="O1548" i="1"/>
  <c r="Q1548" i="1" s="1"/>
  <c r="O1382" i="1"/>
  <c r="R1382" i="1" s="1"/>
  <c r="T1382" i="1" s="1"/>
  <c r="O1528" i="1"/>
  <c r="Q1528" i="1" s="1"/>
  <c r="O2208" i="1"/>
  <c r="Q2208" i="1" s="1"/>
  <c r="O1975" i="1"/>
  <c r="Q1975" i="1" s="1"/>
  <c r="O614" i="1"/>
  <c r="Q614" i="1" s="1"/>
  <c r="O626" i="1"/>
  <c r="Q626" i="1" s="1"/>
  <c r="O289" i="1"/>
  <c r="Q289" i="1" s="1"/>
  <c r="O648" i="1"/>
  <c r="Q648" i="1" s="1"/>
  <c r="O240" i="1"/>
  <c r="Q240" i="1" s="1"/>
  <c r="O489" i="1"/>
  <c r="Q489" i="1" s="1"/>
  <c r="O384" i="1"/>
  <c r="Q384" i="1" s="1"/>
  <c r="O166" i="1"/>
  <c r="R166" i="1" s="1"/>
  <c r="T166" i="1" s="1"/>
  <c r="O267" i="1"/>
  <c r="Q267" i="1" s="1"/>
  <c r="O157" i="1"/>
  <c r="Q157" i="1" s="1"/>
  <c r="O429" i="1"/>
  <c r="R429" i="1" s="1"/>
  <c r="T429" i="1" s="1"/>
  <c r="O432" i="1"/>
  <c r="O1275" i="1"/>
  <c r="Q1275" i="1" s="1"/>
  <c r="O1189" i="1"/>
  <c r="Q1189" i="1" s="1"/>
  <c r="O1465" i="1"/>
  <c r="Q1465" i="1" s="1"/>
  <c r="O1452" i="1"/>
  <c r="R1452" i="1" s="1"/>
  <c r="T1452" i="1" s="1"/>
  <c r="O1635" i="1"/>
  <c r="Q1635" i="1" s="1"/>
  <c r="O1373" i="1"/>
  <c r="R1373" i="1" s="1"/>
  <c r="T1373" i="1" s="1"/>
  <c r="O1527" i="1"/>
  <c r="Q1527" i="1" s="1"/>
  <c r="O1657" i="1"/>
  <c r="Q1657" i="1" s="1"/>
  <c r="O1111" i="1"/>
  <c r="R1111" i="1" s="1"/>
  <c r="T1111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634" i="1"/>
  <c r="Q634" i="1" s="1"/>
  <c r="O538" i="1"/>
  <c r="Q53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583" i="1"/>
  <c r="Q583" i="1" s="1"/>
  <c r="O1353" i="1"/>
  <c r="Q1353" i="1" s="1"/>
  <c r="O1443" i="1"/>
  <c r="Q1443" i="1" s="1"/>
  <c r="O211" i="1"/>
  <c r="Q211" i="1" s="1"/>
  <c r="O1362" i="1"/>
  <c r="Q1362" i="1" s="1"/>
  <c r="O1409" i="1"/>
  <c r="O1256" i="1"/>
  <c r="Q1256" i="1" s="1"/>
  <c r="O1258" i="1"/>
  <c r="Q1258" i="1" s="1"/>
  <c r="O581" i="1"/>
  <c r="Q581" i="1" s="1"/>
  <c r="O97" i="1"/>
  <c r="R97" i="1" s="1"/>
  <c r="T97" i="1" s="1"/>
  <c r="O428" i="1"/>
  <c r="R428" i="1" s="1"/>
  <c r="T428" i="1" s="1"/>
  <c r="O169" i="1"/>
  <c r="Q169" i="1" s="1"/>
  <c r="O1438" i="1"/>
  <c r="R1438" i="1" s="1"/>
  <c r="T1438" i="1" s="1"/>
  <c r="O1520" i="1"/>
  <c r="Q1520" i="1" s="1"/>
  <c r="O1397" i="1"/>
  <c r="Q1397" i="1" s="1"/>
  <c r="O1477" i="1"/>
  <c r="Q1477" i="1" s="1"/>
  <c r="O1285" i="1"/>
  <c r="Q1285" i="1" s="1"/>
  <c r="O1414" i="1"/>
  <c r="Q1414" i="1" s="1"/>
  <c r="O679" i="1"/>
  <c r="Q679" i="1" s="1"/>
  <c r="O707" i="1"/>
  <c r="R707" i="1" s="1"/>
  <c r="T707" i="1" s="1"/>
  <c r="O1742" i="1"/>
  <c r="Q1742" i="1" s="1"/>
  <c r="O1867" i="1"/>
  <c r="Q1867" i="1" s="1"/>
  <c r="O1685" i="1"/>
  <c r="Q1685" i="1" s="1"/>
  <c r="O1874" i="1"/>
  <c r="Q1874" i="1" s="1"/>
  <c r="O1166" i="1"/>
  <c r="Q1166" i="1" s="1"/>
  <c r="O1385" i="1"/>
  <c r="R1385" i="1" s="1"/>
  <c r="T1385" i="1" s="1"/>
  <c r="O1483" i="1"/>
  <c r="Q1483" i="1" s="1"/>
  <c r="O299" i="1"/>
  <c r="Q299" i="1" s="1"/>
  <c r="O1219" i="1"/>
  <c r="Q1219" i="1" s="1"/>
  <c r="O459" i="1"/>
  <c r="Q459" i="1" s="1"/>
  <c r="O159" i="1"/>
  <c r="Q159" i="1" s="1"/>
  <c r="O1439" i="1"/>
  <c r="Q1439" i="1" s="1"/>
  <c r="O1644" i="1"/>
  <c r="Q1644" i="1" s="1"/>
  <c r="O723" i="1"/>
  <c r="Q723" i="1" s="1"/>
  <c r="O578" i="1"/>
  <c r="Q578" i="1" s="1"/>
  <c r="O571" i="1"/>
  <c r="R571" i="1" s="1"/>
  <c r="T571" i="1" s="1"/>
  <c r="O508" i="1"/>
  <c r="R508" i="1" s="1"/>
  <c r="T508" i="1" s="1"/>
  <c r="O195" i="1"/>
  <c r="Q195" i="1" s="1"/>
  <c r="O228" i="1"/>
  <c r="Q228" i="1" s="1"/>
  <c r="O1530" i="1"/>
  <c r="Q1530" i="1" s="1"/>
  <c r="O1603" i="1"/>
  <c r="Q1603" i="1" s="1"/>
  <c r="O1218" i="1"/>
  <c r="Q1218" i="1" s="1"/>
  <c r="O1664" i="1"/>
  <c r="Q1664" i="1" s="1"/>
  <c r="O676" i="1"/>
  <c r="Q676" i="1" s="1"/>
  <c r="O657" i="1"/>
  <c r="Q657" i="1" s="1"/>
  <c r="O733" i="1"/>
  <c r="Q733" i="1" s="1"/>
  <c r="O2093" i="1"/>
  <c r="Q2093" i="1" s="1"/>
  <c r="O1989" i="1"/>
  <c r="Q1989" i="1" s="1"/>
  <c r="O1879" i="1"/>
  <c r="Q1879" i="1" s="1"/>
  <c r="O1696" i="1"/>
  <c r="Q1696" i="1" s="1"/>
  <c r="O236" i="1"/>
  <c r="Q236" i="1" s="1"/>
  <c r="O1251" i="1"/>
  <c r="Q1251" i="1" s="1"/>
  <c r="O83" i="1"/>
  <c r="Q83" i="1" s="1"/>
  <c r="O1511" i="1"/>
  <c r="Q1511" i="1" s="1"/>
  <c r="O1133" i="1"/>
  <c r="Q1133" i="1" s="1"/>
  <c r="O1281" i="1"/>
  <c r="Q1281" i="1" s="1"/>
  <c r="O413" i="1"/>
  <c r="Q413" i="1" s="1"/>
  <c r="O1376" i="1"/>
  <c r="Q1376" i="1" s="1"/>
  <c r="O1561" i="1"/>
  <c r="Q1561" i="1" s="1"/>
  <c r="O1201" i="1"/>
  <c r="Q1201" i="1" s="1"/>
  <c r="O1179" i="1"/>
  <c r="R1179" i="1" s="1"/>
  <c r="T1179" i="1" s="1"/>
  <c r="O596" i="1"/>
  <c r="Q596" i="1" s="1"/>
  <c r="O546" i="1"/>
  <c r="Q546" i="1" s="1"/>
  <c r="O286" i="1"/>
  <c r="Q286" i="1" s="1"/>
  <c r="O276" i="1"/>
  <c r="Q276" i="1" s="1"/>
  <c r="O147" i="1"/>
  <c r="R147" i="1" s="1"/>
  <c r="T147" i="1" s="1"/>
  <c r="O115" i="1"/>
  <c r="R115" i="1" s="1"/>
  <c r="T115" i="1" s="1"/>
  <c r="O525" i="1"/>
  <c r="Q525" i="1" s="1"/>
  <c r="O67" i="1"/>
  <c r="R67" i="1" s="1"/>
  <c r="T67" i="1" s="1"/>
  <c r="O364" i="1"/>
  <c r="Q364" i="1" s="1"/>
  <c r="O266" i="1"/>
  <c r="R266" i="1" s="1"/>
  <c r="T266" i="1" s="1"/>
  <c r="O376" i="1"/>
  <c r="Q376" i="1" s="1"/>
  <c r="O130" i="1"/>
  <c r="Q130" i="1" s="1"/>
  <c r="O121" i="1"/>
  <c r="R121" i="1" s="1"/>
  <c r="T121" i="1" s="1"/>
  <c r="O1632" i="1"/>
  <c r="Q1632" i="1" s="1"/>
  <c r="O1608" i="1"/>
  <c r="Q1608" i="1" s="1"/>
  <c r="O1536" i="1"/>
  <c r="Q1536" i="1" s="1"/>
  <c r="O1577" i="1"/>
  <c r="Q1577" i="1" s="1"/>
  <c r="O1325" i="1"/>
  <c r="Q1325" i="1" s="1"/>
  <c r="O1461" i="1"/>
  <c r="R1461" i="1" s="1"/>
  <c r="T1461" i="1" s="1"/>
  <c r="O1555" i="1"/>
  <c r="Q1555" i="1" s="1"/>
  <c r="O1299" i="1"/>
  <c r="Q1299" i="1" s="1"/>
  <c r="O1643" i="1"/>
  <c r="Q1643" i="1" s="1"/>
  <c r="O713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328" i="1"/>
  <c r="Q328" i="1" s="1"/>
  <c r="O54" i="1"/>
  <c r="O1571" i="1"/>
  <c r="Q1571" i="1" s="1"/>
  <c r="O1423" i="1"/>
  <c r="Q1423" i="1" s="1"/>
  <c r="O1294" i="1"/>
  <c r="Q1294" i="1" s="1"/>
  <c r="O1173" i="1"/>
  <c r="Q1173" i="1" s="1"/>
  <c r="O1518" i="1"/>
  <c r="Q1518" i="1" s="1"/>
  <c r="O1314" i="1"/>
  <c r="Q1314" i="1" s="1"/>
  <c r="O1146" i="1"/>
  <c r="Q1146" i="1" s="1"/>
  <c r="O708" i="1"/>
  <c r="Q708" i="1" s="1"/>
  <c r="O641" i="1"/>
  <c r="Q641" i="1" s="1"/>
  <c r="O575" i="1"/>
  <c r="Q575" i="1" s="1"/>
  <c r="O367" i="1"/>
  <c r="Q367" i="1" s="1"/>
  <c r="O95" i="1"/>
  <c r="R95" i="1" s="1"/>
  <c r="T95" i="1" s="1"/>
  <c r="O290" i="1"/>
  <c r="Q290" i="1" s="1"/>
  <c r="O148" i="1"/>
  <c r="Q148" i="1" s="1"/>
  <c r="O494" i="1"/>
  <c r="Q494" i="1" s="1"/>
  <c r="O385" i="1"/>
  <c r="R385" i="1" s="1"/>
  <c r="T385" i="1" s="1"/>
  <c r="O127" i="1"/>
  <c r="R127" i="1" s="1"/>
  <c r="T127" i="1" s="1"/>
  <c r="O322" i="1"/>
  <c r="R322" i="1" s="1"/>
  <c r="T322" i="1" s="1"/>
  <c r="O514" i="1"/>
  <c r="O465" i="1"/>
  <c r="Q465" i="1" s="1"/>
  <c r="O417" i="1"/>
  <c r="Q417" i="1" s="1"/>
  <c r="O161" i="1"/>
  <c r="Q161" i="1" s="1"/>
  <c r="O317" i="1"/>
  <c r="Q317" i="1" s="1"/>
  <c r="O74" i="1"/>
  <c r="O118" i="1"/>
  <c r="R118" i="1" s="1"/>
  <c r="T118" i="1" s="1"/>
  <c r="O220" i="1"/>
  <c r="Q220" i="1" s="1"/>
  <c r="O310" i="1"/>
  <c r="O70" i="1"/>
  <c r="Q70" i="1" s="1"/>
  <c r="O61" i="1"/>
  <c r="O1650" i="1"/>
  <c r="Q1650" i="1" s="1"/>
  <c r="O1190" i="1"/>
  <c r="Q1190" i="1" s="1"/>
  <c r="O1319" i="1"/>
  <c r="Q1319" i="1" s="1"/>
  <c r="O1287" i="1"/>
  <c r="Q1287" i="1" s="1"/>
  <c r="O1485" i="1"/>
  <c r="Q1485" i="1" s="1"/>
  <c r="O1570" i="1"/>
  <c r="R1570" i="1" s="1"/>
  <c r="T1570" i="1" s="1"/>
  <c r="O1384" i="1"/>
  <c r="O1295" i="1"/>
  <c r="Q1295" i="1" s="1"/>
  <c r="O1262" i="1"/>
  <c r="Q1262" i="1" s="1"/>
  <c r="O1205" i="1"/>
  <c r="Q1205" i="1" s="1"/>
  <c r="O1200" i="1"/>
  <c r="Q1200" i="1" s="1"/>
  <c r="O1354" i="1"/>
  <c r="Q1354" i="1" s="1"/>
  <c r="O1481" i="1"/>
  <c r="Q1481" i="1" s="1"/>
  <c r="O1651" i="1"/>
  <c r="R1651" i="1" s="1"/>
  <c r="T1651" i="1" s="1"/>
  <c r="O1421" i="1"/>
  <c r="R1421" i="1" s="1"/>
  <c r="T1421" i="1" s="1"/>
  <c r="O1164" i="1"/>
  <c r="R1164" i="1" s="1"/>
  <c r="T1164" i="1" s="1"/>
  <c r="O1458" i="1"/>
  <c r="R1458" i="1" s="1"/>
  <c r="T1458" i="1" s="1"/>
  <c r="O1198" i="1"/>
  <c r="Q1198" i="1" s="1"/>
  <c r="O1343" i="1"/>
  <c r="Q1343" i="1" s="1"/>
  <c r="O1379" i="1"/>
  <c r="Q1379" i="1" s="1"/>
  <c r="O656" i="1"/>
  <c r="Q656" i="1" s="1"/>
  <c r="O692" i="1"/>
  <c r="Q692" i="1" s="1"/>
  <c r="O702" i="1"/>
  <c r="Q702" i="1" s="1"/>
  <c r="O2019" i="1"/>
  <c r="Q2019" i="1" s="1"/>
  <c r="O1731" i="1"/>
  <c r="Q1731" i="1" s="1"/>
  <c r="O2061" i="1"/>
  <c r="Q2061" i="1" s="1"/>
  <c r="O1841" i="1"/>
  <c r="Q1841" i="1" s="1"/>
  <c r="O1676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74" i="1"/>
  <c r="Q1474" i="1" s="1"/>
  <c r="O1268" i="1"/>
  <c r="Q1268" i="1" s="1"/>
  <c r="O1611" i="1"/>
  <c r="Q1611" i="1" s="1"/>
  <c r="O719" i="1"/>
  <c r="R719" i="1" s="1"/>
  <c r="T719" i="1" s="1"/>
  <c r="O637" i="1"/>
  <c r="R637" i="1" s="1"/>
  <c r="T637" i="1" s="1"/>
  <c r="O625" i="1"/>
  <c r="Q625" i="1" s="1"/>
  <c r="O369" i="1"/>
  <c r="Q369" i="1" s="1"/>
  <c r="O412" i="1"/>
  <c r="Q412" i="1" s="1"/>
  <c r="O403" i="1"/>
  <c r="Q403" i="1" s="1"/>
  <c r="O64" i="1"/>
  <c r="O253" i="1"/>
  <c r="Q253" i="1" s="1"/>
  <c r="O454" i="1"/>
  <c r="Q454" i="1" s="1"/>
  <c r="O476" i="1"/>
  <c r="Q476" i="1" s="1"/>
  <c r="O430" i="1"/>
  <c r="R430" i="1" s="1"/>
  <c r="T430" i="1" s="1"/>
  <c r="O19" i="1"/>
  <c r="O522" i="1"/>
  <c r="Q522" i="1" s="1"/>
  <c r="O137" i="1"/>
  <c r="R137" i="1" s="1"/>
  <c r="T137" i="1" s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R281" i="1" s="1"/>
  <c r="T281" i="1" s="1"/>
  <c r="O28" i="1"/>
  <c r="Q28" i="1" s="1"/>
  <c r="O314" i="1"/>
  <c r="R314" i="1" s="1"/>
  <c r="T314" i="1" s="1"/>
  <c r="O71" i="1"/>
  <c r="Q71" i="1" s="1"/>
  <c r="O1573" i="1"/>
  <c r="R1573" i="1" s="1"/>
  <c r="T1573" i="1" s="1"/>
  <c r="O1156" i="1"/>
  <c r="O1167" i="1"/>
  <c r="Q1167" i="1" s="1"/>
  <c r="O1450" i="1"/>
  <c r="R1450" i="1" s="1"/>
  <c r="T1450" i="1" s="1"/>
  <c r="O1495" i="1"/>
  <c r="Q1495" i="1" s="1"/>
  <c r="O1616" i="1"/>
  <c r="Q1616" i="1" s="1"/>
  <c r="O1301" i="1"/>
  <c r="Q1301" i="1" s="1"/>
  <c r="O1157" i="1"/>
  <c r="Q1157" i="1" s="1"/>
  <c r="O1408" i="1"/>
  <c r="O1584" i="1"/>
  <c r="Q1584" i="1" s="1"/>
  <c r="O1175" i="1"/>
  <c r="Q1175" i="1" s="1"/>
  <c r="O1240" i="1"/>
  <c r="Q1240" i="1" s="1"/>
  <c r="O1621" i="1"/>
  <c r="Q1621" i="1" s="1"/>
  <c r="O1220" i="1"/>
  <c r="Q1220" i="1" s="1"/>
  <c r="O1398" i="1"/>
  <c r="Q1398" i="1" s="1"/>
  <c r="O1138" i="1"/>
  <c r="Q1138" i="1" s="1"/>
  <c r="O1416" i="1"/>
  <c r="Q1416" i="1" s="1"/>
  <c r="O1184" i="1"/>
  <c r="Q1184" i="1" s="1"/>
  <c r="O1532" i="1"/>
  <c r="O1579" i="1"/>
  <c r="Q1579" i="1" s="1"/>
  <c r="O1328" i="1"/>
  <c r="Q1328" i="1" s="1"/>
  <c r="O1624" i="1"/>
  <c r="Q1624" i="1" s="1"/>
  <c r="O1114" i="1"/>
  <c r="R1114" i="1" s="1"/>
  <c r="T1114" i="1" s="1"/>
  <c r="O718" i="1"/>
  <c r="O699" i="1"/>
  <c r="Q699" i="1" s="1"/>
  <c r="O687" i="1"/>
  <c r="Q687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92" i="1"/>
  <c r="R92" i="1" s="1"/>
  <c r="T92" i="1" s="1"/>
  <c r="O1247" i="1"/>
  <c r="Q1247" i="1" s="1"/>
  <c r="O1425" i="1"/>
  <c r="Q1425" i="1" s="1"/>
  <c r="O1143" i="1"/>
  <c r="Q1143" i="1" s="1"/>
  <c r="O1333" i="1"/>
  <c r="Q1333" i="1" s="1"/>
  <c r="O1208" i="1"/>
  <c r="Q1208" i="1" s="1"/>
  <c r="O1629" i="1"/>
  <c r="Q1629" i="1" s="1"/>
  <c r="O1119" i="1"/>
  <c r="Q1119" i="1" s="1"/>
  <c r="O1214" i="1"/>
  <c r="Q1214" i="1" s="1"/>
  <c r="O1565" i="1"/>
  <c r="Q1565" i="1" s="1"/>
  <c r="O624" i="1"/>
  <c r="R624" i="1" s="1"/>
  <c r="T624" i="1" s="1"/>
  <c r="O558" i="1"/>
  <c r="R558" i="1" s="1"/>
  <c r="T558" i="1" s="1"/>
  <c r="O644" i="1"/>
  <c r="R644" i="1" s="1"/>
  <c r="T644" i="1" s="1"/>
  <c r="O620" i="1"/>
  <c r="Q620" i="1" s="1"/>
  <c r="O153" i="1"/>
  <c r="Q153" i="1" s="1"/>
  <c r="O347" i="1"/>
  <c r="Q347" i="1" s="1"/>
  <c r="O418" i="1"/>
  <c r="Q418" i="1" s="1"/>
  <c r="O259" i="1"/>
  <c r="R259" i="1" s="1"/>
  <c r="T259" i="1" s="1"/>
  <c r="O227" i="1"/>
  <c r="Q227" i="1" s="1"/>
  <c r="O422" i="1"/>
  <c r="Q422" i="1" s="1"/>
  <c r="O27" i="1"/>
  <c r="Q27" i="1" s="1"/>
  <c r="O420" i="1"/>
  <c r="O371" i="1"/>
  <c r="Q371" i="1" s="1"/>
  <c r="O99" i="1"/>
  <c r="R99" i="1" s="1"/>
  <c r="T99" i="1" s="1"/>
  <c r="O270" i="1"/>
  <c r="Q270" i="1" s="1"/>
  <c r="O414" i="1"/>
  <c r="Q414" i="1" s="1"/>
  <c r="O10" i="1"/>
  <c r="Q10" i="1" s="1"/>
  <c r="O40" i="1"/>
  <c r="Q40" i="1" s="1"/>
  <c r="O279" i="1"/>
  <c r="Q279" i="1" s="1"/>
  <c r="O23" i="1"/>
  <c r="R23" i="1" s="1"/>
  <c r="T23" i="1" s="1"/>
  <c r="O55" i="1"/>
  <c r="O1541" i="1"/>
  <c r="Q1541" i="1" s="1"/>
  <c r="O1658" i="1"/>
  <c r="Q1658" i="1" s="1"/>
  <c r="O1402" i="1"/>
  <c r="R1402" i="1" s="1"/>
  <c r="T1402" i="1" s="1"/>
  <c r="O1358" i="1"/>
  <c r="O1440" i="1"/>
  <c r="Q1440" i="1" s="1"/>
  <c r="O1568" i="1"/>
  <c r="R1568" i="1" s="1"/>
  <c r="T1568" i="1" s="1"/>
  <c r="O1216" i="1"/>
  <c r="Q1216" i="1" s="1"/>
  <c r="O1127" i="1"/>
  <c r="Q1127" i="1" s="1"/>
  <c r="O1323" i="1"/>
  <c r="Q1323" i="1" s="1"/>
  <c r="O1419" i="1"/>
  <c r="Q1419" i="1" s="1"/>
  <c r="O1557" i="1"/>
  <c r="Q1557" i="1" s="1"/>
  <c r="O1145" i="1"/>
  <c r="Q1145" i="1" s="1"/>
  <c r="O1306" i="1"/>
  <c r="Q1306" i="1" s="1"/>
  <c r="O1431" i="1"/>
  <c r="O1169" i="1"/>
  <c r="Q1169" i="1" s="1"/>
  <c r="O1472" i="1"/>
  <c r="Q1472" i="1" s="1"/>
  <c r="O1213" i="1"/>
  <c r="Q1213" i="1" s="1"/>
  <c r="O1517" i="1"/>
  <c r="Q1517" i="1" s="1"/>
  <c r="O1267" i="1"/>
  <c r="Q1267" i="1" s="1"/>
  <c r="O1610" i="1"/>
  <c r="Q1610" i="1" s="1"/>
  <c r="O1387" i="1"/>
  <c r="O663" i="1"/>
  <c r="R663" i="1" s="1"/>
  <c r="T663" i="1" s="1"/>
  <c r="O730" i="1"/>
  <c r="Q730" i="1" s="1"/>
  <c r="O731" i="1"/>
  <c r="Q731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338" i="1"/>
  <c r="R338" i="1" s="1"/>
  <c r="T338" i="1" s="1"/>
  <c r="O119" i="1"/>
  <c r="R119" i="1" s="1"/>
  <c r="T119" i="1" s="1"/>
  <c r="O193" i="1"/>
  <c r="Q193" i="1" s="1"/>
  <c r="O1317" i="1"/>
  <c r="Q131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2" i="1"/>
  <c r="O2014" i="1"/>
  <c r="Q2014" i="1" s="1"/>
  <c r="O2168" i="1"/>
  <c r="Q2168" i="1" s="1"/>
  <c r="O608" i="1"/>
  <c r="Q608" i="1" s="1"/>
  <c r="O229" i="1"/>
  <c r="Q229" i="1" s="1"/>
  <c r="O215" i="1"/>
  <c r="Q215" i="1" s="1"/>
  <c r="O268" i="1"/>
  <c r="R268" i="1" s="1"/>
  <c r="T268" i="1" s="1"/>
  <c r="O1375" i="1"/>
  <c r="Q1375" i="1" s="1"/>
  <c r="O1494" i="1"/>
  <c r="Q1494" i="1" s="1"/>
  <c r="O1279" i="1"/>
  <c r="Q1279" i="1" s="1"/>
  <c r="O1435" i="1"/>
  <c r="Q1435" i="1" s="1"/>
  <c r="O1342" i="1"/>
  <c r="Q1342" i="1" s="1"/>
  <c r="O711" i="1"/>
  <c r="R711" i="1" s="1"/>
  <c r="T711" i="1" s="1"/>
  <c r="O595" i="1"/>
  <c r="O607" i="1"/>
  <c r="Q607" i="1" s="1"/>
  <c r="O591" i="1"/>
  <c r="R591" i="1" s="1"/>
  <c r="T591" i="1" s="1"/>
  <c r="O599" i="1"/>
  <c r="Q599" i="1" s="1"/>
  <c r="O588" i="1"/>
  <c r="Q588" i="1" s="1"/>
  <c r="O469" i="1"/>
  <c r="R469" i="1" s="1"/>
  <c r="T469" i="1" s="1"/>
  <c r="O326" i="1"/>
  <c r="Q326" i="1" s="1"/>
  <c r="O212" i="1"/>
  <c r="Q212" i="1" s="1"/>
  <c r="O235" i="1"/>
  <c r="Q235" i="1" s="1"/>
  <c r="O511" i="1"/>
  <c r="R511" i="1" s="1"/>
  <c r="T511" i="1" s="1"/>
  <c r="O264" i="1"/>
  <c r="R264" i="1" s="1"/>
  <c r="T264" i="1" s="1"/>
  <c r="O534" i="1"/>
  <c r="R534" i="1" s="1"/>
  <c r="T534" i="1" s="1"/>
  <c r="O22" i="1"/>
  <c r="Q22" i="1" s="1"/>
  <c r="O1246" i="1"/>
  <c r="Q1246" i="1" s="1"/>
  <c r="O1272" i="1"/>
  <c r="R1272" i="1" s="1"/>
  <c r="T1272" i="1" s="1"/>
  <c r="O1618" i="1"/>
  <c r="Q1618" i="1" s="1"/>
  <c r="O1249" i="1"/>
  <c r="Q1249" i="1" s="1"/>
  <c r="O1206" i="1"/>
  <c r="Q1206" i="1" s="1"/>
  <c r="O1360" i="1"/>
  <c r="O1134" i="1"/>
  <c r="Q1134" i="1" s="1"/>
  <c r="O1499" i="1"/>
  <c r="Q1499" i="1" s="1"/>
  <c r="O685" i="1"/>
  <c r="Q685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427" i="1"/>
  <c r="R427" i="1" s="1"/>
  <c r="T427" i="1" s="1"/>
  <c r="O1854" i="1"/>
  <c r="Q1854" i="1" s="1"/>
  <c r="O1677" i="1"/>
  <c r="O1721" i="1"/>
  <c r="Q1721" i="1" s="1"/>
  <c r="O1912" i="1"/>
  <c r="Q1912" i="1" s="1"/>
  <c r="O1652" i="1"/>
  <c r="Q1652" i="1" s="1"/>
  <c r="O1625" i="1"/>
  <c r="Q1625" i="1" s="1"/>
  <c r="O724" i="1"/>
  <c r="Q724" i="1" s="1"/>
  <c r="O701" i="1"/>
  <c r="R701" i="1" s="1"/>
  <c r="T701" i="1" s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66" i="1"/>
  <c r="O1534" i="1"/>
  <c r="Q1534" i="1" s="1"/>
  <c r="O1392" i="1"/>
  <c r="Q1392" i="1" s="1"/>
  <c r="O199" i="1"/>
  <c r="Q199" i="1" s="1"/>
  <c r="O533" i="1"/>
  <c r="R533" i="1" s="1"/>
  <c r="T533" i="1" s="1"/>
  <c r="O356" i="1"/>
  <c r="Q356" i="1" s="1"/>
  <c r="O21" i="1"/>
  <c r="Q21" i="1" s="1"/>
  <c r="O441" i="1"/>
  <c r="Q441" i="1" s="1"/>
  <c r="O1427" i="1"/>
  <c r="Q1427" i="1" s="1"/>
  <c r="O1617" i="1"/>
  <c r="Q1617" i="1" s="1"/>
  <c r="O1366" i="1"/>
  <c r="R1366" i="1" s="1"/>
  <c r="T1366" i="1" s="1"/>
  <c r="O1236" i="1"/>
  <c r="Q1236" i="1" s="1"/>
  <c r="O1480" i="1"/>
  <c r="R1480" i="1" s="1"/>
  <c r="T1480" i="1" s="1"/>
  <c r="O1222" i="1"/>
  <c r="Q1222" i="1" s="1"/>
  <c r="O1523" i="1"/>
  <c r="Q1523" i="1" s="1"/>
  <c r="O1415" i="1"/>
  <c r="Q1415" i="1" s="1"/>
  <c r="O1388" i="1"/>
  <c r="Q1388" i="1" s="1"/>
  <c r="O672" i="1"/>
  <c r="Q672" i="1" s="1"/>
  <c r="O717" i="1"/>
  <c r="Q717" i="1" s="1"/>
  <c r="O1112" i="1"/>
  <c r="R1112" i="1" s="1"/>
  <c r="T1112" i="1" s="1"/>
  <c r="O586" i="1"/>
  <c r="R586" i="1" s="1"/>
  <c r="T586" i="1" s="1"/>
  <c r="O285" i="1"/>
  <c r="O370" i="1"/>
  <c r="Q370" i="1" s="1"/>
  <c r="O1230" i="1"/>
  <c r="Q1230" i="1" s="1"/>
  <c r="O1123" i="1"/>
  <c r="Q1123" i="1" s="1"/>
  <c r="O552" i="1"/>
  <c r="Q552" i="1" s="1"/>
  <c r="O551" i="1"/>
  <c r="Q551" i="1" s="1"/>
  <c r="O605" i="1"/>
  <c r="Q605" i="1" s="1"/>
  <c r="O653" i="1"/>
  <c r="R653" i="1" s="1"/>
  <c r="T653" i="1" s="1"/>
  <c r="O116" i="1"/>
  <c r="R116" i="1" s="1"/>
  <c r="T116" i="1" s="1"/>
  <c r="O539" i="1"/>
  <c r="Q539" i="1" s="1"/>
  <c r="O37" i="1"/>
  <c r="O41" i="1"/>
  <c r="R41" i="1" s="1"/>
  <c r="T41" i="1" s="1"/>
  <c r="O1504" i="1"/>
  <c r="Q1504" i="1" s="1"/>
  <c r="O1209" i="1"/>
  <c r="Q1209" i="1" s="1"/>
  <c r="O1170" i="1"/>
  <c r="Q1170" i="1" s="1"/>
  <c r="O1460" i="1"/>
  <c r="Q1460" i="1" s="1"/>
  <c r="O1255" i="1"/>
  <c r="Q1255" i="1" s="1"/>
  <c r="O1486" i="1"/>
  <c r="O1545" i="1"/>
  <c r="Q1545" i="1" s="1"/>
  <c r="O1591" i="1"/>
  <c r="Q1591" i="1" s="1"/>
  <c r="O1642" i="1"/>
  <c r="Q1642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172" i="1"/>
  <c r="R172" i="1" s="1"/>
  <c r="T172" i="1" s="1"/>
  <c r="O1510" i="1"/>
  <c r="R1510" i="1" s="1"/>
  <c r="T1510" i="1" s="1"/>
  <c r="O1667" i="1"/>
  <c r="R1667" i="1" s="1"/>
  <c r="T1667" i="1" s="1"/>
  <c r="O1116" i="1"/>
  <c r="Q1116" i="1" s="1"/>
  <c r="O576" i="1"/>
  <c r="Q576" i="1" s="1"/>
  <c r="O139" i="1"/>
  <c r="R139" i="1" s="1"/>
  <c r="T139" i="1" s="1"/>
  <c r="O1592" i="1"/>
  <c r="Q1592" i="1" s="1"/>
  <c r="O1120" i="1"/>
  <c r="Q1120" i="1" s="1"/>
  <c r="O1273" i="1"/>
  <c r="Q1273" i="1" s="1"/>
  <c r="O1394" i="1"/>
  <c r="R1394" i="1" s="1"/>
  <c r="T1394" i="1" s="1"/>
  <c r="O1338" i="1"/>
  <c r="Q1338" i="1" s="1"/>
  <c r="O1455" i="1"/>
  <c r="Q1455" i="1" s="1"/>
  <c r="O710" i="1"/>
  <c r="Q710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180" i="1"/>
  <c r="R180" i="1" s="1"/>
  <c r="T180" i="1" s="1"/>
  <c r="O1815" i="1"/>
  <c r="Q1815" i="1" s="1"/>
  <c r="O2185" i="1"/>
  <c r="Q2185" i="1" s="1"/>
  <c r="O569" i="1"/>
  <c r="R569" i="1" s="1"/>
  <c r="T569" i="1" s="1"/>
  <c r="O365" i="1"/>
  <c r="Q365" i="1" s="1"/>
  <c r="O1502" i="1"/>
  <c r="R1502" i="1" s="1"/>
  <c r="T1502" i="1" s="1"/>
  <c r="O2069" i="1"/>
  <c r="Q2069" i="1" s="1"/>
  <c r="O287" i="1"/>
  <c r="Q287" i="1" s="1"/>
  <c r="O1426" i="1"/>
  <c r="Q1426" i="1" s="1"/>
  <c r="O1546" i="1"/>
  <c r="Q1546" i="1" s="1"/>
  <c r="O1278" i="1"/>
  <c r="Q1278" i="1" s="1"/>
  <c r="O1195" i="1"/>
  <c r="Q1195" i="1" s="1"/>
  <c r="O645" i="1"/>
  <c r="Q645" i="1" s="1"/>
  <c r="O650" i="1"/>
  <c r="Q650" i="1" s="1"/>
  <c r="O31" i="1"/>
  <c r="Q31" i="1" s="1"/>
  <c r="O388" i="1"/>
  <c r="R388" i="1" s="1"/>
  <c r="T388" i="1" s="1"/>
  <c r="O87" i="1"/>
  <c r="Q87" i="1" s="1"/>
  <c r="O162" i="1"/>
  <c r="Q162" i="1" s="1"/>
  <c r="O126" i="1"/>
  <c r="R126" i="1" s="1"/>
  <c r="T126" i="1" s="1"/>
  <c r="O424" i="1"/>
  <c r="Q424" i="1" s="1"/>
  <c r="O1575" i="1"/>
  <c r="Q1575" i="1" s="1"/>
  <c r="O1203" i="1"/>
  <c r="Q1203" i="1" s="1"/>
  <c r="O1543" i="1"/>
  <c r="Q1543" i="1" s="1"/>
  <c r="O1289" i="1"/>
  <c r="Q1289" i="1" s="1"/>
  <c r="O1497" i="1"/>
  <c r="Q1497" i="1" s="1"/>
  <c r="O1594" i="1"/>
  <c r="Q1594" i="1" s="1"/>
  <c r="O1519" i="1"/>
  <c r="Q1519" i="1" s="1"/>
  <c r="O1469" i="1"/>
  <c r="Q1469" i="1" s="1"/>
  <c r="O1647" i="1"/>
  <c r="Q1647" i="1" s="1"/>
  <c r="O1405" i="1"/>
  <c r="Q1405" i="1" s="1"/>
  <c r="O1506" i="1"/>
  <c r="Q1506" i="1" s="1"/>
  <c r="O1553" i="1"/>
  <c r="Q1553" i="1" s="1"/>
  <c r="O1226" i="1"/>
  <c r="Q1226" i="1" s="1"/>
  <c r="O667" i="1"/>
  <c r="Q667" i="1" s="1"/>
  <c r="O706" i="1"/>
  <c r="Q706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258" i="1"/>
  <c r="Q258" i="1" s="1"/>
  <c r="O1318" i="1"/>
  <c r="Q1318" i="1" s="1"/>
  <c r="O1417" i="1"/>
  <c r="Q141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39" i="1"/>
  <c r="Q1139" i="1" s="1"/>
  <c r="O1161" i="1"/>
  <c r="R1161" i="1" s="1"/>
  <c r="T1161" i="1" s="1"/>
  <c r="O1678" i="1"/>
  <c r="O2207" i="1"/>
  <c r="Q2207" i="1" s="1"/>
  <c r="O562" i="1"/>
  <c r="Q562" i="1" s="1"/>
  <c r="O181" i="1"/>
  <c r="Q181" i="1" s="1"/>
  <c r="O42" i="1"/>
  <c r="Q42" i="1" s="1"/>
  <c r="O410" i="1"/>
  <c r="Q410" i="1" s="1"/>
  <c r="O143" i="1"/>
  <c r="Q143" i="1" s="1"/>
  <c r="O1558" i="1"/>
  <c r="Q1558" i="1" s="1"/>
  <c r="O1490" i="1"/>
  <c r="Q1490" i="1" s="1"/>
  <c r="O1221" i="1"/>
  <c r="Q1221" i="1" s="1"/>
  <c r="O1500" i="1"/>
  <c r="O1238" i="1"/>
  <c r="Q1238" i="1" s="1"/>
  <c r="O1115" i="1"/>
  <c r="R1115" i="1" s="1"/>
  <c r="T1115" i="1" s="1"/>
  <c r="O550" i="1"/>
  <c r="R550" i="1" s="1"/>
  <c r="T550" i="1" s="1"/>
  <c r="O404" i="1"/>
  <c r="R404" i="1" s="1"/>
  <c r="T404" i="1" s="1"/>
  <c r="O17" i="1"/>
  <c r="O100" i="1"/>
  <c r="R100" i="1" s="1"/>
  <c r="T100" i="1" s="1"/>
  <c r="O377" i="1"/>
  <c r="R377" i="1" s="1"/>
  <c r="T377" i="1" s="1"/>
  <c r="O133" i="1"/>
  <c r="Q133" i="1" s="1"/>
  <c r="O129" i="1"/>
  <c r="Q129" i="1" s="1"/>
  <c r="O155" i="1"/>
  <c r="Q155" i="1" s="1"/>
  <c r="O1640" i="1"/>
  <c r="Q1640" i="1" s="1"/>
  <c r="O1270" i="1"/>
  <c r="Q1270" i="1" s="1"/>
  <c r="O1367" i="1"/>
  <c r="Q1367" i="1" s="1"/>
  <c r="O1396" i="1"/>
  <c r="Q1396" i="1" s="1"/>
  <c r="O1410" i="1"/>
  <c r="O1269" i="1"/>
  <c r="Q1269" i="1" s="1"/>
  <c r="O1395" i="1"/>
  <c r="Q1395" i="1" s="1"/>
  <c r="O1454" i="1"/>
  <c r="Q1454" i="1" s="1"/>
  <c r="O1113" i="1"/>
  <c r="R1113" i="1" s="1"/>
  <c r="T1113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74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532" i="1"/>
  <c r="Q532" i="1" s="1"/>
  <c r="O190" i="1"/>
  <c r="Q190" i="1" s="1"/>
  <c r="O471" i="1"/>
  <c r="R471" i="1" s="1"/>
  <c r="T471" i="1" s="1"/>
  <c r="O1725" i="1"/>
  <c r="Q1725" i="1" s="1"/>
  <c r="O2123" i="1"/>
  <c r="Q2123" i="1" s="1"/>
  <c r="O485" i="1"/>
  <c r="Q485" i="1" s="1"/>
  <c r="O399" i="1"/>
  <c r="Q399" i="1" s="1"/>
  <c r="O138" i="1"/>
  <c r="Q138" i="1" s="1"/>
  <c r="O1155" i="1"/>
  <c r="Q1155" i="1" s="1"/>
  <c r="O1370" i="1"/>
  <c r="Q1370" i="1" s="1"/>
  <c r="O601" i="1"/>
  <c r="O580" i="1"/>
  <c r="Q580" i="1" s="1"/>
  <c r="O474" i="1"/>
  <c r="Q474" i="1" s="1"/>
  <c r="O425" i="1"/>
  <c r="Q425" i="1" s="1"/>
  <c r="O394" i="1"/>
  <c r="R394" i="1" s="1"/>
  <c r="T394" i="1" s="1"/>
  <c r="O108" i="1"/>
  <c r="Q108" i="1" s="1"/>
  <c r="O6" i="1"/>
  <c r="Q6" i="1" s="1"/>
  <c r="O359" i="1"/>
  <c r="Q359" i="1" s="1"/>
  <c r="O1377" i="1"/>
  <c r="Q1377" i="1" s="1"/>
  <c r="O1248" i="1"/>
  <c r="Q1248" i="1" s="1"/>
  <c r="O1186" i="1"/>
  <c r="Q1186" i="1" s="1"/>
  <c r="O1505" i="1"/>
  <c r="Q1505" i="1" s="1"/>
  <c r="O1407" i="1"/>
  <c r="O1390" i="1"/>
  <c r="R1390" i="1" s="1"/>
  <c r="T1390" i="1" s="1"/>
  <c r="O1292" i="1"/>
  <c r="R1292" i="1" s="1"/>
  <c r="T1292" i="1" s="1"/>
  <c r="O1280" i="1"/>
  <c r="Q1280" i="1" s="1"/>
  <c r="O1254" i="1"/>
  <c r="Q1254" i="1" s="1"/>
  <c r="O660" i="1"/>
  <c r="Q660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683" i="1"/>
  <c r="Q1683" i="1" s="1"/>
  <c r="O1889" i="1"/>
  <c r="Q1889" i="1" s="1"/>
  <c r="O2192" i="1"/>
  <c r="Q2192" i="1" s="1"/>
  <c r="O1808" i="1"/>
  <c r="Q1808" i="1" s="1"/>
  <c r="O592" i="1"/>
  <c r="Q592" i="1" s="1"/>
  <c r="O615" i="1"/>
  <c r="Q615" i="1" s="1"/>
  <c r="O557" i="1"/>
  <c r="Q557" i="1" s="1"/>
  <c r="O86" i="1"/>
  <c r="Q86" i="1" s="1"/>
  <c r="O196" i="1"/>
  <c r="Q196" i="1" s="1"/>
  <c r="O475" i="1"/>
  <c r="R475" i="1" s="1"/>
  <c r="T475" i="1" s="1"/>
  <c r="O101" i="1"/>
  <c r="R101" i="1" s="1"/>
  <c r="T101" i="1" s="1"/>
  <c r="O515" i="1"/>
  <c r="R515" i="1" s="1"/>
  <c r="T515" i="1" s="1"/>
  <c r="O400" i="1"/>
  <c r="O85" i="1"/>
  <c r="Q85" i="1" s="1"/>
  <c r="O353" i="1"/>
  <c r="Q353" i="1" s="1"/>
  <c r="O479" i="1"/>
  <c r="Q479" i="1" s="1"/>
  <c r="O78" i="1"/>
  <c r="R78" i="1" s="1"/>
  <c r="T78" i="1" s="1"/>
  <c r="O524" i="1"/>
  <c r="Q524" i="1" s="1"/>
  <c r="O12" i="1"/>
  <c r="Q12" i="1" s="1"/>
  <c r="O173" i="1"/>
  <c r="Q173" i="1" s="1"/>
  <c r="O280" i="1"/>
  <c r="R280" i="1" s="1"/>
  <c r="T280" i="1" s="1"/>
  <c r="O263" i="1"/>
  <c r="R263" i="1" s="1"/>
  <c r="T263" i="1" s="1"/>
  <c r="O294" i="1"/>
  <c r="Q294" i="1" s="1"/>
  <c r="O1351" i="1"/>
  <c r="Q1351" i="1" s="1"/>
  <c r="O1462" i="1"/>
  <c r="Q1462" i="1" s="1"/>
  <c r="O1341" i="1"/>
  <c r="Q1341" i="1" s="1"/>
  <c r="O1271" i="1"/>
  <c r="Q1271" i="1" s="1"/>
  <c r="O1151" i="1"/>
  <c r="Q1151" i="1" s="1"/>
  <c r="O1648" i="1"/>
  <c r="Q1648" i="1" s="1"/>
  <c r="O1374" i="1"/>
  <c r="Q1374" i="1" s="1"/>
  <c r="O1524" i="1"/>
  <c r="Q1524" i="1" s="1"/>
  <c r="O1122" i="1"/>
  <c r="Q1122" i="1" s="1"/>
  <c r="O1576" i="1"/>
  <c r="Q1576" i="1" s="1"/>
  <c r="O1172" i="1"/>
  <c r="Q1172" i="1" s="1"/>
  <c r="O1148" i="1"/>
  <c r="Q1148" i="1" s="1"/>
  <c r="O1197" i="1"/>
  <c r="O1496" i="1"/>
  <c r="R1496" i="1" s="1"/>
  <c r="T1496" i="1" s="1"/>
  <c r="O1252" i="1"/>
  <c r="Q1252" i="1" s="1"/>
  <c r="O1297" i="1"/>
  <c r="Q1297" i="1" s="1"/>
  <c r="O1595" i="1"/>
  <c r="R1595" i="1" s="1"/>
  <c r="T1595" i="1" s="1"/>
  <c r="O670" i="1"/>
  <c r="Q670" i="1" s="1"/>
  <c r="O675" i="1"/>
  <c r="Q675" i="1" s="1"/>
  <c r="O714" i="1"/>
  <c r="Q714" i="1" s="1"/>
  <c r="O722" i="1"/>
  <c r="R722" i="1" s="1"/>
  <c r="T722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73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09" i="1"/>
  <c r="R509" i="1" s="1"/>
  <c r="T509" i="1" s="1"/>
  <c r="O252" i="1"/>
  <c r="Q252" i="1" s="1"/>
  <c r="O158" i="1"/>
  <c r="Q158" i="1" s="1"/>
  <c r="O1600" i="1"/>
  <c r="Q1600" i="1" s="1"/>
  <c r="O1311" i="1"/>
  <c r="Q1311" i="1" s="1"/>
  <c r="O1152" i="1"/>
  <c r="Q1152" i="1" s="1"/>
  <c r="O1257" i="1"/>
  <c r="Q1257" i="1" s="1"/>
  <c r="O1142" i="1"/>
  <c r="Q1142" i="1" s="1"/>
  <c r="O1531" i="1"/>
  <c r="Q1531" i="1" s="1"/>
  <c r="O726" i="1"/>
  <c r="Q726" i="1" s="1"/>
  <c r="O544" i="1"/>
  <c r="Q544" i="1" s="1"/>
  <c r="O632" i="1"/>
  <c r="R632" i="1" s="1"/>
  <c r="T632" i="1" s="1"/>
  <c r="O628" i="1"/>
  <c r="R628" i="1" s="1"/>
  <c r="T628" i="1" s="1"/>
  <c r="O572" i="1"/>
  <c r="R572" i="1" s="1"/>
  <c r="T572" i="1" s="1"/>
  <c r="O433" i="1"/>
  <c r="Q433" i="1" s="1"/>
  <c r="O451" i="1"/>
  <c r="Q451" i="1" s="1"/>
  <c r="O47" i="1"/>
  <c r="Q47" i="1" s="1"/>
  <c r="O383" i="1"/>
  <c r="Q383" i="1" s="1"/>
  <c r="O312" i="1"/>
  <c r="Q312" i="1" s="1"/>
  <c r="O450" i="1"/>
  <c r="Q450" i="1" s="1"/>
  <c r="O302" i="1"/>
  <c r="O15" i="1"/>
  <c r="R15" i="1" s="1"/>
  <c r="T15" i="1" s="1"/>
  <c r="O350" i="1"/>
  <c r="Q350" i="1" s="1"/>
  <c r="O82" i="1"/>
  <c r="Q82" i="1" s="1"/>
  <c r="O145" i="1"/>
  <c r="R145" i="1" s="1"/>
  <c r="T145" i="1" s="1"/>
  <c r="O219" i="1"/>
  <c r="Q219" i="1" s="1"/>
  <c r="O504" i="1"/>
  <c r="Q504" i="1" s="1"/>
  <c r="O521" i="1"/>
  <c r="Q521" i="1" s="1"/>
  <c r="O262" i="1"/>
  <c r="R262" i="1" s="1"/>
  <c r="T262" i="1" s="1"/>
  <c r="O1188" i="1"/>
  <c r="Q1188" i="1" s="1"/>
  <c r="O1232" i="1"/>
  <c r="Q1232" i="1" s="1"/>
  <c r="O1361" i="1"/>
  <c r="Q1361" i="1" s="1"/>
  <c r="O1137" i="1"/>
  <c r="Q1137" i="1" s="1"/>
  <c r="O1630" i="1"/>
  <c r="Q1630" i="1" s="1"/>
  <c r="O1207" i="1"/>
  <c r="Q1207" i="1" s="1"/>
  <c r="O1331" i="1"/>
  <c r="Q1331" i="1" s="1"/>
  <c r="O1623" i="1"/>
  <c r="Q1623" i="1" s="1"/>
  <c r="O1223" i="1"/>
  <c r="O1526" i="1"/>
  <c r="Q1526" i="1" s="1"/>
  <c r="O1234" i="1"/>
  <c r="R1234" i="1" s="1"/>
  <c r="T1234" i="1" s="1"/>
  <c r="O1369" i="1"/>
  <c r="Q1369" i="1" s="1"/>
  <c r="O1117" i="1"/>
  <c r="Q1117" i="1" s="1"/>
  <c r="O1430" i="1"/>
  <c r="Q1430" i="1" s="1"/>
  <c r="O1212" i="1"/>
  <c r="Q1212" i="1" s="1"/>
  <c r="O1266" i="1"/>
  <c r="R1266" i="1" s="1"/>
  <c r="T1266" i="1" s="1"/>
  <c r="O1312" i="1"/>
  <c r="Q1312" i="1" s="1"/>
  <c r="O669" i="1"/>
  <c r="R669" i="1" s="1"/>
  <c r="T669" i="1" s="1"/>
  <c r="O690" i="1"/>
  <c r="R690" i="1" s="1"/>
  <c r="T690" i="1" s="1"/>
  <c r="O542" i="1"/>
  <c r="Q542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481" i="1"/>
  <c r="Q481" i="1" s="1"/>
  <c r="O368" i="1"/>
  <c r="Q368" i="1" s="1"/>
  <c r="O348" i="1"/>
  <c r="Q348" i="1" s="1"/>
  <c r="O278" i="1"/>
  <c r="Q278" i="1" s="1"/>
  <c r="O1204" i="1"/>
  <c r="Q1204" i="1" s="1"/>
  <c r="O1136" i="1"/>
  <c r="Q1136" i="1" s="1"/>
  <c r="O1399" i="1"/>
  <c r="Q1399" i="1" s="1"/>
  <c r="O1350" i="1"/>
  <c r="Q1350" i="1" s="1"/>
  <c r="O697" i="1"/>
  <c r="Q697" i="1" s="1"/>
  <c r="O560" i="1"/>
  <c r="R560" i="1" s="1"/>
  <c r="T560" i="1" s="1"/>
  <c r="O643" i="1"/>
  <c r="R643" i="1" s="1"/>
  <c r="T643" i="1" s="1"/>
  <c r="O616" i="1"/>
  <c r="O361" i="1"/>
  <c r="Q361" i="1" s="1"/>
  <c r="O530" i="1"/>
  <c r="Q530" i="1" s="1"/>
  <c r="O331" i="1"/>
  <c r="R331" i="1" s="1"/>
  <c r="T331" i="1" s="1"/>
  <c r="O33" i="1"/>
  <c r="R33" i="1" s="1"/>
  <c r="T33" i="1" s="1"/>
  <c r="O260" i="1"/>
  <c r="Q260" i="1" s="1"/>
  <c r="O291" i="1"/>
  <c r="Q291" i="1" s="1"/>
  <c r="O102" i="1"/>
  <c r="R102" i="1" s="1"/>
  <c r="T102" i="1" s="1"/>
  <c r="O160" i="1"/>
  <c r="Q160" i="1" s="1"/>
  <c r="O541" i="1"/>
  <c r="R541" i="1" s="1"/>
  <c r="T541" i="1" s="1"/>
  <c r="O222" i="1"/>
  <c r="Q222" i="1" s="1"/>
  <c r="O308" i="1"/>
  <c r="O73" i="1"/>
  <c r="R73" i="1" s="1"/>
  <c r="T73" i="1" s="1"/>
  <c r="O488" i="1"/>
  <c r="Q488" i="1" s="1"/>
  <c r="O234" i="1"/>
  <c r="Q234" i="1" s="1"/>
  <c r="O472" i="1"/>
  <c r="R472" i="1" s="1"/>
  <c r="T472" i="1" s="1"/>
  <c r="O217" i="1"/>
  <c r="Q217" i="1" s="1"/>
  <c r="O502" i="1"/>
  <c r="Q502" i="1" s="1"/>
  <c r="O247" i="1"/>
  <c r="Q247" i="1" s="1"/>
  <c r="O1599" i="1"/>
  <c r="Q1599" i="1" s="1"/>
  <c r="O1473" i="1"/>
  <c r="Q1473" i="1" s="1"/>
  <c r="O1540" i="1"/>
  <c r="Q1540" i="1" s="1"/>
  <c r="O1636" i="1"/>
  <c r="Q1636" i="1" s="1"/>
  <c r="O1162" i="1"/>
  <c r="Q1162" i="1" s="1"/>
  <c r="O1141" i="1"/>
  <c r="Q1141" i="1" s="1"/>
  <c r="O1619" i="1"/>
  <c r="Q1619" i="1" s="1"/>
  <c r="O1588" i="1"/>
  <c r="Q1588" i="1" s="1"/>
  <c r="O1544" i="1"/>
  <c r="R1544" i="1" s="1"/>
  <c r="T1544" i="1" s="1"/>
  <c r="O1158" i="1"/>
  <c r="Q1158" i="1" s="1"/>
  <c r="O1459" i="1"/>
  <c r="Q1459" i="1" s="1"/>
  <c r="O1604" i="1"/>
  <c r="Q1604" i="1" s="1"/>
  <c r="O1199" i="1"/>
  <c r="Q1199" i="1" s="1"/>
  <c r="O1488" i="1"/>
  <c r="Q1488" i="1" s="1"/>
  <c r="O1320" i="1"/>
  <c r="Q1320" i="1" s="1"/>
  <c r="O1665" i="1"/>
  <c r="Q1665" i="1" s="1"/>
  <c r="O1339" i="1"/>
  <c r="Q1339" i="1" s="1"/>
  <c r="O1456" i="1"/>
  <c r="Q1456" i="1" s="1"/>
  <c r="O1196" i="1"/>
  <c r="Q1196" i="1" s="1"/>
  <c r="O1551" i="1"/>
  <c r="R1551" i="1" s="1"/>
  <c r="T1551" i="1" s="1"/>
  <c r="O674" i="1"/>
  <c r="Q674" i="1" s="1"/>
  <c r="O696" i="1"/>
  <c r="Q696" i="1" s="1"/>
  <c r="O721" i="1"/>
  <c r="Q721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117" i="1"/>
  <c r="R117" i="1" s="1"/>
  <c r="T117" i="1" s="1"/>
  <c r="O113" i="1"/>
  <c r="Q113" i="1" s="1"/>
  <c r="O142" i="1"/>
  <c r="R142" i="1" s="1"/>
  <c r="T142" i="1" s="1"/>
  <c r="O379" i="1"/>
  <c r="O164" i="1"/>
  <c r="Q164" i="1" s="1"/>
  <c r="O62" i="1"/>
  <c r="R62" i="1" s="1"/>
  <c r="T62" i="1" s="1"/>
  <c r="O125" i="1"/>
  <c r="O1322" i="1"/>
  <c r="Q1322" i="1" s="1"/>
  <c r="O1661" i="1"/>
  <c r="O1662" i="1"/>
  <c r="Q1662" i="1" s="1"/>
  <c r="O1547" i="1"/>
  <c r="Q1547" i="1" s="1"/>
  <c r="O1444" i="1"/>
  <c r="Q1444" i="1" s="1"/>
  <c r="O659" i="1"/>
  <c r="R659" i="1" s="1"/>
  <c r="T659" i="1" s="1"/>
  <c r="O587" i="1"/>
  <c r="R587" i="1" s="1"/>
  <c r="T587" i="1" s="1"/>
  <c r="O573" i="1"/>
  <c r="Q573" i="1" s="1"/>
  <c r="O549" i="1"/>
  <c r="Q549" i="1" s="1"/>
  <c r="O627" i="1"/>
  <c r="R627" i="1" s="1"/>
  <c r="T627" i="1" s="1"/>
  <c r="O642" i="1"/>
  <c r="Q642" i="1" s="1"/>
  <c r="O321" i="1"/>
  <c r="R321" i="1" s="1"/>
  <c r="T321" i="1" s="1"/>
  <c r="O150" i="1"/>
  <c r="R150" i="1" s="1"/>
  <c r="T150" i="1" s="1"/>
  <c r="O254" i="1"/>
  <c r="R254" i="1" s="1"/>
  <c r="T254" i="1" s="1"/>
  <c r="O273" i="1"/>
  <c r="R273" i="1" s="1"/>
  <c r="T273" i="1" s="1"/>
  <c r="O382" i="1"/>
  <c r="Q382" i="1" s="1"/>
  <c r="O305" i="1"/>
  <c r="Q305" i="1" s="1"/>
  <c r="O395" i="1"/>
  <c r="R395" i="1" s="1"/>
  <c r="T395" i="1" s="1"/>
  <c r="O292" i="1"/>
  <c r="Q292" i="1" s="1"/>
  <c r="O462" i="1"/>
  <c r="Q462" i="1" s="1"/>
  <c r="O106" i="1"/>
  <c r="R106" i="1" s="1"/>
  <c r="T106" i="1" s="1"/>
  <c r="O187" i="1"/>
  <c r="Q187" i="1" s="1"/>
  <c r="O473" i="1"/>
  <c r="R473" i="1" s="1"/>
  <c r="T473" i="1" s="1"/>
  <c r="O218" i="1"/>
  <c r="Q218" i="1" s="1"/>
  <c r="O457" i="1"/>
  <c r="Q457" i="1" s="1"/>
  <c r="O201" i="1"/>
  <c r="Q201" i="1" s="1"/>
  <c r="O486" i="1"/>
  <c r="Q486" i="1" s="1"/>
  <c r="O1276" i="1"/>
  <c r="Q1276" i="1" s="1"/>
  <c r="O1609" i="1"/>
  <c r="Q1609" i="1" s="1"/>
  <c r="O1586" i="1"/>
  <c r="R1586" i="1" s="1"/>
  <c r="T1586" i="1" s="1"/>
  <c r="O1572" i="1"/>
  <c r="Q1572" i="1" s="1"/>
  <c r="O1668" i="1"/>
  <c r="Q1668" i="1" s="1"/>
  <c r="O1666" i="1"/>
  <c r="Q1666" i="1" s="1"/>
  <c r="O1631" i="1"/>
  <c r="Q1631" i="1" s="1"/>
  <c r="O1589" i="1"/>
  <c r="Q1589" i="1" s="1"/>
  <c r="O1554" i="1"/>
  <c r="Q1554" i="1" s="1"/>
  <c r="O1286" i="1"/>
  <c r="Q1286" i="1" s="1"/>
  <c r="O1437" i="1"/>
  <c r="Q1437" i="1" s="1"/>
  <c r="O1581" i="1"/>
  <c r="O1176" i="1"/>
  <c r="Q1176" i="1" s="1"/>
  <c r="O1304" i="1"/>
  <c r="Q1304" i="1" s="1"/>
  <c r="O1346" i="1"/>
  <c r="O1645" i="1"/>
  <c r="R1645" i="1" s="1"/>
  <c r="T1645" i="1" s="1"/>
  <c r="O1180" i="1"/>
  <c r="Q1180" i="1" s="1"/>
  <c r="O1227" i="1"/>
  <c r="Q1227" i="1" s="1"/>
  <c r="O658" i="1"/>
  <c r="R658" i="1" s="1"/>
  <c r="T658" i="1" s="1"/>
  <c r="O712" i="1"/>
  <c r="Q712" i="1" s="1"/>
  <c r="O705" i="1"/>
  <c r="Q705" i="1" s="1"/>
  <c r="O1107" i="1"/>
  <c r="Q1107" i="1" s="1"/>
  <c r="O1856" i="1"/>
  <c r="Q1856" i="1" s="1"/>
  <c r="O1868" i="1"/>
  <c r="Q1868" i="1" s="1"/>
  <c r="O1679" i="1"/>
  <c r="O2195" i="1"/>
  <c r="Q2195" i="1" s="1"/>
  <c r="O1670" i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1" i="1"/>
  <c r="O1914" i="1"/>
  <c r="Q1914" i="1" s="1"/>
  <c r="O2206" i="1"/>
  <c r="Q2206" i="1" s="1"/>
  <c r="O1758" i="1"/>
  <c r="Q1758" i="1" s="1"/>
  <c r="O1695" i="1"/>
  <c r="Q1695" i="1" s="1"/>
  <c r="O918" i="1"/>
  <c r="Q918" i="1" s="1"/>
  <c r="O814" i="1"/>
  <c r="R814" i="1" s="1"/>
  <c r="T814" i="1" s="1"/>
  <c r="O1036" i="1"/>
  <c r="Q1036" i="1" s="1"/>
  <c r="O738" i="1"/>
  <c r="Q738" i="1" s="1"/>
  <c r="O783" i="1"/>
  <c r="Q783" i="1" s="1"/>
  <c r="O1091" i="1"/>
  <c r="Q1091" i="1" s="1"/>
  <c r="O1057" i="1"/>
  <c r="Q1057" i="1" s="1"/>
  <c r="O948" i="1"/>
  <c r="Q948" i="1" s="1"/>
  <c r="O1002" i="1"/>
  <c r="Q1002" i="1" s="1"/>
  <c r="O772" i="1"/>
  <c r="Q772" i="1" s="1"/>
  <c r="O904" i="1"/>
  <c r="Q904" i="1" s="1"/>
  <c r="O755" i="1"/>
  <c r="Q755" i="1" s="1"/>
  <c r="O779" i="1"/>
  <c r="Q779" i="1" s="1"/>
  <c r="O894" i="1"/>
  <c r="Q894" i="1" s="1"/>
  <c r="O876" i="1"/>
  <c r="Q876" i="1" s="1"/>
  <c r="O747" i="1"/>
  <c r="Q747" i="1" s="1"/>
  <c r="O1102" i="1"/>
  <c r="Q1102" i="1" s="1"/>
  <c r="O773" i="1"/>
  <c r="Q773" i="1" s="1"/>
  <c r="O1096" i="1"/>
  <c r="Q1096" i="1" s="1"/>
  <c r="O982" i="1"/>
  <c r="Q982" i="1" s="1"/>
  <c r="O812" i="1"/>
  <c r="O849" i="1"/>
  <c r="Q849" i="1" s="1"/>
  <c r="O766" i="1"/>
  <c r="Q766" i="1" s="1"/>
  <c r="O990" i="1"/>
  <c r="Q990" i="1" s="1"/>
  <c r="O853" i="1"/>
  <c r="Q853" i="1" s="1"/>
  <c r="O940" i="1"/>
  <c r="Q940" i="1" s="1"/>
  <c r="O987" i="1"/>
  <c r="Q987" i="1" s="1"/>
  <c r="O966" i="1"/>
  <c r="R966" i="1" s="1"/>
  <c r="T966" i="1" s="1"/>
  <c r="O873" i="1"/>
  <c r="Q873" i="1" s="1"/>
  <c r="O961" i="1"/>
  <c r="Q961" i="1" s="1"/>
  <c r="O842" i="1"/>
  <c r="Q842" i="1" s="1"/>
  <c r="O864" i="1"/>
  <c r="Q864" i="1" s="1"/>
  <c r="O840" i="1"/>
  <c r="Q840" i="1" s="1"/>
  <c r="O986" i="1"/>
  <c r="R986" i="1" s="1"/>
  <c r="T986" i="1" s="1"/>
  <c r="O808" i="1"/>
  <c r="O806" i="1"/>
  <c r="R806" i="1" s="1"/>
  <c r="T806" i="1" s="1"/>
  <c r="O739" i="1"/>
  <c r="Q739" i="1" s="1"/>
  <c r="O998" i="1"/>
  <c r="Q998" i="1" s="1"/>
  <c r="O1062" i="1"/>
  <c r="Q1062" i="1" s="1"/>
  <c r="O956" i="1"/>
  <c r="Q956" i="1" s="1"/>
  <c r="O877" i="1"/>
  <c r="Q877" i="1" s="1"/>
  <c r="O930" i="1"/>
  <c r="Q930" i="1" s="1"/>
  <c r="O780" i="1"/>
  <c r="Q780" i="1" s="1"/>
  <c r="O1009" i="1"/>
  <c r="R1009" i="1" s="1"/>
  <c r="T1009" i="1" s="1"/>
  <c r="O793" i="1"/>
  <c r="Q793" i="1" s="1"/>
  <c r="O839" i="1"/>
  <c r="Q839" i="1" s="1"/>
  <c r="O1043" i="1"/>
  <c r="Q1043" i="1" s="1"/>
  <c r="O845" i="1"/>
  <c r="Q845" i="1" s="1"/>
  <c r="O901" i="1"/>
  <c r="R901" i="1" s="1"/>
  <c r="T901" i="1" s="1"/>
  <c r="O926" i="1"/>
  <c r="Q926" i="1" s="1"/>
  <c r="O1022" i="1"/>
  <c r="Q1022" i="1" s="1"/>
  <c r="O964" i="1"/>
  <c r="Q964" i="1" s="1"/>
  <c r="O984" i="1"/>
  <c r="Q984" i="1" s="1"/>
  <c r="O836" i="1"/>
  <c r="Q836" i="1" s="1"/>
  <c r="O903" i="1"/>
  <c r="Q903" i="1" s="1"/>
  <c r="O761" i="1"/>
  <c r="Q761" i="1" s="1"/>
  <c r="O1083" i="1"/>
  <c r="Q1083" i="1" s="1"/>
  <c r="O1046" i="1"/>
  <c r="Q1046" i="1" s="1"/>
  <c r="O765" i="1"/>
  <c r="Q765" i="1" s="1"/>
  <c r="O1065" i="1"/>
  <c r="Q1065" i="1" s="1"/>
  <c r="O830" i="1"/>
  <c r="Q830" i="1" s="1"/>
  <c r="O922" i="1"/>
  <c r="Q922" i="1" s="1"/>
  <c r="O1020" i="1"/>
  <c r="Q1020" i="1" s="1"/>
  <c r="O828" i="1"/>
  <c r="Q828" i="1" s="1"/>
  <c r="O891" i="1"/>
  <c r="Q891" i="1" s="1"/>
  <c r="O879" i="1"/>
  <c r="Q879" i="1" s="1"/>
  <c r="O958" i="1"/>
  <c r="Q958" i="1" s="1"/>
  <c r="O801" i="1"/>
  <c r="O1070" i="1"/>
  <c r="Q1070" i="1" s="1"/>
  <c r="O896" i="1"/>
  <c r="Q896" i="1" s="1"/>
  <c r="O938" i="1"/>
  <c r="R938" i="1" s="1"/>
  <c r="T938" i="1" s="1"/>
  <c r="O985" i="1"/>
  <c r="R985" i="1" s="1"/>
  <c r="T985" i="1" s="1"/>
  <c r="O991" i="1"/>
  <c r="Q991" i="1" s="1"/>
  <c r="O822" i="1"/>
  <c r="O1089" i="1"/>
  <c r="O752" i="1"/>
  <c r="O1069" i="1"/>
  <c r="Q1069" i="1" s="1"/>
  <c r="O897" i="1"/>
  <c r="Q897" i="1" s="1"/>
  <c r="O861" i="1"/>
  <c r="Q861" i="1" s="1"/>
  <c r="O1052" i="1"/>
  <c r="Q1052" i="1" s="1"/>
  <c r="O767" i="1"/>
  <c r="Q767" i="1" s="1"/>
  <c r="O838" i="1"/>
  <c r="Q838" i="1" s="1"/>
  <c r="O1044" i="1"/>
  <c r="Q1044" i="1" s="1"/>
  <c r="O1001" i="1"/>
  <c r="R1001" i="1" s="1"/>
  <c r="T1001" i="1" s="1"/>
  <c r="O993" i="1"/>
  <c r="Q993" i="1" s="1"/>
  <c r="O882" i="1"/>
  <c r="R882" i="1" s="1"/>
  <c r="T882" i="1" s="1"/>
  <c r="O1101" i="1"/>
  <c r="Q1101" i="1" s="1"/>
  <c r="O995" i="1"/>
  <c r="Q995" i="1" s="1"/>
  <c r="O820" i="1"/>
  <c r="O978" i="1"/>
  <c r="Q978" i="1" s="1"/>
  <c r="O1011" i="1"/>
  <c r="Q1011" i="1" s="1"/>
  <c r="O799" i="1"/>
  <c r="O960" i="1"/>
  <c r="Q960" i="1" s="1"/>
  <c r="O1038" i="1"/>
  <c r="Q1038" i="1" s="1"/>
  <c r="O824" i="1"/>
  <c r="Q824" i="1" s="1"/>
  <c r="O927" i="1"/>
  <c r="Q927" i="1" s="1"/>
  <c r="O1004" i="1"/>
  <c r="Q1004" i="1" s="1"/>
  <c r="O868" i="1"/>
  <c r="R868" i="1" s="1"/>
  <c r="T868" i="1" s="1"/>
  <c r="O756" i="1"/>
  <c r="Q756" i="1" s="1"/>
  <c r="O906" i="1"/>
  <c r="Q906" i="1" s="1"/>
  <c r="O835" i="1"/>
  <c r="Q835" i="1" s="1"/>
  <c r="O771" i="1"/>
  <c r="Q771" i="1" s="1"/>
  <c r="O736" i="1"/>
  <c r="Q736" i="1" s="1"/>
  <c r="O789" i="1"/>
  <c r="Q789" i="1" s="1"/>
  <c r="O1041" i="1"/>
  <c r="Q1041" i="1" s="1"/>
  <c r="O867" i="1"/>
  <c r="Q867" i="1" s="1"/>
  <c r="O1056" i="1"/>
  <c r="Q1056" i="1" s="1"/>
  <c r="O1088" i="1"/>
  <c r="O857" i="1"/>
  <c r="Q857" i="1" s="1"/>
  <c r="O994" i="1"/>
  <c r="Q994" i="1" s="1"/>
  <c r="O833" i="1"/>
  <c r="Q833" i="1" s="1"/>
  <c r="O831" i="1"/>
  <c r="Q831" i="1" s="1"/>
  <c r="O826" i="1"/>
  <c r="Q826" i="1" s="1"/>
  <c r="O947" i="1"/>
  <c r="Q947" i="1" s="1"/>
  <c r="O751" i="1"/>
  <c r="O777" i="1"/>
  <c r="Q777" i="1" s="1"/>
  <c r="O880" i="1"/>
  <c r="Q880" i="1" s="1"/>
  <c r="O959" i="1"/>
  <c r="Q959" i="1" s="1"/>
  <c r="O790" i="1"/>
  <c r="Q790" i="1" s="1"/>
  <c r="O1103" i="1"/>
  <c r="Q1103" i="1" s="1"/>
  <c r="O776" i="1"/>
  <c r="Q776" i="1" s="1"/>
  <c r="O924" i="1"/>
  <c r="Q924" i="1" s="1"/>
  <c r="O798" i="1"/>
  <c r="O1061" i="1"/>
  <c r="Q1061" i="1" s="1"/>
  <c r="O963" i="1"/>
  <c r="Q963" i="1" s="1"/>
  <c r="O965" i="1"/>
  <c r="Q965" i="1" s="1"/>
  <c r="O1039" i="1"/>
  <c r="Q1039" i="1" s="1"/>
  <c r="O813" i="1"/>
  <c r="O1060" i="1"/>
  <c r="Q1060" i="1" s="1"/>
  <c r="O825" i="1"/>
  <c r="Q825" i="1" s="1"/>
  <c r="O914" i="1"/>
  <c r="Q914" i="1" s="1"/>
  <c r="O941" i="1"/>
  <c r="Q941" i="1" s="1"/>
  <c r="O1048" i="1"/>
  <c r="Q1048" i="1" s="1"/>
  <c r="O934" i="1"/>
  <c r="Q934" i="1" s="1"/>
  <c r="O916" i="1"/>
  <c r="Q916" i="1" s="1"/>
  <c r="O770" i="1"/>
  <c r="Q770" i="1" s="1"/>
  <c r="O768" i="1"/>
  <c r="Q768" i="1" s="1"/>
  <c r="O971" i="1"/>
  <c r="Q971" i="1" s="1"/>
  <c r="O908" i="1"/>
  <c r="Q908" i="1" s="1"/>
  <c r="O797" i="1"/>
  <c r="O782" i="1"/>
  <c r="Q782" i="1" s="1"/>
  <c r="O846" i="1"/>
  <c r="Q846" i="1" s="1"/>
  <c r="O895" i="1"/>
  <c r="Q895" i="1" s="1"/>
  <c r="O884" i="1"/>
  <c r="Q884" i="1" s="1"/>
  <c r="O1077" i="1"/>
  <c r="Q1077" i="1" s="1"/>
  <c r="O889" i="1"/>
  <c r="Q889" i="1" s="1"/>
  <c r="O1076" i="1"/>
  <c r="Q1076" i="1" s="1"/>
  <c r="O860" i="1"/>
  <c r="Q860" i="1" s="1"/>
  <c r="O811" i="1"/>
  <c r="O1086" i="1"/>
  <c r="Q1086" i="1" s="1"/>
  <c r="O1097" i="1"/>
  <c r="Q1097" i="1" s="1"/>
  <c r="O870" i="1"/>
  <c r="R870" i="1" s="1"/>
  <c r="T870" i="1" s="1"/>
  <c r="O750" i="1"/>
  <c r="O785" i="1"/>
  <c r="Q785" i="1" s="1"/>
  <c r="O1081" i="1"/>
  <c r="Q1081" i="1" s="1"/>
  <c r="O764" i="1"/>
  <c r="Q764" i="1" s="1"/>
  <c r="O794" i="1"/>
  <c r="Q794" i="1" s="1"/>
  <c r="O1068" i="1"/>
  <c r="Q1068" i="1" s="1"/>
  <c r="O970" i="1"/>
  <c r="Q970" i="1" s="1"/>
  <c r="O968" i="1"/>
  <c r="R968" i="1" s="1"/>
  <c r="T968" i="1" s="1"/>
  <c r="O805" i="1"/>
  <c r="O760" i="1"/>
  <c r="Q760" i="1" s="1"/>
  <c r="O1084" i="1"/>
  <c r="Q1084" i="1" s="1"/>
  <c r="O800" i="1"/>
  <c r="O962" i="1"/>
  <c r="Q962" i="1" s="1"/>
  <c r="O1040" i="1"/>
  <c r="Q1040" i="1" s="1"/>
  <c r="O855" i="1"/>
  <c r="Q855" i="1" s="1"/>
  <c r="O944" i="1"/>
  <c r="Q944" i="1" s="1"/>
  <c r="O1028" i="1"/>
  <c r="Q1028" i="1" s="1"/>
  <c r="O823" i="1"/>
  <c r="Q823" i="1" s="1"/>
  <c r="O913" i="1"/>
  <c r="Q913" i="1" s="1"/>
  <c r="O1050" i="1"/>
  <c r="Q1050" i="1" s="1"/>
  <c r="O809" i="1"/>
  <c r="O892" i="1"/>
  <c r="Q892" i="1" s="1"/>
  <c r="O1005" i="1"/>
  <c r="Q1005" i="1" s="1"/>
  <c r="O967" i="1"/>
  <c r="R967" i="1" s="1"/>
  <c r="T967" i="1" s="1"/>
  <c r="O856" i="1"/>
  <c r="Q856" i="1" s="1"/>
  <c r="O1072" i="1"/>
  <c r="Q1072" i="1" s="1"/>
  <c r="O878" i="1"/>
  <c r="R878" i="1" s="1"/>
  <c r="T878" i="1" s="1"/>
  <c r="O969" i="1"/>
  <c r="Q969" i="1" s="1"/>
  <c r="O883" i="1"/>
  <c r="Q883" i="1" s="1"/>
  <c r="O787" i="1"/>
  <c r="Q787" i="1" s="1"/>
  <c r="O749" i="1"/>
  <c r="O1003" i="1"/>
  <c r="Q1003" i="1" s="1"/>
  <c r="O869" i="1"/>
  <c r="R869" i="1" s="1"/>
  <c r="T869" i="1" s="1"/>
  <c r="O1032" i="1"/>
  <c r="Q1032" i="1" s="1"/>
  <c r="O837" i="1"/>
  <c r="Q837" i="1" s="1"/>
  <c r="O810" i="1"/>
  <c r="O983" i="1"/>
  <c r="Q983" i="1" s="1"/>
  <c r="O763" i="1"/>
  <c r="Q763" i="1" s="1"/>
  <c r="O1051" i="1"/>
  <c r="Q1051" i="1" s="1"/>
  <c r="O1090" i="1"/>
  <c r="Q1090" i="1" s="1"/>
  <c r="O911" i="1"/>
  <c r="Q911" i="1" s="1"/>
  <c r="O746" i="1"/>
  <c r="Q746" i="1" s="1"/>
  <c r="O953" i="1"/>
  <c r="Q953" i="1" s="1"/>
  <c r="O977" i="1"/>
  <c r="Q977" i="1" s="1"/>
  <c r="O1037" i="1"/>
  <c r="Q1037" i="1" s="1"/>
  <c r="O1093" i="1"/>
  <c r="Q1093" i="1" s="1"/>
  <c r="O748" i="1"/>
  <c r="O1000" i="1"/>
  <c r="R1000" i="1" s="1"/>
  <c r="T1000" i="1" s="1"/>
  <c r="O992" i="1"/>
  <c r="Q992" i="1" s="1"/>
  <c r="O795" i="1"/>
  <c r="Q795" i="1" s="1"/>
  <c r="O1027" i="1"/>
  <c r="Q1027" i="1" s="1"/>
  <c r="O999" i="1"/>
  <c r="Q999" i="1" s="1"/>
  <c r="O887" i="1"/>
  <c r="Q887" i="1" s="1"/>
  <c r="O1025" i="1"/>
  <c r="Q1025" i="1" s="1"/>
  <c r="O898" i="1"/>
  <c r="Q898" i="1" s="1"/>
  <c r="O945" i="1"/>
  <c r="Q945" i="1" s="1"/>
  <c r="O928" i="1"/>
  <c r="Q928" i="1" s="1"/>
  <c r="O917" i="1"/>
  <c r="Q917" i="1" s="1"/>
  <c r="O788" i="1"/>
  <c r="Q788" i="1" s="1"/>
  <c r="O1094" i="1"/>
  <c r="Q1094" i="1" s="1"/>
  <c r="O935" i="1"/>
  <c r="Q935" i="1" s="1"/>
  <c r="O909" i="1"/>
  <c r="Q909" i="1" s="1"/>
  <c r="O949" i="1"/>
  <c r="Q949" i="1" s="1"/>
  <c r="O1029" i="1"/>
  <c r="Q1029" i="1" s="1"/>
  <c r="O890" i="1"/>
  <c r="Q890" i="1" s="1"/>
  <c r="O759" i="1"/>
  <c r="Q759" i="1" s="1"/>
  <c r="O753" i="1"/>
  <c r="O937" i="1"/>
  <c r="Q937" i="1" s="1"/>
  <c r="O774" i="1"/>
  <c r="Q774" i="1" s="1"/>
  <c r="O1014" i="1"/>
  <c r="O1071" i="1"/>
  <c r="Q1071" i="1" s="1"/>
  <c r="O1098" i="1"/>
  <c r="Q1098" i="1" s="1"/>
  <c r="O885" i="1"/>
  <c r="Q885" i="1" s="1"/>
  <c r="O988" i="1"/>
  <c r="Q988" i="1" s="1"/>
  <c r="O742" i="1"/>
  <c r="Q742" i="1" s="1"/>
  <c r="O1099" i="1"/>
  <c r="Q1099" i="1" s="1"/>
  <c r="O803" i="1"/>
  <c r="O1049" i="1"/>
  <c r="Q1049" i="1" s="1"/>
  <c r="O1016" i="1"/>
  <c r="O866" i="1"/>
  <c r="Q866" i="1" s="1"/>
  <c r="O936" i="1"/>
  <c r="Q936" i="1" s="1"/>
  <c r="O784" i="1"/>
  <c r="Q784" i="1" s="1"/>
  <c r="O754" i="1"/>
  <c r="O974" i="1"/>
  <c r="Q974" i="1" s="1"/>
  <c r="O875" i="1"/>
  <c r="Q875" i="1" s="1"/>
  <c r="O972" i="1"/>
  <c r="Q972" i="1" s="1"/>
  <c r="O816" i="1"/>
  <c r="O1054" i="1"/>
  <c r="Q1054" i="1" s="1"/>
  <c r="O762" i="1"/>
  <c r="Q762" i="1" s="1"/>
  <c r="O1059" i="1"/>
  <c r="O1067" i="1"/>
  <c r="Q1067" i="1" s="1"/>
  <c r="O850" i="1"/>
  <c r="Q850" i="1" s="1"/>
  <c r="O1082" i="1"/>
  <c r="Q1082" i="1" s="1"/>
  <c r="O872" i="1"/>
  <c r="Q872" i="1" s="1"/>
  <c r="O942" i="1"/>
  <c r="Q942" i="1" s="1"/>
  <c r="O819" i="1"/>
  <c r="O821" i="1"/>
  <c r="O862" i="1"/>
  <c r="Q862" i="1" s="1"/>
  <c r="O1047" i="1"/>
  <c r="Q1047" i="1" s="1"/>
  <c r="O807" i="1"/>
  <c r="O744" i="1"/>
  <c r="Q744" i="1" s="1"/>
  <c r="O827" i="1"/>
  <c r="Q827" i="1" s="1"/>
  <c r="O1010" i="1"/>
  <c r="Q1010" i="1" s="1"/>
  <c r="O1033" i="1"/>
  <c r="Q1033" i="1" s="1"/>
  <c r="O1021" i="1"/>
  <c r="R1021" i="1" s="1"/>
  <c r="T1021" i="1" s="1"/>
  <c r="O792" i="1"/>
  <c r="Q792" i="1" s="1"/>
  <c r="O791" i="1"/>
  <c r="Q791" i="1" s="1"/>
  <c r="O1015" i="1"/>
  <c r="O939" i="1"/>
  <c r="Q939" i="1" s="1"/>
  <c r="O1080" i="1"/>
  <c r="Q1080" i="1" s="1"/>
  <c r="O1023" i="1"/>
  <c r="Q1023" i="1" s="1"/>
  <c r="O775" i="1"/>
  <c r="Q775" i="1" s="1"/>
  <c r="O834" i="1"/>
  <c r="Q834" i="1" s="1"/>
  <c r="O848" i="1"/>
  <c r="Q848" i="1" s="1"/>
  <c r="O1012" i="1"/>
  <c r="Q1012" i="1" s="1"/>
  <c r="O1042" i="1"/>
  <c r="Q1042" i="1" s="1"/>
  <c r="O858" i="1"/>
  <c r="Q858" i="1" s="1"/>
  <c r="O946" i="1"/>
  <c r="R946" i="1" s="1"/>
  <c r="T946" i="1" s="1"/>
  <c r="O1030" i="1"/>
  <c r="Q1030" i="1" s="1"/>
  <c r="O844" i="1"/>
  <c r="Q844" i="1" s="1"/>
  <c r="O929" i="1"/>
  <c r="Q929" i="1" s="1"/>
  <c r="O737" i="1"/>
  <c r="Q737" i="1" s="1"/>
  <c r="O1073" i="1"/>
  <c r="Q1073" i="1" s="1"/>
  <c r="O900" i="1"/>
  <c r="Q900" i="1" s="1"/>
  <c r="O1018" i="1"/>
  <c r="O852" i="1"/>
  <c r="R852" i="1" s="1"/>
  <c r="T852" i="1" s="1"/>
  <c r="O865" i="1"/>
  <c r="Q865" i="1" s="1"/>
  <c r="O950" i="1"/>
  <c r="Q950" i="1" s="1"/>
  <c r="O1087" i="1"/>
  <c r="Q1087" i="1" s="1"/>
  <c r="O745" i="1"/>
  <c r="Q745" i="1" s="1"/>
  <c r="O902" i="1"/>
  <c r="Q902" i="1" s="1"/>
  <c r="O863" i="1"/>
  <c r="Q863" i="1" s="1"/>
  <c r="O874" i="1"/>
  <c r="R874" i="1" s="1"/>
  <c r="T874" i="1" s="1"/>
  <c r="O932" i="1"/>
  <c r="Q932" i="1" s="1"/>
  <c r="O1100" i="1"/>
  <c r="Q1100" i="1" s="1"/>
  <c r="O888" i="1"/>
  <c r="Q888" i="1" s="1"/>
  <c r="O829" i="1"/>
  <c r="Q829" i="1" s="1"/>
  <c r="O1013" i="1"/>
  <c r="O1058" i="1"/>
  <c r="O975" i="1"/>
  <c r="Q975" i="1" s="1"/>
  <c r="O769" i="1"/>
  <c r="Q769" i="1" s="1"/>
  <c r="O893" i="1"/>
  <c r="Q893" i="1" s="1"/>
  <c r="O1053" i="1"/>
  <c r="O1085" i="1"/>
  <c r="Q1085" i="1" s="1"/>
  <c r="O1092" i="1"/>
  <c r="Q1092" i="1" s="1"/>
  <c r="O871" i="1"/>
  <c r="R871" i="1" s="1"/>
  <c r="T871" i="1" s="1"/>
  <c r="O989" i="1"/>
  <c r="R989" i="1" s="1"/>
  <c r="T989" i="1" s="1"/>
  <c r="O919" i="1"/>
  <c r="Q919" i="1" s="1"/>
  <c r="O804" i="1"/>
  <c r="O996" i="1"/>
  <c r="Q996" i="1" s="1"/>
  <c r="O981" i="1"/>
  <c r="Q981" i="1" s="1"/>
  <c r="O943" i="1"/>
  <c r="Q943" i="1" s="1"/>
  <c r="O973" i="1"/>
  <c r="Q973" i="1" s="1"/>
  <c r="O802" i="1"/>
  <c r="O920" i="1"/>
  <c r="R920" i="1" s="1"/>
  <c r="T920" i="1" s="1"/>
  <c r="O1035" i="1"/>
  <c r="R1035" i="1" s="1"/>
  <c r="T1035" i="1" s="1"/>
  <c r="O1006" i="1"/>
  <c r="Q1006" i="1" s="1"/>
  <c r="O854" i="1"/>
  <c r="Q854" i="1" s="1"/>
  <c r="O957" i="1"/>
  <c r="Q957" i="1" s="1"/>
  <c r="O923" i="1"/>
  <c r="Q923" i="1" s="1"/>
  <c r="O859" i="1"/>
  <c r="Q859" i="1" s="1"/>
  <c r="O743" i="1"/>
  <c r="R743" i="1" s="1"/>
  <c r="T743" i="1" s="1"/>
  <c r="O1019" i="1"/>
  <c r="O843" i="1"/>
  <c r="Q843" i="1" s="1"/>
  <c r="O1066" i="1"/>
  <c r="Q1066" i="1" s="1"/>
  <c r="O933" i="1"/>
  <c r="Q933" i="1" s="1"/>
  <c r="O818" i="1"/>
  <c r="O740" i="1"/>
  <c r="Q740" i="1" s="1"/>
  <c r="O881" i="1"/>
  <c r="Q881" i="1" s="1"/>
  <c r="O1008" i="1"/>
  <c r="Q1008" i="1" s="1"/>
  <c r="O997" i="1"/>
  <c r="Q997" i="1" s="1"/>
  <c r="O1024" i="1"/>
  <c r="Q1024" i="1" s="1"/>
  <c r="O1064" i="1"/>
  <c r="Q1064" i="1" s="1"/>
  <c r="O912" i="1"/>
  <c r="Q912" i="1" s="1"/>
  <c r="O757" i="1"/>
  <c r="Q757" i="1" s="1"/>
  <c r="O778" i="1"/>
  <c r="Q778" i="1" s="1"/>
  <c r="O954" i="1"/>
  <c r="Q954" i="1" s="1"/>
  <c r="O907" i="1"/>
  <c r="Q907" i="1" s="1"/>
  <c r="O1095" i="1"/>
  <c r="Q1095" i="1" s="1"/>
  <c r="O899" i="1"/>
  <c r="Q899" i="1" s="1"/>
  <c r="O1017" i="1"/>
  <c r="O851" i="1"/>
  <c r="Q851" i="1" s="1"/>
  <c r="O925" i="1"/>
  <c r="Q925" i="1" s="1"/>
  <c r="O758" i="1"/>
  <c r="Q758" i="1" s="1"/>
  <c r="O1007" i="1"/>
  <c r="R1007" i="1" s="1"/>
  <c r="T1007" i="1" s="1"/>
  <c r="O979" i="1"/>
  <c r="Q979" i="1" s="1"/>
  <c r="O886" i="1"/>
  <c r="Q886" i="1" s="1"/>
  <c r="O905" i="1"/>
  <c r="Q905" i="1" s="1"/>
  <c r="O832" i="1"/>
  <c r="Q832" i="1" s="1"/>
  <c r="O976" i="1"/>
  <c r="R976" i="1" s="1"/>
  <c r="T976" i="1" s="1"/>
  <c r="O921" i="1"/>
  <c r="Q921" i="1" s="1"/>
  <c r="O980" i="1"/>
  <c r="Q980" i="1" s="1"/>
  <c r="O952" i="1"/>
  <c r="Q952" i="1" s="1"/>
  <c r="O951" i="1"/>
  <c r="Q951" i="1" s="1"/>
  <c r="O786" i="1"/>
  <c r="Q786" i="1" s="1"/>
  <c r="O910" i="1"/>
  <c r="Q910" i="1" s="1"/>
  <c r="O1063" i="1"/>
  <c r="Q1063" i="1" s="1"/>
  <c r="O1079" i="1"/>
  <c r="Q1079" i="1" s="1"/>
  <c r="O955" i="1"/>
  <c r="Q955" i="1" s="1"/>
  <c r="O1078" i="1"/>
  <c r="Q1078" i="1" s="1"/>
  <c r="O1045" i="1"/>
  <c r="Q1045" i="1" s="1"/>
  <c r="O1034" i="1"/>
  <c r="Q1034" i="1" s="1"/>
  <c r="O1031" i="1"/>
  <c r="Q1031" i="1" s="1"/>
  <c r="O847" i="1"/>
  <c r="Q847" i="1" s="1"/>
  <c r="O931" i="1"/>
  <c r="Q931" i="1" s="1"/>
  <c r="O741" i="1"/>
  <c r="Q741" i="1" s="1"/>
  <c r="O817" i="1"/>
  <c r="O915" i="1"/>
  <c r="Q915" i="1" s="1"/>
  <c r="O781" i="1"/>
  <c r="Q781" i="1" s="1"/>
  <c r="O1055" i="1"/>
  <c r="Q1055" i="1" s="1"/>
  <c r="O815" i="1"/>
  <c r="O1026" i="1"/>
  <c r="Q1026" i="1" s="1"/>
  <c r="O796" i="1"/>
  <c r="O841" i="1"/>
  <c r="Q841" i="1" s="1"/>
  <c r="R16" i="1" l="1"/>
  <c r="T16" i="1" s="1"/>
  <c r="Q16" i="1"/>
  <c r="M107" i="5"/>
  <c r="R514" i="1"/>
  <c r="T514" i="1" s="1"/>
  <c r="M147" i="5"/>
  <c r="R1659" i="1"/>
  <c r="T1659" i="1" s="1"/>
  <c r="M271" i="5"/>
  <c r="R1372" i="1"/>
  <c r="T1372" i="1" s="1"/>
  <c r="M113" i="5"/>
  <c r="R1607" i="1"/>
  <c r="T1607" i="1" s="1"/>
  <c r="M115" i="5"/>
  <c r="R1197" i="1"/>
  <c r="T1197" i="1" s="1"/>
  <c r="M114" i="5"/>
  <c r="R1346" i="1"/>
  <c r="T1346" i="1" s="1"/>
  <c r="M254" i="5"/>
  <c r="R1431" i="1"/>
  <c r="T1431" i="1" s="1"/>
  <c r="M295" i="5"/>
  <c r="R1552" i="1"/>
  <c r="T1552" i="1" s="1"/>
  <c r="M352" i="5"/>
  <c r="R140" i="1"/>
  <c r="T140" i="1" s="1"/>
  <c r="M135" i="2"/>
  <c r="R74" i="1"/>
  <c r="T74" i="1" s="1"/>
  <c r="M129" i="5"/>
  <c r="R271" i="1"/>
  <c r="T271" i="1" s="1"/>
  <c r="M10" i="5"/>
  <c r="M162" i="5"/>
  <c r="Q102" i="1"/>
  <c r="M351" i="5"/>
  <c r="M350" i="5"/>
  <c r="M9" i="5"/>
  <c r="M8" i="5"/>
  <c r="M7" i="5"/>
  <c r="M349" i="5"/>
  <c r="M348" i="5"/>
  <c r="M106" i="5"/>
  <c r="M146" i="5"/>
  <c r="M58" i="2"/>
  <c r="M56" i="5"/>
  <c r="M228" i="5"/>
  <c r="M119" i="5"/>
  <c r="M279" i="5"/>
  <c r="M11" i="2"/>
  <c r="M255" i="5"/>
  <c r="M64" i="5"/>
  <c r="M29" i="2"/>
  <c r="M54" i="2"/>
  <c r="M13" i="5"/>
  <c r="M185" i="5"/>
  <c r="M187" i="5"/>
  <c r="M161" i="5"/>
  <c r="M130" i="5"/>
  <c r="M140" i="5"/>
  <c r="M170" i="2"/>
  <c r="M310" i="5"/>
  <c r="M332" i="5"/>
  <c r="M26" i="5"/>
  <c r="M152" i="5"/>
  <c r="M222" i="5"/>
  <c r="M342" i="5"/>
  <c r="M262" i="5"/>
  <c r="M118" i="5"/>
  <c r="M148" i="5"/>
  <c r="M59" i="2"/>
  <c r="M287" i="5"/>
  <c r="M53" i="2"/>
  <c r="M145" i="5"/>
  <c r="M273" i="5"/>
  <c r="M343" i="5"/>
  <c r="M33" i="2"/>
  <c r="M274" i="5"/>
  <c r="M223" i="5"/>
  <c r="M47" i="5"/>
  <c r="M13" i="2"/>
  <c r="M9" i="2"/>
  <c r="M120" i="5"/>
  <c r="M72" i="5"/>
  <c r="M109" i="5"/>
  <c r="M227" i="5"/>
  <c r="M56" i="2"/>
  <c r="M65" i="5"/>
  <c r="M8" i="2"/>
  <c r="M28" i="5"/>
  <c r="M60" i="2"/>
  <c r="M26" i="2"/>
  <c r="M10" i="2"/>
  <c r="M315" i="5"/>
  <c r="M196" i="5"/>
  <c r="M52" i="2"/>
  <c r="M195" i="5"/>
  <c r="M198" i="5"/>
  <c r="M421" i="5"/>
  <c r="M175" i="5"/>
  <c r="M55" i="5"/>
  <c r="M45" i="5"/>
  <c r="M322" i="5"/>
  <c r="M101" i="5"/>
  <c r="M19" i="5"/>
  <c r="M294" i="5"/>
  <c r="M174" i="2"/>
  <c r="M173" i="2"/>
  <c r="M104" i="5"/>
  <c r="M318" i="5"/>
  <c r="M178" i="5"/>
  <c r="M408" i="5"/>
  <c r="M368" i="5"/>
  <c r="M372" i="5"/>
  <c r="M196" i="2"/>
  <c r="M15" i="5"/>
  <c r="M122" i="5"/>
  <c r="M14" i="5"/>
  <c r="M124" i="5"/>
  <c r="M168" i="5"/>
  <c r="M68" i="5"/>
  <c r="M430" i="5"/>
  <c r="M165" i="5"/>
  <c r="M420" i="5"/>
  <c r="M27" i="5"/>
  <c r="M88" i="2"/>
  <c r="M232" i="5"/>
  <c r="M359" i="5"/>
  <c r="M80" i="5"/>
  <c r="M422" i="5"/>
  <c r="M64" i="2"/>
  <c r="M213" i="5"/>
  <c r="M125" i="2"/>
  <c r="M399" i="5"/>
  <c r="M47" i="2"/>
  <c r="M156" i="5"/>
  <c r="M157" i="2"/>
  <c r="M134" i="5"/>
  <c r="M12" i="2"/>
  <c r="M253" i="5"/>
  <c r="M85" i="2"/>
  <c r="M229" i="5"/>
  <c r="M91" i="2"/>
  <c r="M82" i="5"/>
  <c r="M249" i="5"/>
  <c r="M42" i="5"/>
  <c r="M77" i="2"/>
  <c r="M237" i="5"/>
  <c r="M147" i="2"/>
  <c r="M390" i="5"/>
  <c r="M380" i="5"/>
  <c r="M143" i="2"/>
  <c r="M378" i="5"/>
  <c r="M206" i="2"/>
  <c r="M112" i="5"/>
  <c r="M128" i="5"/>
  <c r="M276" i="5"/>
  <c r="M280" i="5"/>
  <c r="M19" i="2"/>
  <c r="M91" i="5"/>
  <c r="M125" i="5"/>
  <c r="M286" i="5"/>
  <c r="M111" i="5"/>
  <c r="M289" i="5"/>
  <c r="M16" i="5"/>
  <c r="M127" i="5"/>
  <c r="M336" i="5"/>
  <c r="M132" i="5"/>
  <c r="M181" i="5"/>
  <c r="M117" i="5"/>
  <c r="M338" i="5"/>
  <c r="M184" i="5"/>
  <c r="M432" i="5"/>
  <c r="M23" i="5"/>
  <c r="M186" i="5"/>
  <c r="M314" i="5"/>
  <c r="M25" i="5"/>
  <c r="M283" i="5"/>
  <c r="M346" i="5"/>
  <c r="M252" i="5"/>
  <c r="M284" i="5"/>
  <c r="M316" i="5"/>
  <c r="M317" i="5"/>
  <c r="M296" i="5"/>
  <c r="M266" i="5"/>
  <c r="M204" i="5"/>
  <c r="M205" i="5"/>
  <c r="M108" i="5"/>
  <c r="M301" i="5"/>
  <c r="M150" i="2"/>
  <c r="M374" i="5"/>
  <c r="M214" i="2"/>
  <c r="M402" i="5"/>
  <c r="M160" i="2"/>
  <c r="M67" i="5"/>
  <c r="M190" i="2"/>
  <c r="M427" i="5"/>
  <c r="M360" i="5"/>
  <c r="M389" i="5"/>
  <c r="M200" i="5"/>
  <c r="M100" i="2"/>
  <c r="M259" i="5"/>
  <c r="M72" i="2"/>
  <c r="M241" i="5"/>
  <c r="M239" i="5"/>
  <c r="M89" i="5"/>
  <c r="M45" i="2"/>
  <c r="M159" i="5"/>
  <c r="M109" i="2"/>
  <c r="M177" i="5"/>
  <c r="M99" i="5"/>
  <c r="M43" i="5"/>
  <c r="M105" i="2"/>
  <c r="M77" i="5"/>
  <c r="M325" i="5"/>
  <c r="M74" i="5"/>
  <c r="M146" i="2"/>
  <c r="M63" i="5"/>
  <c r="M207" i="2"/>
  <c r="M59" i="5"/>
  <c r="M417" i="5"/>
  <c r="M35" i="2"/>
  <c r="M73" i="5"/>
  <c r="M76" i="5"/>
  <c r="M78" i="5"/>
  <c r="M50" i="5"/>
  <c r="M363" i="5"/>
  <c r="M431" i="5"/>
  <c r="M174" i="5"/>
  <c r="M371" i="5"/>
  <c r="M139" i="2"/>
  <c r="M391" i="5"/>
  <c r="M192" i="5"/>
  <c r="M264" i="5"/>
  <c r="M21" i="2"/>
  <c r="M93" i="5"/>
  <c r="M16" i="2"/>
  <c r="M90" i="5"/>
  <c r="M217" i="2"/>
  <c r="M411" i="5"/>
  <c r="M288" i="5"/>
  <c r="M386" i="5"/>
  <c r="M216" i="2"/>
  <c r="M410" i="5"/>
  <c r="M42" i="2"/>
  <c r="M137" i="5"/>
  <c r="M394" i="5"/>
  <c r="M400" i="5"/>
  <c r="M392" i="5"/>
  <c r="M209" i="5"/>
  <c r="M375" i="5"/>
  <c r="M129" i="2"/>
  <c r="M270" i="5"/>
  <c r="M70" i="2"/>
  <c r="M208" i="5"/>
  <c r="M11" i="5"/>
  <c r="M126" i="5"/>
  <c r="M275" i="5"/>
  <c r="M116" i="5"/>
  <c r="M312" i="5"/>
  <c r="M44" i="2"/>
  <c r="M157" i="5"/>
  <c r="M156" i="2"/>
  <c r="M226" i="5"/>
  <c r="M66" i="5"/>
  <c r="M86" i="2"/>
  <c r="M230" i="5"/>
  <c r="M180" i="5"/>
  <c r="M433" i="5"/>
  <c r="M36" i="5"/>
  <c r="M37" i="5"/>
  <c r="M197" i="5"/>
  <c r="M309" i="5"/>
  <c r="M329" i="5"/>
  <c r="M366" i="5"/>
  <c r="M83" i="2"/>
  <c r="M245" i="5"/>
  <c r="M39" i="2"/>
  <c r="M30" i="5"/>
  <c r="M15" i="2"/>
  <c r="M58" i="5"/>
  <c r="M212" i="2"/>
  <c r="M405" i="5"/>
  <c r="M186" i="2"/>
  <c r="M381" i="5"/>
  <c r="M211" i="2"/>
  <c r="M404" i="5"/>
  <c r="M87" i="5"/>
  <c r="M235" i="5"/>
  <c r="M12" i="5"/>
  <c r="M142" i="5"/>
  <c r="M302" i="5"/>
  <c r="M388" i="5"/>
  <c r="M97" i="5"/>
  <c r="M272" i="5"/>
  <c r="M17" i="5"/>
  <c r="M179" i="5"/>
  <c r="M291" i="5"/>
  <c r="M307" i="5"/>
  <c r="M339" i="5"/>
  <c r="M340" i="5"/>
  <c r="M35" i="5"/>
  <c r="M100" i="5"/>
  <c r="M133" i="5"/>
  <c r="M182" i="5"/>
  <c r="M183" i="5"/>
  <c r="M311" i="5"/>
  <c r="M22" i="5"/>
  <c r="M434" i="5"/>
  <c r="M251" i="5"/>
  <c r="M188" i="5"/>
  <c r="M189" i="5"/>
  <c r="M201" i="5"/>
  <c r="M297" i="5"/>
  <c r="M298" i="5"/>
  <c r="M95" i="5"/>
  <c r="M370" i="5"/>
  <c r="M240" i="5"/>
  <c r="M136" i="5"/>
  <c r="M121" i="2"/>
  <c r="M143" i="5"/>
  <c r="M153" i="2"/>
  <c r="M110" i="5"/>
  <c r="M46" i="2"/>
  <c r="M158" i="5"/>
  <c r="M162" i="2"/>
  <c r="M53" i="5"/>
  <c r="M41" i="5"/>
  <c r="M49" i="2"/>
  <c r="M155" i="5"/>
  <c r="M132" i="2"/>
  <c r="M85" i="5"/>
  <c r="M101" i="2"/>
  <c r="M260" i="5"/>
  <c r="M97" i="2"/>
  <c r="M256" i="5"/>
  <c r="M76" i="2"/>
  <c r="M238" i="5"/>
  <c r="M60" i="5"/>
  <c r="M304" i="5"/>
  <c r="M263" i="5"/>
  <c r="M149" i="2"/>
  <c r="M373" i="5"/>
  <c r="M122" i="2"/>
  <c r="M321" i="5"/>
  <c r="M409" i="5"/>
  <c r="M164" i="5"/>
  <c r="M131" i="2"/>
  <c r="M193" i="5"/>
  <c r="M144" i="2"/>
  <c r="M281" i="5"/>
  <c r="M379" i="5"/>
  <c r="M236" i="5"/>
  <c r="M159" i="2"/>
  <c r="M306" i="5"/>
  <c r="M151" i="5"/>
  <c r="M377" i="5"/>
  <c r="M20" i="5"/>
  <c r="M57" i="5"/>
  <c r="M398" i="5"/>
  <c r="M84" i="2"/>
  <c r="M246" i="5"/>
  <c r="M407" i="5"/>
  <c r="M220" i="5"/>
  <c r="M176" i="5"/>
  <c r="M424" i="5"/>
  <c r="M86" i="5"/>
  <c r="M418" i="5"/>
  <c r="M191" i="5"/>
  <c r="M362" i="5"/>
  <c r="M48" i="2"/>
  <c r="M154" i="5"/>
  <c r="M215" i="2"/>
  <c r="M406" i="5"/>
  <c r="M112" i="2"/>
  <c r="M335" i="5"/>
  <c r="M49" i="5"/>
  <c r="M225" i="5"/>
  <c r="M203" i="5"/>
  <c r="M92" i="2"/>
  <c r="M250" i="5"/>
  <c r="M98" i="2"/>
  <c r="M257" i="5"/>
  <c r="M193" i="2"/>
  <c r="M121" i="5"/>
  <c r="M369" i="5"/>
  <c r="M429" i="5"/>
  <c r="M66" i="2"/>
  <c r="M212" i="5"/>
  <c r="M51" i="5"/>
  <c r="M70" i="5"/>
  <c r="M39" i="5"/>
  <c r="M68" i="2"/>
  <c r="M243" i="5"/>
  <c r="M67" i="2"/>
  <c r="M211" i="5"/>
  <c r="M221" i="5"/>
  <c r="M139" i="5"/>
  <c r="M308" i="5"/>
  <c r="M150" i="5"/>
  <c r="M344" i="5"/>
  <c r="M299" i="5"/>
  <c r="M136" i="2"/>
  <c r="M393" i="5"/>
  <c r="M37" i="2"/>
  <c r="M84" i="5"/>
  <c r="M145" i="2"/>
  <c r="M282" i="5"/>
  <c r="M51" i="2"/>
  <c r="M46" i="5"/>
  <c r="M415" i="5"/>
  <c r="M172" i="5"/>
  <c r="M333" i="5"/>
  <c r="M219" i="2"/>
  <c r="M413" i="5"/>
  <c r="M120" i="2"/>
  <c r="M269" i="5"/>
  <c r="M81" i="5"/>
  <c r="M52" i="5"/>
  <c r="M326" i="5"/>
  <c r="M385" i="5"/>
  <c r="M167" i="2"/>
  <c r="M277" i="5"/>
  <c r="M137" i="2"/>
  <c r="M396" i="5"/>
  <c r="M99" i="2"/>
  <c r="M258" i="5"/>
  <c r="M28" i="2"/>
  <c r="M98" i="5"/>
  <c r="M292" i="5"/>
  <c r="M204" i="2"/>
  <c r="M416" i="5"/>
  <c r="M61" i="2"/>
  <c r="M303" i="5"/>
  <c r="M324" i="5"/>
  <c r="M169" i="5"/>
  <c r="M40" i="5"/>
  <c r="M419" i="5"/>
  <c r="M330" i="5"/>
  <c r="M89" i="2"/>
  <c r="M233" i="5"/>
  <c r="M426" i="5"/>
  <c r="M364" i="5"/>
  <c r="M198" i="2"/>
  <c r="M383" i="5"/>
  <c r="M43" i="2"/>
  <c r="M138" i="5"/>
  <c r="M106" i="2"/>
  <c r="M219" i="5"/>
  <c r="M327" i="5"/>
  <c r="M123" i="5"/>
  <c r="M105" i="5"/>
  <c r="M154" i="2"/>
  <c r="M61" i="5"/>
  <c r="M54" i="5"/>
  <c r="M166" i="5"/>
  <c r="M376" i="5"/>
  <c r="M88" i="5"/>
  <c r="M412" i="5"/>
  <c r="M234" i="5"/>
  <c r="M213" i="2"/>
  <c r="M403" i="5"/>
  <c r="M20" i="2"/>
  <c r="M92" i="5"/>
  <c r="M73" i="2"/>
  <c r="M242" i="5"/>
  <c r="M31" i="2"/>
  <c r="M341" i="5"/>
  <c r="M50" i="2"/>
  <c r="M141" i="5"/>
  <c r="M114" i="2"/>
  <c r="M331" i="5"/>
  <c r="M69" i="2"/>
  <c r="M210" i="5"/>
  <c r="M44" i="5"/>
  <c r="M170" i="5"/>
  <c r="M172" i="2"/>
  <c r="M173" i="5"/>
  <c r="M94" i="5"/>
  <c r="M358" i="5"/>
  <c r="M353" i="5"/>
  <c r="M130" i="2"/>
  <c r="M144" i="5"/>
  <c r="M224" i="5"/>
  <c r="M82" i="2"/>
  <c r="M247" i="5"/>
  <c r="M102" i="2"/>
  <c r="M261" i="5"/>
  <c r="M423" i="5"/>
  <c r="M365" i="5"/>
  <c r="M334" i="5"/>
  <c r="M319" i="5"/>
  <c r="M183" i="2"/>
  <c r="M217" i="5"/>
  <c r="M171" i="5"/>
  <c r="M103" i="2"/>
  <c r="M203" i="2"/>
  <c r="M189" i="2"/>
  <c r="M34" i="2"/>
  <c r="M164" i="2"/>
  <c r="M104" i="2"/>
  <c r="M199" i="2"/>
  <c r="M184" i="2"/>
  <c r="M166" i="2"/>
  <c r="M210" i="2"/>
  <c r="M111" i="2"/>
  <c r="M133" i="2"/>
  <c r="M195" i="2"/>
  <c r="M7" i="2"/>
  <c r="M23" i="2"/>
  <c r="M138" i="2"/>
  <c r="M124" i="2"/>
  <c r="M163" i="2"/>
  <c r="M80" i="2"/>
  <c r="M22" i="2"/>
  <c r="M25" i="2"/>
  <c r="M171" i="2"/>
  <c r="M194" i="2"/>
  <c r="M41" i="2"/>
  <c r="M74" i="2"/>
  <c r="M57" i="2"/>
  <c r="M152" i="2"/>
  <c r="M75" i="2"/>
  <c r="M148" i="2"/>
  <c r="M140" i="2"/>
  <c r="M127" i="2"/>
  <c r="M18" i="2"/>
  <c r="M78" i="2"/>
  <c r="M182" i="2"/>
  <c r="M36" i="2"/>
  <c r="M113" i="2"/>
  <c r="M187" i="2"/>
  <c r="M209" i="2"/>
  <c r="M185" i="2"/>
  <c r="M208" i="2"/>
  <c r="M205" i="2"/>
  <c r="M38" i="2"/>
  <c r="M116" i="2"/>
  <c r="M117" i="2"/>
  <c r="M24" i="2"/>
  <c r="M188" i="2"/>
  <c r="M200" i="2"/>
  <c r="M161" i="2"/>
  <c r="M177" i="2"/>
  <c r="M115" i="2"/>
  <c r="M27" i="2"/>
  <c r="M14" i="2"/>
  <c r="M201" i="2"/>
  <c r="M176" i="2"/>
  <c r="M110" i="2"/>
  <c r="M191" i="2"/>
  <c r="M181" i="2"/>
  <c r="M151" i="2"/>
  <c r="M218" i="2"/>
  <c r="M17" i="2"/>
  <c r="M79" i="2"/>
  <c r="M71" i="2"/>
  <c r="M142" i="2"/>
  <c r="M30" i="2"/>
  <c r="M94" i="2"/>
  <c r="M93" i="2"/>
  <c r="M96" i="2"/>
  <c r="M108" i="2"/>
  <c r="M180" i="2"/>
  <c r="Q96" i="1"/>
  <c r="Q140" i="1"/>
  <c r="Q325" i="1"/>
  <c r="Q1111" i="1"/>
  <c r="Q105" i="1"/>
  <c r="Q327" i="1"/>
  <c r="Q92" i="1"/>
  <c r="Q167" i="1"/>
  <c r="Q967" i="1"/>
  <c r="Q426" i="1"/>
  <c r="Q637" i="1"/>
  <c r="Q1552" i="1"/>
  <c r="Q989" i="1"/>
  <c r="Q659" i="1"/>
  <c r="Q74" i="1"/>
  <c r="Q319" i="1"/>
  <c r="Q1659" i="1"/>
  <c r="Q871" i="1"/>
  <c r="Q106" i="1"/>
  <c r="Q263" i="1"/>
  <c r="Q115" i="1"/>
  <c r="Q585" i="1"/>
  <c r="Q683" i="1"/>
  <c r="Q265" i="1"/>
  <c r="Q254" i="1"/>
  <c r="Q262" i="1"/>
  <c r="Q259" i="1"/>
  <c r="Q1007" i="1"/>
  <c r="Q1021" i="1"/>
  <c r="Q264" i="1"/>
  <c r="Q97" i="1"/>
  <c r="Q968" i="1"/>
  <c r="Q586" i="1"/>
  <c r="Q202" i="1"/>
  <c r="Q145" i="1"/>
  <c r="Q323" i="1"/>
  <c r="Q72" i="1"/>
  <c r="Q281" i="1"/>
  <c r="Q266" i="1"/>
  <c r="Q604" i="1"/>
  <c r="Q177" i="1"/>
  <c r="Q966" i="1"/>
  <c r="Q180" i="1"/>
  <c r="Q869" i="1"/>
  <c r="Q147" i="1"/>
  <c r="Q332" i="1"/>
  <c r="Q315" i="1"/>
  <c r="Q1197" i="1"/>
  <c r="Q1114" i="1"/>
  <c r="Q25" i="1"/>
  <c r="Q1110" i="1"/>
  <c r="Q76" i="1"/>
  <c r="Q938" i="1"/>
  <c r="Q172" i="1"/>
  <c r="Q1461" i="1"/>
  <c r="Q166" i="1"/>
  <c r="Q1346" i="1"/>
  <c r="Q711" i="1"/>
  <c r="Q514" i="1"/>
  <c r="Q272" i="1"/>
  <c r="Q1035" i="1"/>
  <c r="Q1001" i="1"/>
  <c r="Q273" i="1"/>
  <c r="Q1586" i="1"/>
  <c r="Q100" i="1"/>
  <c r="Q1607" i="1"/>
  <c r="Q150" i="1"/>
  <c r="Q321" i="1"/>
  <c r="Q142" i="1"/>
  <c r="Q33" i="1"/>
  <c r="Q722" i="1"/>
  <c r="Q1113" i="1"/>
  <c r="Q268" i="1"/>
  <c r="Q314" i="1"/>
  <c r="Q1164" i="1"/>
  <c r="Q98" i="1"/>
  <c r="Q101" i="1"/>
  <c r="Q1115" i="1"/>
  <c r="Q95" i="1"/>
  <c r="Q475" i="1"/>
  <c r="Q126" i="1"/>
  <c r="Q1431" i="1"/>
  <c r="Q81" i="1"/>
  <c r="Q874" i="1"/>
  <c r="Q587" i="1"/>
  <c r="Q41" i="1"/>
  <c r="Q591" i="1"/>
  <c r="Q99" i="1"/>
  <c r="Q1372" i="1"/>
  <c r="Q1000" i="1"/>
  <c r="Q73" i="1"/>
  <c r="Q882" i="1"/>
  <c r="Q669" i="1"/>
  <c r="Q78" i="1"/>
  <c r="Q322" i="1"/>
  <c r="Q1109" i="1"/>
  <c r="Q274" i="1"/>
  <c r="Q139" i="1"/>
  <c r="Q337" i="1"/>
  <c r="Q1595" i="1"/>
  <c r="Q1570" i="1"/>
  <c r="Q1551" i="1"/>
  <c r="Q1292" i="1"/>
  <c r="Q1651" i="1"/>
  <c r="Q1452" i="1"/>
  <c r="Q1450" i="1"/>
  <c r="Q1182" i="1"/>
  <c r="Q1272" i="1"/>
  <c r="Q1266" i="1"/>
  <c r="Q1179" i="1"/>
  <c r="Q1645" i="1"/>
  <c r="Q1442" i="1"/>
  <c r="Q1438" i="1"/>
  <c r="Q1171" i="1"/>
  <c r="Q1480" i="1"/>
  <c r="Q1467" i="1"/>
  <c r="Q1458" i="1"/>
  <c r="Q1424" i="1"/>
  <c r="Q1421" i="1"/>
  <c r="Q1667" i="1"/>
  <c r="Q1496" i="1"/>
  <c r="Q1502" i="1"/>
  <c r="Q1394" i="1"/>
  <c r="Q1390" i="1"/>
  <c r="Q1513" i="1"/>
  <c r="Q1382" i="1"/>
  <c r="Q1234" i="1"/>
  <c r="Q1582" i="1"/>
  <c r="Q1510" i="1"/>
  <c r="Q1544" i="1"/>
  <c r="Q1585" i="1"/>
  <c r="Q1366" i="1"/>
  <c r="Q1568" i="1"/>
  <c r="Q1381" i="1"/>
  <c r="Q1365" i="1"/>
  <c r="Q1402" i="1"/>
  <c r="Q1161" i="1"/>
  <c r="Q1573" i="1"/>
  <c r="Q1385" i="1"/>
  <c r="Q1373" i="1"/>
  <c r="Q404" i="1"/>
  <c r="Q394" i="1"/>
  <c r="Q396" i="1"/>
  <c r="Q381" i="1"/>
  <c r="Q388" i="1"/>
  <c r="Q395" i="1"/>
  <c r="Q377" i="1"/>
  <c r="Q385" i="1"/>
  <c r="Q127" i="1"/>
  <c r="Q137" i="1"/>
  <c r="Q569" i="1"/>
  <c r="Q23" i="1"/>
  <c r="Q571" i="1"/>
  <c r="Q572" i="1"/>
  <c r="Q15" i="1"/>
  <c r="Q563" i="1"/>
  <c r="Q558" i="1"/>
  <c r="Q561" i="1"/>
  <c r="Q560" i="1"/>
  <c r="Q537" i="1"/>
  <c r="Q550" i="1"/>
  <c r="Q511" i="1"/>
  <c r="Q541" i="1"/>
  <c r="Q469" i="1"/>
  <c r="Q473" i="1"/>
  <c r="Q508" i="1"/>
  <c r="Q472" i="1"/>
  <c r="Q471" i="1"/>
  <c r="Q534" i="1"/>
  <c r="Q515" i="1"/>
  <c r="Q533" i="1"/>
  <c r="Q482" i="1"/>
  <c r="Q986" i="1"/>
  <c r="Q920" i="1"/>
  <c r="Q901" i="1"/>
  <c r="Q946" i="1"/>
  <c r="Q985" i="1"/>
  <c r="Q629" i="1"/>
  <c r="Q852" i="1"/>
  <c r="Q663" i="1"/>
  <c r="Q701" i="1"/>
  <c r="Q658" i="1"/>
  <c r="Q628" i="1"/>
  <c r="Q636" i="1"/>
  <c r="Q704" i="1"/>
  <c r="Q627" i="1"/>
  <c r="Q743" i="1"/>
  <c r="Q632" i="1"/>
  <c r="Q870" i="1"/>
  <c r="Q644" i="1"/>
  <c r="Q624" i="1"/>
  <c r="Q643" i="1"/>
  <c r="Q868" i="1"/>
  <c r="Q338" i="1"/>
  <c r="Q1009" i="1"/>
  <c r="Q271" i="1"/>
  <c r="Q690" i="1"/>
  <c r="Q1112" i="1"/>
  <c r="Q331" i="1"/>
  <c r="Q280" i="1"/>
  <c r="Q719" i="1"/>
  <c r="Q141" i="1"/>
  <c r="Q707" i="1"/>
  <c r="Q75" i="1"/>
  <c r="Q976" i="1"/>
  <c r="Q878" i="1"/>
  <c r="Q509" i="1"/>
  <c r="Q819" i="1"/>
  <c r="Q1053" i="1"/>
  <c r="Q1360" i="1"/>
  <c r="Q718" i="1"/>
  <c r="Q307" i="1"/>
  <c r="Q340" i="1"/>
  <c r="Q125" i="1"/>
  <c r="Q800" i="1"/>
  <c r="Q806" i="1"/>
  <c r="Q1058" i="1"/>
  <c r="Q1532" i="1"/>
  <c r="Q122" i="1"/>
  <c r="Q1661" i="1"/>
  <c r="Q116" i="1"/>
  <c r="Q803" i="1"/>
  <c r="Q1015" i="1"/>
  <c r="Q62" i="1"/>
  <c r="Q19" i="1"/>
  <c r="Q52" i="1"/>
  <c r="Q814" i="1"/>
  <c r="Q400" i="1"/>
  <c r="Q1681" i="1"/>
  <c r="Q117" i="1"/>
  <c r="Q1391" i="1"/>
  <c r="Q1014" i="1"/>
  <c r="Q55" i="1"/>
  <c r="Q61" i="1"/>
  <c r="Q594" i="1"/>
  <c r="Q431" i="1"/>
  <c r="Q1672" i="1"/>
  <c r="Q432" i="1"/>
  <c r="Q1016" i="1"/>
  <c r="Q429" i="1"/>
  <c r="Q595" i="1"/>
  <c r="Q420" i="1"/>
  <c r="Q406" i="1"/>
  <c r="Q808" i="1"/>
  <c r="Q796" i="1"/>
  <c r="Q1017" i="1"/>
  <c r="Q804" i="1"/>
  <c r="Q809" i="1"/>
  <c r="Q601" i="1"/>
  <c r="Q1500" i="1"/>
  <c r="Q1677" i="1"/>
  <c r="Q1408" i="1"/>
  <c r="Q749" i="1"/>
  <c r="Q1406" i="1"/>
  <c r="Q57" i="1"/>
  <c r="Q1411" i="1"/>
  <c r="Q751" i="1"/>
  <c r="Q1678" i="1"/>
  <c r="Q802" i="1"/>
  <c r="Q1641" i="1"/>
  <c r="Q813" i="1"/>
  <c r="Q1486" i="1"/>
  <c r="Q816" i="1"/>
  <c r="Q807" i="1"/>
  <c r="Q810" i="1"/>
  <c r="Q797" i="1"/>
  <c r="Q1088" i="1"/>
  <c r="Q799" i="1"/>
  <c r="Q752" i="1"/>
  <c r="Q1671" i="1"/>
  <c r="Q1581" i="1"/>
  <c r="Q616" i="1"/>
  <c r="Q1223" i="1"/>
  <c r="Q1673" i="1"/>
  <c r="Q1410" i="1"/>
  <c r="Q310" i="1"/>
  <c r="Q638" i="1"/>
  <c r="Q817" i="1"/>
  <c r="Q308" i="1"/>
  <c r="Q1680" i="1"/>
  <c r="Q811" i="1"/>
  <c r="Q120" i="1"/>
  <c r="Q720" i="1"/>
  <c r="Q801" i="1"/>
  <c r="Q1153" i="1"/>
  <c r="M7" i="10" s="1"/>
  <c r="Q1682" i="1"/>
  <c r="Q1387" i="1"/>
  <c r="Q1059" i="1"/>
  <c r="Q379" i="1"/>
  <c r="Q1533" i="1"/>
  <c r="Q119" i="1"/>
  <c r="Q428" i="1"/>
  <c r="Q815" i="1"/>
  <c r="Q1019" i="1"/>
  <c r="Q754" i="1"/>
  <c r="Q753" i="1"/>
  <c r="Q798" i="1"/>
  <c r="Q1089" i="1"/>
  <c r="Q302" i="1"/>
  <c r="Q427" i="1"/>
  <c r="Q1412" i="1"/>
  <c r="Q1163" i="1"/>
  <c r="Q65" i="1"/>
  <c r="Q748" i="1"/>
  <c r="Q18" i="1"/>
  <c r="Q812" i="1"/>
  <c r="Q1384" i="1"/>
  <c r="Q1484" i="1"/>
  <c r="Q1013" i="1"/>
  <c r="Q1358" i="1"/>
  <c r="Q805" i="1"/>
  <c r="Q1156" i="1"/>
  <c r="Q54" i="1"/>
  <c r="Q818" i="1"/>
  <c r="Q285" i="1"/>
  <c r="Q822" i="1"/>
  <c r="Q66" i="1"/>
  <c r="Q1676" i="1"/>
  <c r="Q118" i="1"/>
  <c r="Q67" i="1"/>
  <c r="Q1409" i="1"/>
  <c r="Q419" i="1"/>
  <c r="Q653" i="1"/>
  <c r="Q301" i="1"/>
  <c r="Q1018" i="1"/>
  <c r="Q430" i="1"/>
  <c r="Q17" i="1"/>
  <c r="Q309" i="1"/>
  <c r="Q64" i="1"/>
  <c r="Q121" i="1"/>
  <c r="Q821" i="1"/>
  <c r="Q750" i="1"/>
  <c r="Q820" i="1"/>
  <c r="Q1679" i="1"/>
  <c r="Q1407" i="1"/>
  <c r="Q1674" i="1"/>
  <c r="Q37" i="1"/>
  <c r="Q124" i="1"/>
  <c r="Q1357" i="1"/>
  <c r="Q1675" i="1"/>
  <c r="Q402" i="1"/>
  <c r="Q1670" i="1"/>
  <c r="O3" i="1"/>
  <c r="Q713" i="1"/>
  <c r="M6" i="10" l="1"/>
  <c r="M8" i="10" s="1"/>
  <c r="M10" i="10"/>
  <c r="M5" i="5" a="1"/>
  <c r="M5" i="5" s="1"/>
  <c r="R3" i="1"/>
  <c r="Q3" i="1"/>
  <c r="M4" i="10" s="1" a="1"/>
  <c r="M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<sst xmlns="http://schemas.openxmlformats.org/spreadsheetml/2006/main" count="11076" uniqueCount="3933">
  <si>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</si>
  <si>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</si>
  <si>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</si>
  <si>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</si>
  <si>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</si>
  <si>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</si>
  <si>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</si>
  <si>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</si>
  <si>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</si>
  <si>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</si>
  <si>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</si>
  <si>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</si>
  <si>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</si>
  <si>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</si>
  <si>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</si>
  <si>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</si>
  <si>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</si>
  <si>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</si>
  <si>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</si>
  <si>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</si>
  <si>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</si>
  <si>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</si>
  <si>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</si>
  <si>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</si>
  <si>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</si>
  <si>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</si>
  <si>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</si>
  <si>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</si>
  <si>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</si>
  <si>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</si>
  <si>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</si>
  <si>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</si>
  <si>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</si>
  <si>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</si>
  <si>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</si>
  <si>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</si>
  <si>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</si>
  <si>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</si>
  <si>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</si>
  <si>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</si>
  <si>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</si>
  <si>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</si>
  <si>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</si>
  <si>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</si>
  <si>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</si>
  <si>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</si>
  <si>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</si>
  <si>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</si>
  <si>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</si>
  <si>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</si>
  <si>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</si>
  <si>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</si>
  <si>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</si>
  <si>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</si>
  <si>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</si>
  <si>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</si>
  <si>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</si>
  <si>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</si>
  <si>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</si>
  <si>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</si>
  <si>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</si>
  <si>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</si>
  <si>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</si>
  <si>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</si>
  <si>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</si>
  <si>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</si>
  <si>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</si>
  <si>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</si>
  <si>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</si>
  <si>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</si>
  <si>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</si>
  <si>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</si>
  <si>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</si>
  <si>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</si>
  <si>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</si>
  <si>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</si>
  <si>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</si>
  <si>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</si>
  <si>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</si>
  <si>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</si>
  <si>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</si>
  <si>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</si>
  <si>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</si>
  <si>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</si>
  <si>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</si>
  <si>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</si>
  <si>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</si>
  <si>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</si>
  <si>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</si>
  <si>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</si>
  <si>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</si>
  <si>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</si>
  <si>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</si>
  <si>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</si>
  <si>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</si>
  <si>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</si>
  <si>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</si>
  <si>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</si>
  <si>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</si>
  <si>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</si>
  <si>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</si>
  <si>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</si>
  <si>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</si>
  <si>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</si>
  <si>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</si>
  <si>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</si>
  <si>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</si>
  <si>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</si>
  <si>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</si>
  <si>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</si>
  <si>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</si>
  <si>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</si>
  <si>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</si>
  <si>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</si>
  <si>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</si>
  <si>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</si>
  <si>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</si>
  <si>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</si>
  <si>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</si>
  <si>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</si>
  <si>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</si>
  <si>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</si>
  <si>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</si>
  <si>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</si>
  <si>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</si>
  <si>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</si>
  <si>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</si>
  <si>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</si>
  <si>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</si>
  <si>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</si>
  <si>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</si>
  <si>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</si>
  <si>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</si>
  <si>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</si>
  <si>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</si>
  <si>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</si>
  <si>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</si>
  <si>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</si>
  <si>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</si>
  <si>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</si>
  <si>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</si>
  <si>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</si>
  <si>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</si>
  <si>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</si>
  <si>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</si>
  <si>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</si>
  <si>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</si>
  <si>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</si>
  <si>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</si>
  <si>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</si>
  <si>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</si>
  <si>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</si>
  <si>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</si>
  <si>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</si>
  <si>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</si>
  <si>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</si>
  <si>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</si>
  <si>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</si>
  <si>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</si>
  <si>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</si>
  <si>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</si>
  <si>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</si>
  <si>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</si>
  <si>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</si>
  <si>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</si>
  <si>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</si>
  <si>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</si>
  <si>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</si>
  <si>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</si>
  <si>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</si>
  <si>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</si>
  <si>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</si>
  <si>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</si>
  <si>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</si>
  <si>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</si>
  <si>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</si>
  <si>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</si>
  <si>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</si>
  <si>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</si>
  <si>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</si>
  <si>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</si>
  <si>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</si>
  <si>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</si>
  <si>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</si>
  <si>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</si>
  <si>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</si>
  <si>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</si>
  <si>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</si>
  <si>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</si>
  <si>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</si>
  <si>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</si>
  <si>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</si>
  <si>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</si>
  <si>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</si>
  <si>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</si>
  <si>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</si>
  <si>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</si>
  <si>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</si>
  <si>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</si>
  <si>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</si>
  <si>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</si>
  <si>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</si>
  <si>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</si>
  <si>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</si>
  <si>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</si>
  <si>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</si>
  <si>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</si>
  <si>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</si>
  <si>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</si>
  <si>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</si>
  <si>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</si>
  <si>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</si>
  <si>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</si>
  <si>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</si>
  <si>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</si>
  <si>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</si>
  <si>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</si>
  <si>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</si>
  <si>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</si>
  <si>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</si>
  <si>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</si>
  <si>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</si>
  <si>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</si>
  <si>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</si>
  <si>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</si>
  <si>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</si>
  <si>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</si>
  <si>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</si>
  <si>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</si>
  <si>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</si>
  <si>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</si>
  <si>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</si>
  <si>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</si>
  <si>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</si>
  <si>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</si>
  <si>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</si>
  <si>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</si>
  <si>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</si>
  <si>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</si>
  <si>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</si>
  <si>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</si>
  <si>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</si>
  <si>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</si>
  <si>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</si>
  <si>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</si>
  <si>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</si>
  <si>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</si>
  <si>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</si>
  <si>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</si>
  <si>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</si>
  <si>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</si>
  <si>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</si>
  <si>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</si>
  <si>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</si>
  <si>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</si>
  <si>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</si>
  <si>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</si>
  <si>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</si>
  <si>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</si>
  <si>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</si>
  <si>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</si>
  <si>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</si>
  <si>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</si>
  <si>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</si>
  <si>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</si>
  <si>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</si>
  <si>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</si>
  <si>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</si>
  <si>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</si>
  <si>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</si>
  <si>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</si>
  <si>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</si>
  <si>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</si>
  <si>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</si>
  <si>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</si>
  <si>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</si>
  <si>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</si>
  <si>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</si>
  <si>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</si>
  <si>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</si>
  <si>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</si>
  <si>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</si>
  <si>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</si>
  <si>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</si>
  <si>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</si>
  <si>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</si>
  <si>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</si>
  <si>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</si>
  <si>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</si>
  <si>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</si>
  <si>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</si>
  <si>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</si>
  <si>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</si>
  <si>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</si>
  <si>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</si>
  <si>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</si>
  <si>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</si>
  <si>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</si>
  <si>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</si>
  <si>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</si>
  <si>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</si>
  <si>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</si>
  <si>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</si>
  <si>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</si>
  <si>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</si>
  <si>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</si>
  <si>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</si>
  <si>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</si>
  <si>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</si>
  <si>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</si>
  <si>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</si>
  <si>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</si>
  <si>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</si>
  <si>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</si>
  <si>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</si>
  <si>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</si>
  <si>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</si>
  <si>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</si>
  <si>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</si>
  <si>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</si>
  <si>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</si>
  <si>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</si>
  <si>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</si>
  <si>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</si>
  <si>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</si>
  <si>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</si>
  <si>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</si>
  <si>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</si>
  <si>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</si>
  <si>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</si>
  <si>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</si>
  <si>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</si>
  <si>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</si>
  <si>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</si>
  <si>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</si>
  <si>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</si>
  <si>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</si>
  <si>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</si>
  <si>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</si>
  <si>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</si>
  <si>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</si>
  <si>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</si>
  <si>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</si>
  <si>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</si>
  <si>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</si>
  <si>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</si>
  <si>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</si>
  <si>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</si>
  <si>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</si>
  <si>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</si>
  <si>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</si>
  <si>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</si>
  <si>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</si>
  <si>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</si>
  <si>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</si>
  <si>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</si>
  <si>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</si>
  <si>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</si>
  <si>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</si>
  <si>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</si>
  <si>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</si>
  <si>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</si>
  <si>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</si>
  <si>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</si>
  <si>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</si>
  <si>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</si>
  <si>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</si>
  <si>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</si>
  <si>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</si>
  <si>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</si>
  <si>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</si>
  <si>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</si>
  <si>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</si>
  <si>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</si>
  <si>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</si>
  <si>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</si>
  <si>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</si>
  <si>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</si>
  <si>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</si>
  <si>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</si>
  <si>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</si>
  <si>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</si>
  <si>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</si>
  <si>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</si>
  <si>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</si>
  <si>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</si>
  <si>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</si>
  <si>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</si>
  <si>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</si>
  <si>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</si>
  <si>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</si>
  <si>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</si>
  <si>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</si>
  <si>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</si>
  <si>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</si>
  <si>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</si>
  <si>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</si>
  <si>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</si>
  <si>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</si>
  <si>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</si>
  <si>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</si>
  <si>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</si>
  <si>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</si>
  <si>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</si>
  <si>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</si>
  <si>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</si>
  <si>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</si>
  <si>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</si>
  <si>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</si>
  <si>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</si>
  <si>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</si>
  <si>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</si>
  <si>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</si>
  <si>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</si>
  <si>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</si>
  <si>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</si>
  <si>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</si>
  <si>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</si>
  <si>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</si>
  <si>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</si>
  <si>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</si>
  <si>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</si>
  <si>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</si>
  <si>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</si>
  <si>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</si>
  <si>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</si>
  <si>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</si>
  <si>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</si>
  <si>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</si>
  <si>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</si>
  <si>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</si>
  <si>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</si>
  <si>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</si>
  <si>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</si>
  <si>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</si>
  <si>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</si>
  <si>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</si>
  <si>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</si>
  <si>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</si>
  <si>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</si>
  <si>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</si>
  <si>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</si>
  <si>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</si>
  <si>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</si>
  <si>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</si>
  <si>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</si>
  <si>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</si>
  <si>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</si>
  <si>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</si>
  <si>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</si>
  <si>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</si>
  <si>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</si>
  <si>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</si>
  <si>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</si>
  <si>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</si>
  <si>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</si>
  <si>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</si>
  <si>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</si>
  <si>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</si>
  <si>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</si>
  <si>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</si>
  <si>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</si>
  <si>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</si>
  <si>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</si>
  <si>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</si>
  <si>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</si>
  <si>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</si>
  <si>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</si>
  <si>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</si>
  <si>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</si>
  <si>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</si>
  <si>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</si>
  <si>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</si>
  <si>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</si>
  <si>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</si>
  <si>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</si>
  <si>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</si>
  <si>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</si>
  <si>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</si>
  <si>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</si>
  <si>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</si>
  <si>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</si>
  <si>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</si>
  <si>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</si>
  <si>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</si>
  <si>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</si>
  <si>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</si>
  <si>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</si>
  <si>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</si>
  <si>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</si>
  <si>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</si>
  <si>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</si>
  <si>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</si>
  <si>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</si>
  <si>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</si>
  <si>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</si>
  <si>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</si>
  <si>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</si>
  <si>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</si>
  <si>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</si>
  <si>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</si>
  <si>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</si>
  <si>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</si>
  <si>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</si>
  <si>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</si>
  <si>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</si>
  <si>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</si>
  <si>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</si>
  <si>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</si>
  <si>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</si>
  <si>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</si>
  <si>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</si>
  <si>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</si>
  <si>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</si>
  <si>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</si>
  <si>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</si>
  <si>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</si>
  <si>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</si>
  <si>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</si>
  <si>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</si>
  <si>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</si>
  <si>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</si>
  <si>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</si>
  <si>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</si>
  <si>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</si>
  <si>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</si>
  <si>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</si>
  <si>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</si>
  <si>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</si>
  <si>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</si>
  <si>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</si>
  <si>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</si>
  <si>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</si>
  <si>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</si>
  <si>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</si>
  <si>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</si>
  <si>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</si>
  <si>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</si>
  <si>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</si>
  <si>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</si>
  <si>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</si>
  <si>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</si>
  <si>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</si>
  <si>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</si>
  <si>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</si>
  <si>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</si>
  <si>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</si>
  <si>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</si>
  <si>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</si>
  <si>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</si>
  <si>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</si>
  <si>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</si>
  <si>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</si>
  <si>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</si>
  <si>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</si>
  <si>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</si>
  <si>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</si>
  <si>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</si>
  <si>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</si>
  <si>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</si>
  <si>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</si>
  <si>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</si>
  <si>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</si>
  <si>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</si>
  <si>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</si>
  <si>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</si>
  <si>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</si>
  <si>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</si>
  <si>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</si>
  <si>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</si>
  <si>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</si>
  <si>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</si>
  <si>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</si>
  <si>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</si>
  <si>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</si>
  <si>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</si>
  <si>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</si>
  <si>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</si>
  <si>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</si>
  <si>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</si>
  <si>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</si>
  <si>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</si>
  <si>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</si>
  <si>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</si>
  <si>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</si>
  <si>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</si>
  <si>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</si>
  <si>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</si>
  <si>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</si>
  <si>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</si>
  <si>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</si>
  <si>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</si>
  <si>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</si>
  <si>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</si>
  <si>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</si>
  <si>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</si>
  <si>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</si>
  <si>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</si>
  <si>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</si>
  <si>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</si>
  <si>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</si>
  <si>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</si>
  <si>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</si>
  <si>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</si>
  <si>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</si>
  <si>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</si>
  <si>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</si>
  <si>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</si>
  <si>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</si>
  <si>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</si>
  <si>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</si>
  <si>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</si>
  <si>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</si>
  <si>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</si>
  <si>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</si>
  <si>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</si>
  <si>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</si>
  <si>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</si>
  <si>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</si>
  <si>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</si>
  <si>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</si>
  <si>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</si>
  <si>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</si>
  <si>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</si>
  <si>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</si>
  <si>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</si>
  <si>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</si>
  <si>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</si>
  <si>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</si>
  <si>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</si>
  <si>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</si>
  <si>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</si>
  <si>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</si>
  <si>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</si>
  <si>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</si>
  <si>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</si>
  <si>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</si>
  <si>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</si>
  <si>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</si>
  <si>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</si>
  <si>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</si>
  <si>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</si>
  <si>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</si>
  <si>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</si>
  <si>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</si>
  <si>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</si>
  <si>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</si>
  <si>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</si>
  <si>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</si>
  <si>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</si>
  <si>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</si>
  <si>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</si>
  <si>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</si>
  <si>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</si>
  <si>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</si>
  <si>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</si>
  <si>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</si>
  <si>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</si>
  <si>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</si>
  <si>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</si>
  <si>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</si>
  <si>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</si>
  <si>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</si>
  <si>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</si>
  <si>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</si>
  <si>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</si>
  <si>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</si>
  <si>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</si>
  <si>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</si>
  <si>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</si>
  <si>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</si>
  <si>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</si>
  <si>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</si>
  <si>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</si>
  <si>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</si>
  <si>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</si>
  <si>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</si>
  <si>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</si>
  <si>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</si>
  <si>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</si>
  <si>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</si>
  <si>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</si>
  <si>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</si>
  <si>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</si>
  <si>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</si>
  <si>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</si>
  <si>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</si>
  <si>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</si>
  <si>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</si>
  <si>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</si>
  <si>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</si>
  <si>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</si>
  <si>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</si>
  <si>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</si>
  <si>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</si>
  <si>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</si>
  <si>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</si>
  <si>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</si>
  <si>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</si>
  <si>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</si>
  <si>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</si>
  <si>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</si>
  <si>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</si>
  <si>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</si>
  <si>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</si>
  <si>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</si>
  <si>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</si>
  <si>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</si>
  <si>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</si>
  <si>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</si>
  <si>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</si>
  <si>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</si>
  <si>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</si>
  <si>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</si>
  <si>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</si>
  <si>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</si>
  <si>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</si>
  <si>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</si>
  <si>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</si>
  <si>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</si>
  <si>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</si>
  <si>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</si>
  <si>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</si>
  <si>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</si>
  <si>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</si>
  <si>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</si>
  <si>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</si>
  <si>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</si>
  <si>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</si>
  <si>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</si>
  <si>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</si>
  <si>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</si>
  <si>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</si>
  <si>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</si>
  <si>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</si>
  <si>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</si>
  <si>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</si>
  <si>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</si>
  <si>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</si>
  <si>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</si>
  <si>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</si>
  <si>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</si>
  <si>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</si>
  <si>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</si>
  <si>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</si>
  <si>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</si>
  <si>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</si>
  <si>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</si>
  <si>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</si>
  <si>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</si>
  <si>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</si>
  <si>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</si>
  <si>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</si>
  <si>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</si>
  <si>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</si>
  <si>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</si>
  <si>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</si>
  <si>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</si>
  <si>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</si>
  <si>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</si>
  <si>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</si>
  <si>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</si>
  <si>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</si>
  <si>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</si>
  <si>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</si>
  <si>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</si>
  <si>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</si>
  <si>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</si>
  <si>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</si>
  <si>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</si>
  <si>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</si>
  <si>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</si>
  <si>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</si>
  <si>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</si>
  <si>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</si>
  <si>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</si>
  <si>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</si>
  <si>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</si>
  <si>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</si>
  <si>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</si>
  <si>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</si>
  <si>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</si>
  <si>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</si>
  <si>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</si>
  <si>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</si>
  <si>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</si>
  <si>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</si>
  <si>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</si>
  <si>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</si>
  <si>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</si>
  <si>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</si>
  <si>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</si>
  <si>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</si>
  <si>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</si>
  <si>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</si>
  <si>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</si>
  <si>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</si>
  <si>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</si>
  <si>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</si>
  <si>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</si>
  <si>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</si>
  <si>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</si>
  <si>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</si>
  <si>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</si>
  <si>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</si>
  <si>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</si>
  <si>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</si>
  <si>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</si>
  <si>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</si>
  <si>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</si>
  <si>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</si>
  <si>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</si>
  <si>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</si>
  <si>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</si>
  <si>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</si>
  <si>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</si>
  <si>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</si>
  <si>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</si>
  <si>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</si>
  <si>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</si>
  <si>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</si>
  <si>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</si>
  <si>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</si>
  <si>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</si>
  <si>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</si>
  <si>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</si>
  <si>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</si>
  <si>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</si>
  <si>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</si>
  <si>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</si>
  <si>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</si>
  <si>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</si>
  <si>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</si>
  <si>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</si>
  <si>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</si>
  <si>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</si>
  <si>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</si>
  <si>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</si>
  <si>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</si>
  <si>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</si>
  <si>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</si>
  <si>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</si>
  <si>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</si>
  <si>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</si>
  <si>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</si>
  <si>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</si>
  <si>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</si>
  <si>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</si>
  <si>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</si>
  <si>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</si>
  <si>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</si>
  <si>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</si>
  <si>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</si>
  <si>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</si>
  <si>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</si>
  <si>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</si>
  <si>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</si>
  <si>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</si>
  <si>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</si>
  <si>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</si>
  <si>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</si>
  <si>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</si>
  <si>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</si>
  <si>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</si>
  <si>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</si>
  <si>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</si>
  <si>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</si>
  <si>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</si>
  <si>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</si>
  <si>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</si>
  <si>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</si>
  <si>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</si>
  <si>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</si>
  <si>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</si>
  <si>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</si>
  <si>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</si>
  <si>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</si>
  <si>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</si>
  <si>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</si>
  <si>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</si>
  <si>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</si>
  <si>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</si>
  <si>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</si>
  <si>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</si>
  <si>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</si>
  <si>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</si>
  <si>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</si>
  <si>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</si>
  <si>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</si>
  <si>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</si>
  <si>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</si>
  <si>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</si>
  <si>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</si>
  <si>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</si>
  <si>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</si>
  <si>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</si>
  <si>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</si>
  <si>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</si>
  <si>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</si>
  <si>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</si>
  <si>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</si>
  <si>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</si>
  <si>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</si>
  <si>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</si>
  <si>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</si>
  <si>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</si>
  <si>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</si>
  <si>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</si>
  <si>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</si>
  <si>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</si>
  <si>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</si>
  <si>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</si>
  <si>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</si>
  <si>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</si>
  <si>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</si>
  <si>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</si>
  <si>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</si>
  <si>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</si>
  <si>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</si>
  <si>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</si>
  <si>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</si>
  <si>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</si>
  <si>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</si>
  <si>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</si>
  <si>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</si>
  <si>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</si>
  <si>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</si>
  <si>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</si>
  <si>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</si>
  <si>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</si>
  <si>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</si>
  <si>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</si>
  <si>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</si>
  <si>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</si>
  <si>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</si>
  <si>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</si>
  <si>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</si>
  <si>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</si>
  <si>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</si>
  <si>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</si>
  <si>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</si>
  <si>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</si>
  <si>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</si>
  <si>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</si>
  <si>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</si>
  <si>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</si>
  <si>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</si>
  <si>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</si>
  <si>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</si>
  <si>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</si>
  <si>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</si>
  <si>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</si>
  <si>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</si>
  <si>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</si>
  <si>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</si>
  <si>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</si>
  <si>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</si>
  <si>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</si>
  <si>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</si>
  <si>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</si>
  <si>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</si>
  <si>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</si>
  <si>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</si>
  <si>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</si>
  <si>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</si>
  <si>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</si>
  <si>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</si>
  <si>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</si>
  <si>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</si>
  <si>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</si>
  <si>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</si>
  <si>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</si>
  <si>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</si>
  <si>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</si>
  <si>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</si>
  <si>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</si>
  <si>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</si>
  <si>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</si>
  <si>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</si>
  <si>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</si>
  <si>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</si>
  <si>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</si>
  <si>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</si>
  <si>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</si>
  <si>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</si>
  <si>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</si>
  <si>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</si>
  <si>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</si>
  <si>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</si>
  <si>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</si>
  <si>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</si>
  <si>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</si>
  <si>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</si>
  <si>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</si>
  <si>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</si>
  <si>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</si>
  <si>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</si>
  <si>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</si>
  <si>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</si>
  <si>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</si>
  <si>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</si>
  <si>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</si>
  <si>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</si>
  <si>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</si>
  <si>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</si>
  <si>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</si>
  <si>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</si>
  <si>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</si>
  <si>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</si>
  <si>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</si>
  <si>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</si>
  <si>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</si>
  <si>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</si>
  <si>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</si>
  <si>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</si>
  <si>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</si>
  <si>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</si>
  <si>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</si>
  <si>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</si>
  <si>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</si>
  <si>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</si>
  <si>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</si>
  <si>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</si>
  <si>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</si>
  <si>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</si>
  <si>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</si>
  <si>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</si>
  <si>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</si>
  <si>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</si>
  <si>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</si>
  <si>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</si>
  <si>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</si>
  <si>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</si>
  <si>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</si>
  <si>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</si>
  <si>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</si>
  <si>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</si>
  <si>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</si>
  <si>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</si>
  <si>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</si>
  <si>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</si>
  <si>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</si>
  <si>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</si>
  <si>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</si>
  <si>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</si>
  <si>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</si>
  <si>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</si>
  <si>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</si>
  <si>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</si>
  <si>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</si>
  <si>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</si>
  <si>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</si>
  <si>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</si>
  <si>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</si>
  <si>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</si>
  <si>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</si>
  <si>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</si>
  <si>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</si>
  <si>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</si>
  <si>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</si>
  <si>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</si>
  <si>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</si>
  <si>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</si>
  <si>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</si>
  <si>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</si>
  <si>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</si>
  <si>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</si>
  <si>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</si>
  <si>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</si>
  <si>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</si>
  <si>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</si>
  <si>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</si>
  <si>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</si>
  <si>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</si>
  <si>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</si>
  <si>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</si>
  <si>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</si>
  <si>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</si>
  <si>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</si>
  <si>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</si>
  <si>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</si>
  <si>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</si>
  <si>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</si>
  <si>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</si>
  <si>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</si>
  <si>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</si>
  <si>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</si>
  <si>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</si>
  <si>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</si>
  <si>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</si>
  <si>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</si>
  <si>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</si>
  <si>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</si>
  <si>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</si>
  <si>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</si>
  <si>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</si>
  <si>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</si>
  <si>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</si>
  <si>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</si>
  <si>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</si>
  <si>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</si>
  <si>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</si>
  <si>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</si>
  <si>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</si>
  <si>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</si>
  <si>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</si>
  <si>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</si>
  <si>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</si>
  <si>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</si>
  <si>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</si>
  <si>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</si>
  <si>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</si>
  <si>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</si>
  <si>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</si>
  <si>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</si>
  <si>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</si>
  <si>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</si>
  <si>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</si>
  <si>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</si>
  <si>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</si>
  <si>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</si>
  <si>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</si>
  <si>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</si>
  <si>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</si>
  <si>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</si>
  <si>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</si>
  <si>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</si>
  <si>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</si>
  <si>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</si>
  <si>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</si>
  <si>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</si>
  <si>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</si>
  <si>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</si>
  <si>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</si>
  <si>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</si>
  <si>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</si>
  <si>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</si>
  <si>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</si>
  <si>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</si>
  <si>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</si>
  <si>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</si>
  <si>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</si>
  <si>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</si>
  <si>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</si>
  <si>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</si>
  <si>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</si>
  <si>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</si>
  <si>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</si>
  <si>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</si>
  <si>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</si>
  <si>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</si>
  <si>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</si>
  <si>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</si>
  <si>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</si>
  <si>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</si>
  <si>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</si>
  <si>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</si>
  <si>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</si>
  <si>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</si>
  <si>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</si>
  <si>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</si>
  <si>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</si>
  <si>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</si>
  <si>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</si>
  <si>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</si>
  <si>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</si>
  <si>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</si>
  <si>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</si>
  <si>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</si>
  <si>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</si>
  <si>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</si>
  <si>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</si>
  <si>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</si>
  <si>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</si>
  <si>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</si>
  <si>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</si>
  <si>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</si>
  <si>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</si>
  <si>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</si>
  <si>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</si>
  <si>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</si>
  <si>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</si>
  <si>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</si>
  <si>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</si>
  <si>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</si>
  <si>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</si>
  <si>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</si>
  <si>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</si>
  <si>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</si>
  <si>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</si>
  <si>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</si>
  <si>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</si>
  <si>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</si>
  <si>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</si>
  <si>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</si>
  <si>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</si>
  <si>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</si>
  <si>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</si>
  <si>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</si>
  <si>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</si>
  <si>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</si>
  <si>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</si>
  <si>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</si>
  <si>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</si>
  <si>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</si>
  <si>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</si>
  <si>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</si>
  <si>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</si>
  <si>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</si>
  <si>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</si>
  <si>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</si>
  <si>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</si>
  <si>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</si>
  <si>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</si>
  <si>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</si>
  <si>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</si>
  <si>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</si>
  <si>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</si>
  <si>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</si>
  <si>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</si>
  <si>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</si>
  <si>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</si>
  <si>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</si>
  <si>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</si>
  <si>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</si>
  <si>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</si>
  <si>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</si>
  <si>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</si>
  <si>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</si>
  <si>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</si>
  <si>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</si>
  <si>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</si>
  <si>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</si>
  <si>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</si>
  <si>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</si>
  <si>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</si>
  <si>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</si>
  <si>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</si>
  <si>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</si>
  <si>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</si>
  <si>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</si>
  <si>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</si>
  <si>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</si>
  <si>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</si>
  <si>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</si>
  <si>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</si>
  <si>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</si>
  <si>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</si>
  <si>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</si>
  <si>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</si>
  <si>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</si>
  <si>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</si>
  <si>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</si>
  <si>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</si>
  <si>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</si>
  <si>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</si>
  <si>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</si>
  <si>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</si>
  <si>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</si>
  <si>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</si>
  <si>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</si>
  <si>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</si>
  <si>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</si>
  <si>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</si>
  <si>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</si>
  <si>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</si>
  <si>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</si>
  <si>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</si>
  <si>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</si>
  <si>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</si>
  <si>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</si>
  <si>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</si>
  <si>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</si>
  <si>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</si>
  <si>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</si>
  <si>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</si>
  <si>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</si>
  <si>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</si>
  <si>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</si>
  <si>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</si>
  <si>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</si>
  <si>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</si>
  <si>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</si>
  <si>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</si>
  <si>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</si>
  <si>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</si>
  <si>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</si>
  <si>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</si>
  <si>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</si>
  <si>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</si>
  <si>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</si>
  <si>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</si>
  <si>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</si>
  <si>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</si>
  <si>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</si>
  <si>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</si>
  <si>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</si>
  <si>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</si>
  <si>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</si>
  <si>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</si>
  <si>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</si>
  <si>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</si>
  <si>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</si>
  <si>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</si>
  <si>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</si>
  <si>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</si>
  <si>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</si>
  <si>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</si>
  <si>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</si>
  <si>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</si>
  <si>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</si>
  <si>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</si>
  <si>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</si>
  <si>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</si>
  <si>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</si>
  <si>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</si>
  <si>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</si>
  <si>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</si>
  <si>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</si>
  <si>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</si>
  <si>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</si>
  <si>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</si>
  <si>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</si>
  <si>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</si>
  <si>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</si>
  <si>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</si>
  <si>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</si>
  <si>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</si>
  <si>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</si>
  <si>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</si>
  <si>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</si>
  <si>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</si>
  <si>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</si>
  <si>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</si>
  <si>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</si>
  <si>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</si>
  <si>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</si>
  <si>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</si>
  <si>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</si>
  <si>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</si>
  <si>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</si>
  <si>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</si>
  <si>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</si>
  <si>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</si>
  <si>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</si>
  <si>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</si>
  <si>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</si>
  <si>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</si>
  <si>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</si>
  <si>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</si>
  <si>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</si>
  <si>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</si>
  <si>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</si>
  <si>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</si>
  <si>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</si>
  <si>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</si>
  <si>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</si>
  <si>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</si>
  <si>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</si>
  <si>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</si>
  <si>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</si>
  <si>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</si>
  <si>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</si>
  <si>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</si>
  <si>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</si>
  <si>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</si>
  <si>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</si>
  <si>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</si>
  <si>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</si>
  <si>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</si>
  <si>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</si>
  <si>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</si>
  <si>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</si>
  <si>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</si>
  <si>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</si>
  <si>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</si>
  <si>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</si>
  <si>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</si>
  <si>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</si>
  <si>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</si>
  <si>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</si>
  <si>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</si>
  <si>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</si>
  <si>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</si>
  <si>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</si>
  <si>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</si>
  <si>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</si>
  <si>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</si>
  <si>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</si>
  <si>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</si>
  <si>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</si>
  <si>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</si>
  <si>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</si>
  <si>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</si>
  <si>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</si>
  <si>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</si>
  <si>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</si>
  <si>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</si>
  <si>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</si>
  <si>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</si>
  <si>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</si>
  <si>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</si>
  <si>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</si>
  <si>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</si>
  <si>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</si>
  <si>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</si>
  <si>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</si>
  <si>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</si>
  <si>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</si>
  <si>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</si>
  <si>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</si>
  <si>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</si>
  <si>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</si>
  <si>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</si>
  <si>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</si>
  <si>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</si>
  <si>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</si>
  <si>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</si>
  <si>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</si>
  <si>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</si>
  <si>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</si>
  <si>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</si>
  <si>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</si>
  <si>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</si>
  <si>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</si>
  <si>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</si>
  <si>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</si>
  <si>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</si>
  <si>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</si>
  <si>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</si>
  <si>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</si>
  <si>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</si>
  <si>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</si>
  <si>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</si>
  <si>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</si>
  <si>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</si>
  <si>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</si>
  <si>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</si>
  <si>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</si>
  <si>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</si>
  <si>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</si>
  <si>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</si>
  <si>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</si>
  <si>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</si>
  <si>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</si>
  <si>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</si>
  <si>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</si>
  <si>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</si>
  <si>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</si>
  <si>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</si>
  <si>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</si>
  <si>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</si>
  <si>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</si>
  <si>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</si>
  <si>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</si>
  <si>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</si>
  <si>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</si>
  <si>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</si>
  <si>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</si>
  <si>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</si>
  <si>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</si>
  <si>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</si>
  <si>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</si>
  <si>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</si>
  <si>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</si>
  <si>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</si>
  <si>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</si>
  <si>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</si>
  <si>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</si>
  <si>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</si>
  <si>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</si>
  <si>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</si>
  <si>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</si>
  <si>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</si>
  <si>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</si>
  <si>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</si>
  <si>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</si>
  <si>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</si>
  <si>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</si>
  <si>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</si>
  <si>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</si>
  <si>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</si>
  <si>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</si>
  <si>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</si>
  <si>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</si>
  <si>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</si>
  <si>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</si>
  <si>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</si>
  <si>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</si>
  <si>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</si>
  <si>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</si>
  <si>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</si>
  <si>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</si>
  <si>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</si>
  <si>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</si>
  <si>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</si>
  <si>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</si>
  <si>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</si>
  <si>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</si>
  <si>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</si>
  <si>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</si>
  <si>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</si>
  <si>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</si>
  <si>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</si>
  <si>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</si>
  <si>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</si>
  <si>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</si>
  <si>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</si>
  <si>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</si>
  <si>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</si>
  <si>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</si>
  <si>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</si>
  <si>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</si>
  <si>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</si>
  <si>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</si>
  <si>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</si>
  <si>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</si>
  <si>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</si>
  <si>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</si>
  <si>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</si>
  <si>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</si>
  <si>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</si>
  <si>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</si>
  <si>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</si>
  <si>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</si>
  <si>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</si>
  <si>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</si>
  <si>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</si>
  <si>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</si>
  <si>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</si>
  <si>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</si>
  <si>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</si>
  <si>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</si>
  <si>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</si>
  <si>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</si>
  <si>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</si>
  <si>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</si>
  <si>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</si>
  <si>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</si>
  <si>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</si>
  <si>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</si>
  <si>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</si>
  <si>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</si>
  <si>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</si>
  <si>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</si>
  <si>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</si>
  <si>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</si>
  <si>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</si>
  <si>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</si>
  <si>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</si>
  <si>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</si>
  <si>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</si>
  <si>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</si>
  <si>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</si>
  <si>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</si>
  <si>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</si>
  <si>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</si>
  <si>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</si>
  <si>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</si>
  <si>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</si>
  <si>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</si>
  <si>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</si>
  <si>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</si>
  <si>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</si>
  <si>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</si>
  <si>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</si>
  <si>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</si>
  <si>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</si>
  <si>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</si>
  <si>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</si>
  <si>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</si>
  <si>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</si>
  <si>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</si>
  <si>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</si>
  <si>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</si>
  <si>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</si>
  <si>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</si>
  <si>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</si>
  <si>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</si>
  <si>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</si>
  <si>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</si>
  <si>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</si>
  <si>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</si>
  <si>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</si>
  <si>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</si>
  <si>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</si>
  <si>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</si>
  <si>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</si>
  <si>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</si>
  <si>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</si>
  <si>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</si>
  <si>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</si>
  <si>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</si>
  <si>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</si>
  <si>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</si>
  <si>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</si>
  <si>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</si>
  <si>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</si>
  <si>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</si>
  <si>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</si>
  <si>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</si>
  <si>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</si>
  <si>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</si>
  <si>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</si>
  <si>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</si>
  <si>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</si>
  <si>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</si>
  <si>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</si>
  <si>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</si>
  <si>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</si>
  <si>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</si>
  <si>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</si>
  <si>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</si>
  <si>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</si>
  <si>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</si>
  <si>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</si>
  <si>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</si>
  <si>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</si>
  <si>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</si>
  <si>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</si>
  <si>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</si>
  <si>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</si>
  <si>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</si>
  <si>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</si>
  <si>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</si>
  <si>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</si>
  <si>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</si>
  <si>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</si>
  <si>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</si>
  <si>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</si>
  <si>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</si>
  <si>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</si>
  <si>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</si>
  <si>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</si>
  <si>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</si>
  <si>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</si>
  <si>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</si>
  <si>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</si>
  <si>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</si>
  <si>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</si>
  <si>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</si>
  <si>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</si>
  <si>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</si>
  <si>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</si>
  <si>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</si>
  <si>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</si>
  <si>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</si>
  <si>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</si>
  <si>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</si>
  <si>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</si>
  <si>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</si>
  <si>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</si>
  <si>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</si>
  <si>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</si>
  <si>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</si>
  <si>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</si>
  <si>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</si>
  <si>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</si>
  <si>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</si>
  <si>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</si>
  <si>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</si>
  <si>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</si>
  <si>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</si>
  <si>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</si>
  <si>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</si>
  <si>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</si>
  <si>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</si>
  <si>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</si>
  <si>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</si>
  <si>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</si>
  <si>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</si>
  <si>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</si>
  <si>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</si>
  <si>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</si>
  <si>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</si>
  <si>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</si>
  <si>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</si>
  <si>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</si>
  <si>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</si>
  <si>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</si>
  <si>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</si>
  <si>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</si>
  <si>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</si>
  <si>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</si>
  <si>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</si>
  <si>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</si>
  <si>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</si>
  <si>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</si>
  <si>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</si>
  <si>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</si>
  <si>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</si>
  <si>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</si>
  <si>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</si>
  <si>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</si>
  <si>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</si>
  <si>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</si>
  <si>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</si>
  <si>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</si>
  <si>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</si>
  <si>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</si>
  <si>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</si>
  <si>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</si>
  <si>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</si>
  <si>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</si>
  <si>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</si>
  <si>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</si>
  <si>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</si>
  <si>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</si>
  <si>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</si>
  <si>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</si>
  <si>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</si>
  <si>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</si>
  <si>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</si>
  <si>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</si>
  <si>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</si>
  <si>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</si>
  <si>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</si>
  <si>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</si>
  <si>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</si>
  <si>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</si>
  <si>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</si>
  <si>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</si>
  <si>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</si>
  <si>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</si>
  <si>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</si>
  <si>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</si>
  <si>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</si>
  <si>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</si>
  <si>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</si>
  <si>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</si>
  <si>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</si>
  <si>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</si>
  <si>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</si>
  <si>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</si>
  <si>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</si>
  <si>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</si>
  <si>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</si>
  <si>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</si>
  <si>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</si>
  <si>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</si>
  <si>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</si>
  <si>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</si>
  <si>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</si>
  <si>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</si>
  <si>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</si>
  <si>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</si>
  <si>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</si>
  <si>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</si>
  <si>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</si>
  <si>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</si>
  <si>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</si>
  <si>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</si>
  <si>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</si>
  <si>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</si>
  <si>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</si>
  <si>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</si>
  <si>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</si>
  <si>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</si>
  <si>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</si>
  <si>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</si>
  <si>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</si>
  <si>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</si>
  <si>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</si>
  <si>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</si>
  <si>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</si>
  <si>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</si>
  <si>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</si>
  <si>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</si>
  <si>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</si>
  <si>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</si>
  <si>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</si>
  <si>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</si>
  <si>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</si>
  <si>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</si>
  <si>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</si>
  <si>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</si>
  <si>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</si>
  <si>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</si>
  <si>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</si>
  <si>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</si>
  <si>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</si>
  <si>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</si>
  <si>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</si>
  <si>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</si>
  <si>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</si>
  <si>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</si>
  <si>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</si>
  <si>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</si>
  <si>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</si>
  <si>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</si>
  <si>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</si>
  <si>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</si>
  <si>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</si>
  <si>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</si>
  <si>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</si>
  <si>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</si>
  <si>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</si>
  <si>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</si>
  <si>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</si>
  <si>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</si>
  <si>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</si>
  <si>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</si>
  <si>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</si>
  <si>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</si>
  <si>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</si>
  <si>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</si>
  <si>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</si>
  <si>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</si>
  <si>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</si>
  <si>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</si>
  <si>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</si>
  <si>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</si>
  <si>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</si>
  <si>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</si>
  <si>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</si>
  <si>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</si>
  <si>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</si>
  <si>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</si>
  <si>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</si>
  <si>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</si>
  <si>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</si>
  <si>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</si>
  <si>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</si>
  <si>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</si>
  <si>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</si>
  <si>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</si>
  <si>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</si>
  <si>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</si>
  <si>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</si>
  <si>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</si>
  <si>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</si>
  <si>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</si>
  <si>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</si>
  <si>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</si>
  <si>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</si>
  <si>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</si>
  <si>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</si>
  <si>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</si>
  <si>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</si>
  <si>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</si>
  <si>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</si>
  <si>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</si>
  <si>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</si>
  <si>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</si>
  <si>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</si>
  <si>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</si>
  <si>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</si>
  <si>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</si>
  <si>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</si>
  <si>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</si>
  <si>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</si>
  <si>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</si>
  <si>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</si>
  <si>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</si>
  <si>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</si>
  <si>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</si>
  <si>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</si>
  <si>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</si>
  <si>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</si>
  <si>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</si>
  <si>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</si>
  <si>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</si>
  <si>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</si>
  <si>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</si>
  <si>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</si>
  <si>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</si>
  <si>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</si>
  <si>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</si>
  <si>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</si>
  <si>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</si>
  <si>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</si>
  <si>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</si>
  <si>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</si>
  <si>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</si>
  <si>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</si>
  <si>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</si>
  <si>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</si>
  <si>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</si>
  <si>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</si>
  <si>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</si>
  <si>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</si>
  <si>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</si>
  <si>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</si>
  <si>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</si>
  <si>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</si>
  <si>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</si>
  <si>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</si>
  <si>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</si>
  <si>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</si>
  <si>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</si>
  <si>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</si>
  <si>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</si>
  <si>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</si>
  <si>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</si>
  <si>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</si>
  <si>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</si>
  <si>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</si>
  <si>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</si>
  <si>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</si>
  <si>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</si>
  <si>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</si>
  <si>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</si>
  <si>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</si>
  <si>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</si>
  <si>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</si>
  <si>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</si>
  <si>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</si>
  <si>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</si>
  <si>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</si>
  <si>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</si>
  <si>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</si>
  <si>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</si>
  <si>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</si>
  <si>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</si>
  <si>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</si>
  <si>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</si>
  <si>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</si>
  <si>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</si>
  <si>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</si>
  <si>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</si>
  <si>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</si>
  <si>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</si>
  <si>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</si>
  <si>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</si>
  <si>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</si>
  <si>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</si>
  <si>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</si>
  <si>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</si>
  <si>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</si>
  <si>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</si>
  <si>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</si>
  <si>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</si>
  <si>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</si>
  <si>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</si>
  <si>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</si>
  <si>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</si>
  <si>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</si>
  <si>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</si>
  <si>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</si>
  <si>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</si>
  <si>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</si>
  <si>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</si>
  <si>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</si>
  <si>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</si>
  <si>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</si>
  <si>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</si>
  <si>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</si>
  <si>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</si>
  <si>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</si>
  <si>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</si>
  <si>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</si>
  <si>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</si>
  <si>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</si>
  <si>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</si>
  <si>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</si>
  <si>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</si>
  <si>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</si>
  <si>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</si>
  <si>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</si>
  <si>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</si>
  <si>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</si>
  <si>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</si>
  <si>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</si>
  <si>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</si>
  <si>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</si>
  <si>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</si>
  <si>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</si>
  <si>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</si>
  <si>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</si>
  <si>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</si>
  <si>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</si>
  <si>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</si>
  <si>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</si>
  <si>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</si>
  <si>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</si>
  <si>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</si>
  <si>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</si>
  <si>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</si>
  <si>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</si>
  <si>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</si>
  <si>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</si>
  <si>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</si>
  <si>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</si>
  <si>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</si>
  <si>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</si>
  <si>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</si>
  <si>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</si>
  <si>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</si>
  <si>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</si>
  <si>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</si>
  <si>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</si>
  <si>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</si>
  <si>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</si>
  <si>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</si>
  <si>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</si>
  <si>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</si>
  <si>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</si>
  <si>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</si>
  <si>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</si>
  <si>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</si>
  <si>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</si>
  <si>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</si>
  <si>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</si>
  <si>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</si>
  <si>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</si>
  <si>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</si>
  <si>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</si>
  <si>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</si>
  <si>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</si>
  <si>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</si>
  <si>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</si>
  <si>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</si>
  <si>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</si>
  <si>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</si>
  <si>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</si>
  <si>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</si>
  <si>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</si>
  <si>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</si>
  <si>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</si>
  <si>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</si>
  <si>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</si>
  <si>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</si>
  <si>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</si>
  <si>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</si>
  <si>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</si>
  <si>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</si>
  <si>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</si>
  <si>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</si>
  <si>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</si>
  <si>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</si>
  <si>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</si>
  <si>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</si>
  <si>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</si>
  <si>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</si>
  <si>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</si>
  <si>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</si>
  <si>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</si>
  <si>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</si>
  <si>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</si>
  <si>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</si>
  <si>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</si>
  <si>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</si>
  <si>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</si>
  <si>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</si>
  <si>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</si>
  <si>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</si>
  <si>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</si>
  <si>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</si>
  <si>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</si>
  <si>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</si>
  <si>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</si>
  <si>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</si>
  <si>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</si>
  <si>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</si>
  <si>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</si>
  <si>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</si>
  <si>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</si>
  <si>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</si>
  <si>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</si>
  <si>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</si>
  <si>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</si>
  <si>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</si>
  <si>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</si>
  <si>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</si>
  <si>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</si>
  <si>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</si>
  <si>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</si>
  <si>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</si>
  <si>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</si>
  <si>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</si>
  <si>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</si>
  <si>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</si>
  <si>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</si>
  <si>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</si>
  <si>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</si>
  <si>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</si>
  <si>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</si>
  <si>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</si>
  <si>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</si>
  <si>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</si>
  <si>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</si>
  <si>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</si>
  <si>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</si>
  <si>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</si>
  <si>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</si>
  <si>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</si>
  <si>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</si>
  <si>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</si>
  <si>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</si>
  <si>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</si>
  <si>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</si>
  <si>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</si>
  <si>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</si>
  <si>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</si>
  <si>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</si>
  <si>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</si>
  <si>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</si>
  <si>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</si>
  <si>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</si>
  <si>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</si>
  <si>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</si>
  <si>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</si>
  <si>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</si>
  <si>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</si>
  <si>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</si>
  <si>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</si>
  <si>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</si>
  <si>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</si>
  <si>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</si>
  <si>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</si>
  <si>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</si>
  <si>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</si>
  <si>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</si>
  <si>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</si>
  <si>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</si>
  <si>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</si>
  <si>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</si>
  <si>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</si>
  <si>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</si>
  <si>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</si>
  <si>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</si>
  <si>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</si>
  <si>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</si>
  <si>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</si>
  <si>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</si>
  <si>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</si>
  <si>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</si>
  <si>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</si>
  <si>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</si>
  <si>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</si>
  <si>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</si>
  <si>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</si>
  <si>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</si>
  <si>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</si>
  <si>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</si>
  <si>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</si>
  <si>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</si>
  <si>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</si>
  <si>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</si>
  <si>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</si>
  <si>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</si>
  <si>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</si>
  <si>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</si>
  <si>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</si>
  <si>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</si>
  <si>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</si>
  <si>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</si>
  <si>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</si>
  <si>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</si>
  <si>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</si>
  <si>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</si>
  <si>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</si>
  <si>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</si>
  <si>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</si>
  <si>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</si>
  <si>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</si>
  <si>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</si>
  <si>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</si>
  <si>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</si>
  <si>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</si>
  <si>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</si>
  <si>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</si>
  <si>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</si>
  <si>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</si>
  <si>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</si>
  <si>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</si>
  <si>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</si>
  <si>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</si>
  <si>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</si>
  <si>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</si>
  <si>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</si>
  <si>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</si>
  <si>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</si>
  <si>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</si>
  <si>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</si>
  <si>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</si>
  <si>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</si>
  <si>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</si>
  <si>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</si>
  <si>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</si>
  <si>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</si>
  <si>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</si>
  <si>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</si>
  <si>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</si>
  <si>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</si>
  <si>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</si>
  <si>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</si>
  <si>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</si>
  <si>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</si>
  <si>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</si>
  <si>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</si>
  <si>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</si>
  <si>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</si>
  <si>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</si>
  <si>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</si>
  <si>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</si>
  <si>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</si>
  <si>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</si>
  <si>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</si>
  <si>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</si>
  <si>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</si>
  <si>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</si>
  <si>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</si>
  <si>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</si>
  <si>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</si>
  <si>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</si>
  <si>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</si>
  <si>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</si>
  <si>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</si>
  <si>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</si>
  <si>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</si>
  <si>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</si>
  <si>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</si>
  <si>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</si>
  <si>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</si>
  <si>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</si>
  <si>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</si>
  <si>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</si>
  <si>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</si>
  <si>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</si>
  <si>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</si>
  <si>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</si>
  <si>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</si>
  <si>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</si>
  <si>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</si>
  <si>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</si>
  <si>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</si>
  <si>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</si>
  <si>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</si>
  <si>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</si>
  <si>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</si>
  <si>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</si>
  <si>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</si>
  <si>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</si>
  <si>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</si>
  <si>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</si>
  <si>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</si>
  <si>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</si>
  <si>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</si>
  <si>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</si>
  <si>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</si>
  <si>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</si>
  <si>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</si>
  <si>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</si>
  <si>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</si>
  <si>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</si>
  <si>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</si>
  <si>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</si>
  <si>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</si>
  <si>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</si>
  <si>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</si>
  <si>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</si>
  <si>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</si>
  <si>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</si>
  <si>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</si>
  <si>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</si>
  <si>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</si>
  <si>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</si>
  <si>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</si>
  <si>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</si>
  <si>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</si>
  <si>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</si>
  <si>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</si>
  <si>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</si>
  <si>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</si>
  <si>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</si>
  <si>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</si>
  <si>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</si>
  <si>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</si>
  <si>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</si>
  <si>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</si>
  <si>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</si>
  <si>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</si>
  <si>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</si>
  <si>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</si>
  <si>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</si>
  <si>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</si>
  <si>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</si>
  <si>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</si>
  <si>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</si>
  <si>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</si>
  <si>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</si>
  <si>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</si>
  <si>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</si>
  <si>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</si>
  <si>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</si>
  <si>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</si>
  <si>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</si>
  <si>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</si>
  <si>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</si>
  <si>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</si>
  <si>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</si>
  <si>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</si>
  <si>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</si>
  <si>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</si>
  <si>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</si>
  <si>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</si>
  <si>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</si>
  <si>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</si>
  <si>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</si>
  <si>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</si>
  <si>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</si>
  <si>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</si>
  <si>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</si>
  <si>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</si>
  <si>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</si>
  <si>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</si>
  <si>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</si>
  <si>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</si>
  <si>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</si>
  <si>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</si>
  <si>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</si>
  <si>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</si>
  <si>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</si>
  <si>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</si>
  <si>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</si>
  <si>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</si>
  <si>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</si>
  <si>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</si>
  <si>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</si>
  <si>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</si>
  <si>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</si>
  <si>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</si>
  <si>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</si>
  <si>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</si>
  <si>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</si>
  <si>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</si>
  <si>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</si>
  <si>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</si>
  <si>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</si>
  <si>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</si>
  <si>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</si>
  <si>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</si>
  <si>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</si>
  <si>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</si>
  <si>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</si>
  <si>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</si>
  <si>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</si>
  <si>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</si>
  <si>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</si>
  <si>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</si>
  <si>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</si>
  <si>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</si>
  <si>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</si>
  <si>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</si>
  <si>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</si>
  <si>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</si>
  <si>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</si>
  <si>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</si>
  <si>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</si>
  <si>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</si>
  <si>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</si>
  <si>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</si>
  <si>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</si>
  <si>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</si>
  <si>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</si>
  <si>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</si>
  <si>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</si>
  <si>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</si>
  <si>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</si>
  <si>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</si>
  <si>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</si>
  <si>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</si>
  <si>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</si>
  <si>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</si>
  <si>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</si>
  <si>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</si>
  <si>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</si>
  <si>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</si>
  <si>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</si>
  <si>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</si>
  <si>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</si>
  <si>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</si>
  <si>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</si>
  <si>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</si>
  <si>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</si>
  <si>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</si>
  <si>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</si>
  <si>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</si>
  <si>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</si>
  <si>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</si>
  <si>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</si>
  <si>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</si>
  <si>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</si>
  <si>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</si>
  <si>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</si>
  <si>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</si>
  <si>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</si>
  <si>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</si>
  <si>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</si>
  <si>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</si>
  <si>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</si>
  <si>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</si>
  <si>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</si>
  <si>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</si>
  <si>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</si>
  <si>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</si>
  <si>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</si>
  <si>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</si>
  <si>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</si>
  <si>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</si>
  <si>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</si>
  <si>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</si>
  <si>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</si>
  <si>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</si>
  <si>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</si>
  <si>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</si>
  <si>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</si>
  <si>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</si>
  <si>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</si>
  <si>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</si>
  <si>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</si>
  <si>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</si>
  <si>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</si>
  <si>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</si>
  <si>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</si>
  <si>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</si>
  <si>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</si>
  <si>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</si>
  <si>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</si>
  <si>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</si>
  <si>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</si>
  <si>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</si>
  <si>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</si>
  <si>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</si>
  <si>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</si>
  <si>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</si>
  <si>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</si>
  <si>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</si>
  <si>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</si>
  <si>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</si>
  <si>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</si>
  <si>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</si>
  <si>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</si>
  <si>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</si>
  <si>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</si>
  <si>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</si>
  <si>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</si>
  <si>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</si>
  <si>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</si>
  <si>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</si>
  <si>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</si>
  <si>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</si>
  <si>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</si>
  <si>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</si>
  <si>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</si>
  <si>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</si>
  <si>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</si>
  <si>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</si>
  <si>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</si>
  <si>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</si>
  <si>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</si>
  <si>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</si>
  <si>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</si>
  <si>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</si>
  <si>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</si>
  <si>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</si>
  <si>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</si>
  <si>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</si>
  <si>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</si>
  <si>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</si>
  <si>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</si>
  <si>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</si>
  <si>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</si>
  <si>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</si>
  <si>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</si>
  <si>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</si>
  <si>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</si>
  <si>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</si>
  <si>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</si>
  <si>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</si>
  <si>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</si>
  <si>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</si>
  <si>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</si>
  <si>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</si>
  <si>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</si>
  <si>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</si>
  <si>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</si>
  <si>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</si>
  <si>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</si>
  <si>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</si>
  <si>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</si>
  <si>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</si>
  <si>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</si>
  <si>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</si>
  <si>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</si>
  <si>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</si>
  <si>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</si>
  <si>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</si>
  <si>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</si>
  <si>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</si>
  <si>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</si>
  <si>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</si>
  <si>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</si>
  <si>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</si>
  <si>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</si>
  <si>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</si>
  <si>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</si>
  <si>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</si>
  <si>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</si>
  <si>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</si>
  <si>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</si>
  <si>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</si>
  <si>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</si>
  <si>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</si>
  <si>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</si>
  <si>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</si>
  <si>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</si>
  <si>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</si>
  <si>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</si>
  <si>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</si>
  <si>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</si>
  <si>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</si>
  <si>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</si>
  <si>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</si>
  <si>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</si>
  <si>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</si>
  <si>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</si>
  <si>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</si>
  <si>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</si>
  <si>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</si>
  <si>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</si>
  <si>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</si>
  <si>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</si>
  <si>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</si>
  <si>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</si>
  <si>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</si>
  <si>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</si>
  <si>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</si>
  <si>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</si>
  <si>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</si>
  <si>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</si>
  <si>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</si>
  <si>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</si>
  <si>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</si>
  <si>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</si>
  <si>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</si>
  <si>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</si>
  <si>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</si>
  <si>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</si>
  <si>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</si>
  <si>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</si>
  <si>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</si>
  <si>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</si>
  <si>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</si>
  <si>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</si>
  <si>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</si>
  <si>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</si>
  <si>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</si>
  <si>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</si>
  <si>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</si>
  <si>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</si>
  <si>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</si>
  <si>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</si>
  <si>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</si>
  <si>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</si>
  <si>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</si>
  <si>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</si>
  <si>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</si>
  <si>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</si>
  <si>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</si>
  <si>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</si>
  <si>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</si>
  <si>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</si>
  <si>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</si>
  <si>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</si>
  <si>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</si>
  <si>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</si>
  <si>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</si>
  <si>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</si>
  <si>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</si>
  <si>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</si>
  <si>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</si>
  <si>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</si>
  <si>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</si>
  <si>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</si>
  <si>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</si>
  <si>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</si>
  <si>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</si>
  <si>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</si>
  <si>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</si>
  <si>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</si>
  <si>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</si>
  <si>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</si>
  <si>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</si>
  <si>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</si>
  <si>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</si>
  <si>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</si>
  <si>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</si>
  <si>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</si>
  <si>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</si>
  <si>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</si>
  <si>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</si>
  <si>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</si>
  <si>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</si>
  <si>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</si>
  <si>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</si>
  <si>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</si>
  <si>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</si>
  <si>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</si>
  <si>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</si>
  <si>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</si>
  <si>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</si>
  <si>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</si>
  <si>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</si>
  <si>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</si>
  <si>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</si>
  <si>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</si>
  <si>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</si>
  <si>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</si>
  <si>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</si>
  <si>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</si>
  <si>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</si>
  <si>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</si>
  <si>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</si>
  <si>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</si>
  <si>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</si>
  <si>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</si>
  <si>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</si>
  <si>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</si>
  <si>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</si>
  <si>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</si>
  <si>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</si>
  <si>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</si>
  <si>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</si>
  <si>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</si>
  <si>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</si>
  <si>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</si>
  <si>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</si>
  <si>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</si>
  <si>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</si>
  <si>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</si>
  <si>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</si>
  <si>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</si>
  <si>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</si>
  <si>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</si>
  <si>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</si>
  <si>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</si>
  <si>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</si>
  <si>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</si>
  <si>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</si>
  <si>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</si>
  <si>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</si>
  <si>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</si>
  <si>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</si>
  <si>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</si>
  <si>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</si>
  <si>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</si>
  <si>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</si>
  <si>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</si>
  <si>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</si>
  <si>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</si>
  <si>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</si>
  <si>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</si>
  <si>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</si>
  <si>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</si>
  <si>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</si>
  <si>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</si>
  <si>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</si>
  <si>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</si>
  <si>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</si>
  <si>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</si>
  <si>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</si>
  <si>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</si>
  <si>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</si>
  <si>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</si>
  <si>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</si>
  <si>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</si>
  <si>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</si>
  <si>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</si>
  <si>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</si>
  <si>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</si>
  <si>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</si>
  <si>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</si>
  <si>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</si>
  <si>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</si>
  <si>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</si>
  <si>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</si>
  <si>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</si>
  <si>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</si>
  <si>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</si>
  <si>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</si>
  <si>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</si>
  <si>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</si>
  <si>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</si>
  <si>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</si>
  <si>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</si>
  <si>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</si>
  <si>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</si>
  <si>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</si>
  <si>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</si>
  <si>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</si>
  <si>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</si>
  <si>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</si>
  <si>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</si>
  <si>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</si>
  <si>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</si>
  <si>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</si>
  <si>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</si>
  <si>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</si>
  <si>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</si>
  <si>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</si>
  <si>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</si>
  <si>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</si>
  <si>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</si>
  <si>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</si>
  <si>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</si>
  <si>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</si>
  <si>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</si>
  <si>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</si>
  <si>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</si>
  <si>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</si>
  <si>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</si>
  <si>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</si>
  <si>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</si>
  <si>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</si>
  <si>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</si>
  <si>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</si>
  <si>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</si>
  <si>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</si>
  <si>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</si>
  <si>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</si>
  <si>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</si>
  <si>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</si>
  <si>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</si>
  <si>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</si>
  <si>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</si>
  <si>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</si>
  <si>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</si>
  <si>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</si>
  <si>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</si>
  <si>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</si>
  <si>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</si>
  <si>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</si>
  <si>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</si>
  <si>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</si>
  <si>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</si>
  <si>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</si>
  <si>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</si>
  <si>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</si>
  <si>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</si>
  <si>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</si>
  <si>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</si>
  <si>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</si>
  <si>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</si>
  <si>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</si>
  <si>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</si>
  <si>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</si>
  <si>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</si>
  <si>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</si>
  <si>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</si>
  <si>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</si>
  <si>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</si>
  <si>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</si>
  <si>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</si>
  <si>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</si>
  <si>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</si>
  <si>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</si>
  <si>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</si>
  <si>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</si>
  <si>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</si>
  <si>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</si>
  <si>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</si>
  <si>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</si>
  <si>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</si>
  <si>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</si>
  <si>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</si>
  <si>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</si>
  <si>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</si>
  <si>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</si>
  <si>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</si>
  <si>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</si>
  <si>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</si>
  <si>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</si>
  <si>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</si>
  <si>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</si>
  <si>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</si>
  <si>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</si>
  <si>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</si>
  <si>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</si>
  <si>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</si>
  <si>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</si>
  <si>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</si>
  <si>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</si>
  <si>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</si>
  <si>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</si>
  <si>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</si>
  <si>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</si>
  <si>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</si>
  <si>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</si>
  <si>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</si>
  <si>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</si>
  <si>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</si>
  <si>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</si>
  <si>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</si>
  <si>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</si>
  <si>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</si>
  <si>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</si>
  <si>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</si>
  <si>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</si>
  <si>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</si>
  <si>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</si>
  <si>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</si>
  <si>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</si>
  <si>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</si>
  <si>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</si>
  <si>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</si>
  <si>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</si>
  <si>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</si>
  <si>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</si>
  <si>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</si>
  <si>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</si>
  <si>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</si>
  <si>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</si>
  <si>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</si>
  <si>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</si>
  <si>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</si>
  <si>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</si>
  <si>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</si>
  <si>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</si>
  <si>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</si>
  <si>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</si>
  <si>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</si>
  <si>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</si>
  <si>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</si>
  <si>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</si>
  <si>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</si>
  <si>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</si>
  <si>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</si>
  <si>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</si>
  <si>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</si>
  <si>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</si>
  <si>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</si>
  <si>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</si>
  <si>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</si>
  <si>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</si>
  <si>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</si>
  <si>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</si>
  <si>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</si>
  <si>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</si>
  <si>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</si>
  <si>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</si>
  <si>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</si>
  <si>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</si>
  <si>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</si>
  <si>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</si>
  <si>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</si>
  <si>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</si>
  <si>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</si>
  <si>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</si>
  <si>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</si>
  <si>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</si>
  <si>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</si>
  <si>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</si>
  <si>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</si>
  <si>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</si>
  <si>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</si>
  <si>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</si>
  <si>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</si>
  <si>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</si>
  <si>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</si>
  <si>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</si>
  <si>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</si>
  <si>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</si>
  <si>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</si>
  <si>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</si>
  <si>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</si>
  <si>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</si>
  <si>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</si>
  <si>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</si>
  <si>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</si>
  <si>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</si>
  <si>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</si>
  <si>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</si>
  <si>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</si>
  <si>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</si>
  <si>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</si>
  <si>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</si>
  <si>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</si>
  <si>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</si>
  <si>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</si>
  <si>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</si>
  <si>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</si>
  <si>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</si>
  <si>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</si>
  <si>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</si>
  <si>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</si>
  <si>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</si>
  <si>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</si>
  <si>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</si>
  <si>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</si>
  <si>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</si>
  <si>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</si>
  <si>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</si>
  <si>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</si>
  <si>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</si>
  <si>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</si>
  <si>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</si>
  <si>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</si>
  <si>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</si>
  <si>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</si>
  <si>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</si>
  <si>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</si>
  <si>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</si>
  <si>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</si>
  <si>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</si>
  <si>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</si>
  <si>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</si>
  <si>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</si>
  <si>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</si>
  <si>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</si>
  <si>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</si>
  <si>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</si>
  <si>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</si>
  <si>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</si>
  <si>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</si>
  <si>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</si>
  <si>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</si>
  <si>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</si>
  <si>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</si>
  <si>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</si>
  <si>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</si>
  <si>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</si>
  <si>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</si>
  <si>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</si>
  <si>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</si>
  <si>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</si>
  <si>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</si>
  <si>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</si>
  <si>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</si>
  <si>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</si>
  <si>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</si>
  <si>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</si>
  <si>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</si>
  <si>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</si>
  <si>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</si>
  <si>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</si>
  <si>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</si>
  <si>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</si>
  <si>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</si>
  <si>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</si>
  <si>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</si>
  <si>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</si>
  <si>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</si>
  <si>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</si>
  <si>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</si>
  <si>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</si>
  <si>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</si>
  <si>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</si>
  <si>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</si>
  <si>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</si>
  <si>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</si>
  <si>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</si>
  <si>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</si>
  <si>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</si>
  <si>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</si>
  <si>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</si>
  <si>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</si>
  <si>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</si>
  <si>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</si>
  <si>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</si>
  <si>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</si>
  <si>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</si>
  <si>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</si>
  <si>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</si>
  <si>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</si>
  <si>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</si>
  <si>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</si>
  <si>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</si>
  <si>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</si>
  <si>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</si>
  <si>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</si>
  <si>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</si>
  <si>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</si>
  <si>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</si>
  <si>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</si>
  <si>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</si>
  <si>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</si>
  <si>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</si>
  <si>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</si>
  <si>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</si>
  <si>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</si>
  <si>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</si>
  <si>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</si>
  <si>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</si>
  <si>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</si>
  <si>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</si>
  <si>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</si>
  <si>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</si>
  <si>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</si>
  <si>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</si>
  <si>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</si>
  <si>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</si>
  <si>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</si>
  <si>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</si>
  <si>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</si>
  <si>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</si>
  <si>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</si>
  <si>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</si>
  <si>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</si>
  <si>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</si>
  <si>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</si>
  <si>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</si>
  <si>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</si>
  <si>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</si>
  <si>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</si>
  <si>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</si>
  <si>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</si>
  <si>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</si>
  <si>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</si>
  <si>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</si>
  <si>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</si>
  <si>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</si>
  <si>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</si>
  <si>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</si>
  <si>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</si>
  <si>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</si>
  <si>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</si>
  <si>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</si>
  <si>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</si>
  <si>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</si>
  <si>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</si>
  <si>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</si>
  <si>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</si>
  <si>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</si>
  <si>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</si>
  <si>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</si>
  <si>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</si>
  <si>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</si>
  <si>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</si>
  <si>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</si>
  <si>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</si>
  <si>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</si>
  <si>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</si>
  <si>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</si>
  <si>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</si>
  <si>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</si>
  <si>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</si>
  <si>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</si>
  <si>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</si>
  <si>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</si>
  <si>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</si>
  <si>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</si>
  <si>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</si>
  <si>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</si>
  <si>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</si>
  <si>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</si>
  <si>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</si>
  <si>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</si>
  <si>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</si>
  <si>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</si>
  <si>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</si>
  <si>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</si>
  <si>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</si>
  <si>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</si>
  <si>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</si>
  <si>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</si>
  <si>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</si>
  <si>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</si>
  <si>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</si>
  <si>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</si>
  <si>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</si>
  <si>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</si>
  <si>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</si>
  <si>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</si>
  <si>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</si>
  <si>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</si>
  <si>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</si>
  <si>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</si>
  <si>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</si>
  <si>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</si>
  <si>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</si>
  <si>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</si>
  <si>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</si>
  <si>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</si>
  <si>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</si>
  <si>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</si>
  <si>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</si>
  <si>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</si>
  <si>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</si>
  <si>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</si>
  <si>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</si>
  <si>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</si>
  <si>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</si>
  <si>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</si>
  <si>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</si>
  <si>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</si>
  <si>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</si>
  <si>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</si>
  <si>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</si>
  <si>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</si>
  <si>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</si>
  <si>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</si>
  <si>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</si>
  <si>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</si>
  <si>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</si>
  <si>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</si>
  <si>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</si>
  <si>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</si>
  <si>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</si>
  <si>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</si>
  <si>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</si>
  <si>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</si>
  <si>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</si>
  <si>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</si>
  <si>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</si>
  <si>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</si>
  <si>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</si>
  <si>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</si>
  <si>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</si>
  <si>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</si>
  <si>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</si>
  <si>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</si>
  <si>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</si>
  <si>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</si>
  <si>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</si>
  <si>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</si>
  <si>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</si>
  <si>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</si>
  <si>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</si>
  <si>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</si>
  <si>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</si>
  <si>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</si>
  <si>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</si>
  <si>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</si>
  <si>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</si>
  <si>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</si>
  <si>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</si>
  <si>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</si>
  <si>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</si>
  <si>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</si>
  <si>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</si>
  <si>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</si>
  <si>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</si>
  <si>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</si>
  <si>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</si>
  <si>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</si>
  <si>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</si>
  <si>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</si>
  <si>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</si>
  <si>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</si>
  <si>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</si>
  <si>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</si>
  <si>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</si>
  <si>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</si>
  <si>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</si>
  <si>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</si>
  <si>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</si>
  <si>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</si>
  <si>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</si>
  <si>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</si>
  <si>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</si>
  <si>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</si>
  <si>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</si>
  <si>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</si>
  <si>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</si>
  <si>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</si>
  <si>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</si>
  <si>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</si>
  <si>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</si>
  <si>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</si>
  <si>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</si>
  <si>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</si>
  <si>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</si>
  <si>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</si>
  <si>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</si>
  <si>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</si>
  <si>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</si>
  <si>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</si>
  <si>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</si>
  <si>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</si>
  <si>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</si>
  <si>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</si>
  <si>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</si>
  <si>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</si>
  <si>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</si>
  <si>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</si>
  <si>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</si>
  <si>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</si>
  <si>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</si>
  <si>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</si>
  <si>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</si>
  <si>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</si>
  <si>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</si>
  <si>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</si>
  <si>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</si>
  <si>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</si>
  <si>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</si>
  <si>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</si>
  <si>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</si>
  <si>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</si>
  <si>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</si>
  <si>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</si>
  <si>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</si>
  <si>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</si>
  <si>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</si>
  <si>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</si>
  <si>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</si>
  <si>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</si>
  <si>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</si>
  <si>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</si>
  <si>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</si>
  <si>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</si>
  <si>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</si>
  <si>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</si>
  <si>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</si>
  <si>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</si>
  <si>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</si>
  <si>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</si>
  <si>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</si>
  <si>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</si>
  <si>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</si>
  <si>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</si>
  <si>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</si>
  <si>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</si>
  <si>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</si>
  <si>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</si>
  <si>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</si>
  <si>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</si>
  <si>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</si>
  <si>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</si>
  <si>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</si>
  <si>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</si>
  <si>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</si>
  <si>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</si>
  <si>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</si>
  <si>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</si>
  <si>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</si>
  <si>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</si>
  <si>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</si>
  <si>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</si>
  <si>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</si>
  <si>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</si>
  <si>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</si>
  <si>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</si>
  <si>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</si>
  <si>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</si>
  <si>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</si>
  <si>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</si>
  <si>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</si>
  <si>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</si>
  <si>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</si>
  <si>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</si>
  <si>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</si>
  <si>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</si>
  <si>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</si>
  <si>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</si>
  <si>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</si>
  <si>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</si>
  <si>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</si>
  <si>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</si>
  <si>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</si>
  <si>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</si>
  <si>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</si>
  <si>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</si>
  <si>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</si>
  <si>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</si>
  <si>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</si>
  <si>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</si>
  <si>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</si>
  <si>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</si>
  <si>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</si>
  <si>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</si>
  <si>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</si>
  <si>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</si>
  <si>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</si>
  <si>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</si>
  <si>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</si>
  <si>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</si>
  <si>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</si>
  <si>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</si>
  <si>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</si>
  <si>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</si>
  <si>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</si>
  <si>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</si>
  <si>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</si>
  <si>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</si>
  <si>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</si>
  <si>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</si>
  <si>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</si>
  <si>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</si>
  <si>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</si>
  <si>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</si>
  <si>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</si>
  <si>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</si>
  <si>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</si>
  <si>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</si>
  <si>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</si>
  <si>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</si>
  <si>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</si>
  <si>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</si>
  <si>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</si>
  <si>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</si>
  <si>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</si>
  <si>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</si>
  <si>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</si>
  <si>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</si>
  <si>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</si>
  <si>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</si>
  <si>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</si>
  <si>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</si>
  <si>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</si>
  <si>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</si>
  <si>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</si>
  <si>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</si>
  <si>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</si>
  <si>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</si>
  <si>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</si>
  <si>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</si>
  <si>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</si>
  <si>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</si>
  <si>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</si>
  <si>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</si>
  <si>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</si>
  <si>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</si>
  <si>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</si>
  <si>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</si>
  <si>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</si>
  <si>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</si>
  <si>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</si>
  <si>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</si>
  <si>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</si>
  <si>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</si>
  <si>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</si>
  <si>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</si>
  <si>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</si>
  <si>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</si>
  <si>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</si>
  <si>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</si>
  <si>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</si>
  <si>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</si>
  <si>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</si>
  <si>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</si>
  <si>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</si>
  <si>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</si>
  <si>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</si>
  <si>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</si>
  <si>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</si>
  <si>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</si>
  <si>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</si>
  <si>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</si>
  <si>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</si>
  <si>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</si>
  <si>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</si>
  <si>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</si>
  <si>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</si>
  <si>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</si>
  <si>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</si>
  <si>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</si>
  <si>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</si>
  <si>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</si>
  <si>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</si>
  <si>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</si>
  <si>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</si>
  <si>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</si>
  <si>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</si>
  <si>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</si>
  <si>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</si>
  <si>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</si>
  <si>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</si>
  <si>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</si>
  <si>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</si>
  <si>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</si>
  <si>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</si>
  <si>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</si>
  <si>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</si>
  <si>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</si>
  <si>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</si>
  <si>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</si>
  <si>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</si>
  <si>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</si>
  <si>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</si>
  <si>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</si>
  <si>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</si>
  <si>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</si>
  <si>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</si>
  <si>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</si>
  <si>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</si>
  <si>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</si>
  <si>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</si>
  <si>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</si>
  <si>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</si>
  <si>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</si>
  <si>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</si>
  <si>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</si>
  <si>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</si>
  <si>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</si>
  <si>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</si>
  <si>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</si>
  <si>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</si>
  <si>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</si>
  <si>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</si>
  <si>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</si>
  <si>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</si>
  <si>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</si>
  <si>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</si>
  <si>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</si>
  <si>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</si>
  <si>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</si>
  <si>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</si>
  <si>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</si>
  <si>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</si>
  <si>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</si>
  <si>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</si>
  <si>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</si>
  <si>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</si>
  <si>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</si>
  <si>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</si>
  <si>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</si>
  <si>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</si>
  <si>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</si>
  <si>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</si>
  <si>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</si>
  <si>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</si>
  <si>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</si>
  <si>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</si>
  <si>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</si>
  <si>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</si>
  <si>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</si>
  <si>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</si>
  <si>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</si>
  <si>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</si>
  <si>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</si>
  <si>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</si>
  <si>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</si>
  <si>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</si>
  <si>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</si>
  <si>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</si>
  <si>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</si>
  <si>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</si>
  <si>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</si>
  <si>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</si>
  <si>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</si>
  <si>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</si>
  <si>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</si>
  <si>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</si>
  <si>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</si>
  <si>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</si>
  <si>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</si>
  <si>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</si>
  <si>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</si>
  <si>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</si>
  <si>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</si>
  <si>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</si>
  <si>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</si>
  <si>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</si>
  <si>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</si>
  <si>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</si>
  <si>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</si>
  <si>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</si>
  <si>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</si>
  <si>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</si>
  <si>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</si>
  <si>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</si>
  <si>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</si>
  <si>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</si>
  <si>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</si>
  <si>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</si>
  <si>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</si>
  <si>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</si>
  <si>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</si>
  <si>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</si>
  <si>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</si>
  <si>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</si>
  <si>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</si>
  <si>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</si>
  <si>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</si>
  <si>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</si>
  <si>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</si>
  <si>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</si>
  <si>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</si>
  <si>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</si>
  <si>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</si>
  <si>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</si>
  <si>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</si>
  <si>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</si>
  <si>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</si>
  <si>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</si>
  <si>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</si>
  <si>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</si>
  <si>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</si>
  <si>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</si>
  <si>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</si>
  <si>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</si>
  <si>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</si>
  <si>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</si>
  <si>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</si>
  <si>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</si>
  <si>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</si>
  <si>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</si>
  <si>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</si>
  <si>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</si>
  <si>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</si>
  <si>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</si>
  <si>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</si>
  <si>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</si>
  <si>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</si>
  <si>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</si>
  <si>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</si>
  <si>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</si>
  <si>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</si>
  <si>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</si>
  <si>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</si>
  <si>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</si>
  <si>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</si>
  <si>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</si>
  <si>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</si>
  <si>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</si>
  <si>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</si>
  <si>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</si>
  <si>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</si>
  <si>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</si>
  <si>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</si>
  <si>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</si>
  <si>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</si>
  <si>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</si>
  <si>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</si>
  <si>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</si>
  <si>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</si>
  <si>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</si>
  <si>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</si>
  <si>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</si>
  <si>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</si>
  <si>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</si>
  <si>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</si>
  <si>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</si>
  <si>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</si>
  <si>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</si>
  <si>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</si>
  <si>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</si>
  <si>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</si>
  <si>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</si>
  <si>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</si>
  <si>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</si>
  <si>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</si>
  <si>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</si>
  <si>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</si>
  <si>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</si>
  <si>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</si>
  <si>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</si>
  <si>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</si>
  <si>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</si>
  <si>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</si>
  <si>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</si>
  <si>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</si>
  <si>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</si>
  <si>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</si>
  <si>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</si>
  <si>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</si>
  <si>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</si>
  <si>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</si>
  <si>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</si>
  <si>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</si>
  <si>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</si>
  <si>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</si>
  <si>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</si>
  <si>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</si>
  <si>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</si>
  <si>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</si>
  <si>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</si>
  <si>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</si>
  <si>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</si>
  <si>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</si>
  <si>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</si>
  <si>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</si>
  <si>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</si>
  <si>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</si>
  <si>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</si>
  <si>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</si>
  <si>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</si>
  <si>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</si>
  <si>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</si>
  <si>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</si>
  <si>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</si>
  <si>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</si>
  <si>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</si>
  <si>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</si>
  <si>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</si>
  <si>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</si>
  <si>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</si>
  <si>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</si>
  <si>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</si>
  <si>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</si>
  <si>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</si>
  <si>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</si>
  <si>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</si>
  <si>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</si>
  <si>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</si>
  <si>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</si>
  <si>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</si>
  <si>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</si>
  <si>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</si>
  <si>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</si>
  <si>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</si>
  <si>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</si>
  <si>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</si>
  <si>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</si>
  <si>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</si>
  <si>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</si>
  <si>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</si>
  <si>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</si>
  <si>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</si>
  <si>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</si>
  <si>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</si>
  <si>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</si>
  <si>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</si>
  <si>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</si>
  <si>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</si>
  <si>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</si>
  <si>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</si>
  <si>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</si>
  <si>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</si>
  <si>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</si>
  <si>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</si>
  <si>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</si>
  <si>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</si>
  <si>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</si>
  <si>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</si>
  <si>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</si>
  <si>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</si>
  <si>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</si>
  <si>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</si>
  <si>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</si>
  <si>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</si>
  <si>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</si>
  <si>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</si>
  <si>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</si>
  <si>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</si>
  <si>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</si>
  <si>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</si>
  <si>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</si>
  <si>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</si>
  <si>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</si>
  <si>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</si>
  <si>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</si>
  <si>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</si>
  <si>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</si>
  <si>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</si>
  <si>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</si>
  <si>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</si>
  <si>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</si>
  <si>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</si>
  <si>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</si>
  <si>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</si>
  <si>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</si>
  <si>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</si>
  <si>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</si>
  <si>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</si>
  <si>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</si>
  <si>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</si>
  <si>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</si>
  <si>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</si>
  <si>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</si>
  <si>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</si>
  <si>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</si>
  <si>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</si>
  <si>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</si>
  <si>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</si>
  <si>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</si>
  <si>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</si>
  <si>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</si>
  <si>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</si>
  <si>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</si>
  <si>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</si>
  <si>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</si>
  <si>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</si>
  <si>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</si>
  <si>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</si>
  <si>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</si>
  <si>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</si>
  <si>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</si>
  <si>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</si>
  <si>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</si>
  <si>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</si>
  <si>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</si>
  <si>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</si>
  <si>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</si>
  <si>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</si>
  <si>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</si>
  <si>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</si>
  <si>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</si>
  <si>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</si>
  <si>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</si>
  <si>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</si>
  <si>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</si>
  <si>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</si>
  <si>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</si>
  <si>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</si>
  <si>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</si>
  <si>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</si>
  <si>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</si>
  <si>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</si>
  <si>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</si>
  <si>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</si>
  <si>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</si>
  <si>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</si>
  <si>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</si>
  <si>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</si>
  <si>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</si>
  <si>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</si>
  <si>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</si>
  <si>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</si>
  <si>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</si>
  <si>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</si>
  <si>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</si>
  <si>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</si>
  <si>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</si>
  <si>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</si>
  <si>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</si>
  <si>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</si>
  <si>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</si>
  <si>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</si>
  <si>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</si>
  <si>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</si>
  <si>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</si>
  <si>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</si>
  <si>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</si>
  <si>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</si>
  <si>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</si>
  <si>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</si>
  <si>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</si>
  <si>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</si>
  <si>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</si>
  <si>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</si>
  <si>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</si>
  <si>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</si>
  <si>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</si>
  <si>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</si>
  <si>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</si>
  <si>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</si>
  <si>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</si>
  <si>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</si>
  <si>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</si>
  <si>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</si>
  <si>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</si>
  <si>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</si>
  <si>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</si>
  <si>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</si>
  <si>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</si>
  <si>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</si>
  <si>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</si>
  <si>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</si>
  <si>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</si>
  <si>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</si>
  <si>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</si>
  <si>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</si>
  <si>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</si>
  <si>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</si>
  <si>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</si>
  <si>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</si>
  <si>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</si>
  <si>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</si>
  <si>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</si>
  <si>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</si>
  <si>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</si>
  <si>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</si>
  <si>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</si>
  <si>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</si>
  <si>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</si>
  <si>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</si>
  <si>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</si>
  <si>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</si>
  <si>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</si>
  <si>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</si>
  <si>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</si>
  <si>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</si>
  <si>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</si>
  <si>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</si>
  <si>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</si>
  <si>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</si>
  <si>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</si>
  <si>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</si>
  <si>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</si>
  <si>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</si>
  <si>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</si>
  <si>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</si>
  <si>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</si>
  <si>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</si>
  <si>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</si>
  <si>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</si>
  <si>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</si>
  <si>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</si>
  <si>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</si>
  <si>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</si>
  <si>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</si>
  <si>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</si>
  <si>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</si>
  <si>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</si>
  <si>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</si>
  <si>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</si>
  <si>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</si>
  <si>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</si>
  <si>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</si>
  <si>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</si>
  <si>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</si>
  <si>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</si>
  <si>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</si>
  <si>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</si>
  <si>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</si>
  <si>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</si>
  <si>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</si>
  <si>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</si>
  <si>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</si>
  <si>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</si>
  <si>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</si>
  <si>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</si>
  <si>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</si>
  <si>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</si>
  <si>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</si>
  <si>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</si>
  <si>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</si>
  <si>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</si>
  <si>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</si>
  <si>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</si>
  <si>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</si>
  <si>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</si>
  <si>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</si>
  <si>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</si>
  <si>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</si>
  <si>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</si>
  <si>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</si>
  <si>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</si>
  <si>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</si>
  <si>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</si>
  <si>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</si>
  <si>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</si>
  <si>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</si>
  <si>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</si>
  <si>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</si>
  <si>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</si>
  <si>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</si>
  <si>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</si>
  <si>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</si>
  <si>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</si>
  <si>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</si>
  <si>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</si>
  <si>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</si>
  <si>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</si>
  <si>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</si>
  <si>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</si>
  <si>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</si>
  <si>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</si>
  <si>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</si>
  <si>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</si>
  <si>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</si>
  <si>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</si>
  <si>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</si>
  <si>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</si>
  <si>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</si>
  <si>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</si>
  <si>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</si>
  <si>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</si>
  <si>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</si>
  <si>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</si>
  <si>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</si>
  <si>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</si>
  <si>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</si>
  <si>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</si>
  <si>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</si>
  <si>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</si>
  <si>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</si>
  <si>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</si>
  <si>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</si>
  <si>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</si>
  <si>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</si>
  <si>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</si>
  <si>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</si>
  <si>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</si>
  <si>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</si>
  <si>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</si>
  <si>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</si>
  <si>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</si>
  <si>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</si>
  <si>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</si>
  <si>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</si>
  <si>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</si>
  <si>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</si>
  <si>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</si>
  <si>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</si>
  <si>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</si>
  <si>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</si>
  <si>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</si>
  <si>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</si>
  <si>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</si>
  <si>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</si>
  <si>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</si>
  <si>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</si>
  <si>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</si>
  <si>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</si>
  <si>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</si>
  <si>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</si>
  <si>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</si>
  <si>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</si>
  <si>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</si>
  <si>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</si>
  <si>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</si>
  <si>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</si>
  <si>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</si>
  <si>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</si>
  <si>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</si>
  <si>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</si>
  <si>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</si>
  <si>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</si>
  <si>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</si>
  <si>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</si>
  <si>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</si>
  <si>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</si>
  <si>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</si>
  <si>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</si>
  <si>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</si>
  <si>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</si>
  <si>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</si>
  <si>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</si>
  <si>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</si>
  <si>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</si>
  <si>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</si>
  <si>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TEST</t>
  </si>
  <si>
    <t>No.</t>
  </si>
  <si>
    <t>?</t>
  </si>
  <si>
    <t>M 5 X 15/16</t>
  </si>
  <si>
    <t>PATTERN DIFF CAGE B 9130</t>
  </si>
  <si>
    <t>Mesin Target Set 3</t>
  </si>
  <si>
    <t>PATTERN DIFF CAGE A7119</t>
  </si>
  <si>
    <t>MESIN TARGET SET 3 &amp; UNICORN</t>
  </si>
  <si>
    <t>Mold Orifice Outer</t>
  </si>
  <si>
    <t>PATTER COUNTER &amp; SQUEEZE D55L</t>
  </si>
  <si>
    <t>Pattern Diff Cage B9130</t>
  </si>
  <si>
    <t>Pattern Diff Cage A 7119</t>
  </si>
  <si>
    <t>NG 4 pcs</t>
  </si>
  <si>
    <t>Mold Unicorn</t>
  </si>
  <si>
    <t>Total Nilai Minus</t>
  </si>
  <si>
    <t>Total Minus Barang</t>
  </si>
  <si>
    <t>Bahan Pembantu ( ACC Mold &amp; Mur  Baut ) + Barang Jadi + Bahan Baku yang ada di gudang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</si>
</sst>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0" fontId="1" fillId="9" borderId="4" xfId="0" applyFont="1" applyFill="1" applyBorder="1" applyProtection="1">
      <protection locked="0"/>
    </xf>
    <xf numFmtId="0" fontId="1" fillId="9" borderId="4" xfId="0" applyFont="1" applyFill="1" applyBorder="1"/>
    <xf numFmtId="0" fontId="1" fillId="0" borderId="4" xfId="0" applyFont="1" applyBorder="1" applyAlignment="1">
      <alignment horizontal="center" vertical="center"/>
    </xf>
    <xf numFmtId="0" fontId="25" fillId="0" borderId="0" xfId="0" applyFont="1"/>
    <xf numFmtId="0" fontId="1" fillId="4" borderId="0" xfId="0" applyFont="1" applyFill="1"/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0" fontId="25" fillId="3" borderId="0" xfId="0" applyFont="1" applyFill="1"/>
    <xf numFmtId="0" fontId="2" fillId="0" borderId="47" xfId="0" applyFont="1" applyBorder="1" applyAlignment="1">
      <alignment horizontal="center" vertical="center"/>
    </xf>
    <xf numFmtId="44" fontId="0" fillId="0" borderId="0" xfId="0" applyNumberFormat="1"/>
    <xf numFmtId="44" fontId="23" fillId="3" borderId="4" xfId="0" applyNumberFormat="1" applyFont="1" applyFill="1" applyBorder="1" applyAlignment="1">
      <alignment horizontal="left" vertical="center"/>
    </xf>
    <xf numFmtId="0" fontId="22" fillId="10" borderId="4" xfId="0" applyFont="1" applyFill="1" applyBorder="1" applyAlignment="1">
      <alignment horizontal="left" vertical="center" wrapText="1"/>
    </xf>
    <xf numFmtId="44" fontId="23" fillId="10" borderId="4" xfId="0" applyNumberFormat="1" applyFont="1" applyFill="1" applyBorder="1" applyAlignment="1">
      <alignment horizontal="left" vertical="center"/>
    </xf>
    <xf numFmtId="0" fontId="22" fillId="3" borderId="4" xfId="0" applyFont="1" applyFill="1" applyBorder="1" applyAlignment="1">
      <alignment horizontal="left" vertical="center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</cellXfs>
  <cellStyles count="1"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11</xdr:col>
      <xdr:colOff>123264</xdr:colOff>
      <xdr:row>39</xdr:row>
      <xdr:rowOff>11206</xdr:rowOff>
    </xdr:from>
    <xdr:to>
      <xdr:col>11</xdr:col>
      <xdr:colOff>4213411</xdr:colOff>
      <xdr:row>46</xdr:row>
      <xdr:rowOff>156882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432676" y="9446559"/>
          <a:ext cx="391869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T2220" totalsRowShown="0" headerRowDxfId="56" dataDxfId="54" headerRowBorderDxfId="55">
  <autoFilter ref="A5:T2220" xr:uid="{00000000-000C-0000-FFFF-FFFF00000000}"/>
  <tableColumns count="20">
    <tableColumn id="2" xr3:uid="{00000000-0010-0000-0000-000002000000}" name="ID" dataDxfId="53"/>
    <tableColumn id="3" xr3:uid="{00000000-0010-0000-0000-000003000000}" name="Nama Barang" dataDxfId="52"/>
    <tableColumn id="1" xr3:uid="{00000000-0010-0000-0000-000001000000}" name="Nama Standard" dataDxfId="51"/>
    <tableColumn id="4" xr3:uid="{00000000-0010-0000-0000-000004000000}" name="Spesifikasi /_x000a_Code" dataDxfId="50"/>
    <tableColumn id="5" xr3:uid="{00000000-0010-0000-0000-000005000000}" name="Material /Bahan" dataDxfId="49"/>
    <tableColumn id="13" xr3:uid="{00000000-0010-0000-0000-00000D000000}" name="Categories" dataDxfId="48"/>
    <tableColumn id="6" xr3:uid="{00000000-0010-0000-0000-000006000000}" name="Supplier /_x000a_Customer" dataDxfId="47"/>
    <tableColumn id="8" xr3:uid="{00000000-0010-0000-0000-000008000000}" name="Harga Satuan" dataDxfId="46"/>
    <tableColumn id="17" xr3:uid="{00000000-0010-0000-0000-000011000000}" name="Trx In" dataDxfId="45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4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3">
      <calculatedColumnFormula>REKAP[[#This Row],[Trx In]]+REKAP[[#This Row],[Trx Out]]</calculatedColumnFormula>
    </tableColumn>
    <tableColumn id="9" xr3:uid="{00000000-0010-0000-0000-000009000000}" name="Stok Awal" dataDxfId="42"/>
    <tableColumn id="10" xr3:uid="{00000000-0010-0000-0000-00000A000000}" name="Masuk" dataDxfId="41">
      <calculatedColumnFormula>SUMIF(MASUK!$C:$C,REKAP[[#This Row],[ID]],MASUK!$H:$H)</calculatedColumnFormula>
    </tableColumn>
    <tableColumn id="11" xr3:uid="{00000000-0010-0000-0000-00000B000000}" name="Keluar" dataDxfId="40">
      <calculatedColumnFormula>SUMIF(KELUAR!$C:$C,REKAP[[#This Row],[ID]],KELUAR!$H:$H)</calculatedColumnFormula>
    </tableColumn>
    <tableColumn id="12" xr3:uid="{00000000-0010-0000-0000-00000C000000}" name="Stok Akhir" dataDxfId="39">
      <calculatedColumnFormula>REKAP[[#This Row],[Stok Awal]]+REKAP[[#This Row],[Masuk]]-REKAP[[#This Row],[Keluar]]</calculatedColumnFormula>
    </tableColumn>
    <tableColumn id="7" xr3:uid="{00000000-0010-0000-0000-000007000000}" name="Stok Aktual" dataDxfId="38"/>
    <tableColumn id="16" xr3:uid="{00000000-0010-0000-0000-000010000000}" name="Total Harga Barang Mengendap" dataDxfId="37">
      <calculatedColumnFormula>REKAP[[#This Row],[Harga Satuan]]*REKAP[[#This Row],[Stok Akhir]]</calculatedColumnFormula>
    </tableColumn>
    <tableColumn id="15" xr3:uid="{00000000-0010-0000-0000-00000F000000}" name="Selisih" dataDxfId="36">
      <calculatedColumnFormula>IF(REKAP[[#This Row],[Stok Aktual]]&lt;&gt;"",REKAP[[#This Row],[Stok Aktual]]-REKAP[[#This Row],[Stok Akhir]],0)</calculatedColumnFormula>
    </tableColumn>
    <tableColumn id="19" xr3:uid="{E3C39B9C-C9C5-460C-96B6-0A58DE1E36E2}" name="Note" dataDxfId="35"/>
    <tableColumn id="20" xr3:uid="{22E2CA2C-5939-427B-A58E-A2DF424518A6}" name="Total Nilai Minus" dataDxfId="34">
      <calculatedColumnFormula>IF(REKAP[[#This Row],[Selisih]]&lt;=-1,REKAP[[#This Row],[Harga Satuan]]*REKAP[[#This Row],[Selisih]],0)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sortState xmlns:xlrd2="http://schemas.microsoft.com/office/spreadsheetml/2017/richdata2" ref="A7:M1204">
    <sortCondition ref="B6:B1204"/>
  </sortState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sortState xmlns:xlrd2="http://schemas.microsoft.com/office/spreadsheetml/2017/richdata2" ref="A7:M1206">
    <sortCondition ref="B6:B1206"/>
  </sortState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zoomScale="70" zoomScaleNormal="7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41" sqref="C141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9" width="21.85546875" style="2" customWidth="1"/>
    <col min="20" max="20" width="20" style="2" customWidth="1"/>
    <col min="21" max="16384" width="8.85546875" style="2"/>
  </cols>
  <sheetData>
    <row r="1" spans="1:20" s="18" customFormat="1" ht="20.100000000000001" customHeight="1" x14ac:dyDescent="0.25">
      <c r="A1" s="150" t="s">
        <v>3337</v>
      </c>
      <c r="B1" s="151"/>
      <c r="C1" s="152"/>
      <c r="D1" s="148" t="s">
        <v>3854</v>
      </c>
      <c r="E1" s="148"/>
      <c r="F1" s="146">
        <v>45352</v>
      </c>
      <c r="G1" s="146"/>
    </row>
    <row r="2" spans="1:20" s="18" customFormat="1" ht="20.100000000000001" customHeight="1" thickBot="1" x14ac:dyDescent="0.3">
      <c r="A2" s="153"/>
      <c r="B2" s="154"/>
      <c r="C2" s="155"/>
      <c r="D2" s="149"/>
      <c r="E2" s="149"/>
      <c r="F2" s="147"/>
      <c r="G2" s="147"/>
    </row>
    <row r="3" spans="1:20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1668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267</v>
      </c>
      <c r="Q3" s="95">
        <f t="shared" si="0"/>
        <v>2215</v>
      </c>
      <c r="R3" s="95">
        <f t="shared" si="0"/>
        <v>2215</v>
      </c>
    </row>
    <row r="4" spans="1:20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20" s="3" customFormat="1" ht="54.6" customHeight="1" thickBot="1" x14ac:dyDescent="0.3">
      <c r="A5" s="84" t="s">
        <v>3847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3849</v>
      </c>
      <c r="G5" s="86" t="s">
        <v>3119</v>
      </c>
      <c r="H5" s="85" t="s">
        <v>3</v>
      </c>
      <c r="I5" s="87" t="s">
        <v>3850</v>
      </c>
      <c r="J5" s="88" t="s">
        <v>3851</v>
      </c>
      <c r="K5" s="93" t="s">
        <v>3852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3909</v>
      </c>
      <c r="S5" s="92" t="s">
        <v>19</v>
      </c>
      <c r="T5" s="140" t="s">
        <v>3930</v>
      </c>
    </row>
    <row r="6" spans="1:20" ht="15.75" thickTop="1" x14ac:dyDescent="0.25">
      <c r="A6" s="75" t="s">
        <v>3302</v>
      </c>
      <c r="B6" s="75" t="s">
        <v>3296</v>
      </c>
      <c r="C6" s="75"/>
      <c r="D6" s="76"/>
      <c r="E6" s="77"/>
      <c r="F6" s="75" t="s">
        <v>3301</v>
      </c>
      <c r="G6" s="75" t="s">
        <v>3297</v>
      </c>
      <c r="H6" s="78">
        <v>4803000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>
        <f>IF(REKAP[[#This Row],[Stok Aktual]]&lt;&gt;"",REKAP[[#This Row],[Stok Aktual]]-REKAP[[#This Row],[Stok Akhir]],0)</f>
        <v>0</v>
      </c>
      <c r="S6" s="132"/>
      <c r="T6" s="137">
        <f>IF(REKAP[[#This Row],[Selisih]]&lt;=-1,REKAP[[#This Row],[Harga Satuan]]*REKAP[[#This Row],[Selisih]],0)</f>
        <v>0</v>
      </c>
    </row>
    <row r="7" spans="1:20" x14ac:dyDescent="0.25">
      <c r="A7" s="55" t="s">
        <v>3303</v>
      </c>
      <c r="B7" s="55" t="s">
        <v>3298</v>
      </c>
      <c r="C7" s="55"/>
      <c r="D7" s="56"/>
      <c r="E7" s="57"/>
      <c r="F7" s="75" t="s">
        <v>3301</v>
      </c>
      <c r="G7" s="55" t="s">
        <v>3297</v>
      </c>
      <c r="H7" s="58">
        <v>13500000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3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3</v>
      </c>
      <c r="P7" s="55"/>
      <c r="Q7" s="62">
        <f>REKAP[[#This Row],[Harga Satuan]]*REKAP[[#This Row],[Stok Akhir]]</f>
        <v>40500000</v>
      </c>
      <c r="R7" s="61">
        <f>IF(REKAP[[#This Row],[Stok Aktual]]&lt;&gt;"",REKAP[[#This Row],[Stok Aktual]]-REKAP[[#This Row],[Stok Akhir]],0)</f>
        <v>0</v>
      </c>
      <c r="S7" s="132"/>
      <c r="T7" s="137">
        <f>IF(REKAP[[#This Row],[Selisih]]&lt;=-1,REKAP[[#This Row],[Harga Satuan]]*REKAP[[#This Row],[Selisih]],0)</f>
        <v>0</v>
      </c>
    </row>
    <row r="8" spans="1:20" x14ac:dyDescent="0.25">
      <c r="A8" s="55" t="s">
        <v>3304</v>
      </c>
      <c r="B8" s="55" t="s">
        <v>3299</v>
      </c>
      <c r="C8" s="55"/>
      <c r="D8" s="56"/>
      <c r="E8" s="57"/>
      <c r="F8" s="75" t="s">
        <v>3301</v>
      </c>
      <c r="G8" s="55" t="s">
        <v>3207</v>
      </c>
      <c r="H8" s="58">
        <v>1675000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>
        <f>IF(REKAP[[#This Row],[Stok Aktual]]&lt;&gt;"",REKAP[[#This Row],[Stok Aktual]]-REKAP[[#This Row],[Stok Akhir]],0)</f>
        <v>0</v>
      </c>
      <c r="S8" s="132"/>
      <c r="T8" s="137">
        <f>IF(REKAP[[#This Row],[Selisih]]&lt;=-1,REKAP[[#This Row],[Harga Satuan]]*REKAP[[#This Row],[Selisih]],0)</f>
        <v>0</v>
      </c>
    </row>
    <row r="9" spans="1:20" x14ac:dyDescent="0.25">
      <c r="A9" s="55" t="s">
        <v>3305</v>
      </c>
      <c r="B9" s="55" t="s">
        <v>3300</v>
      </c>
      <c r="C9" s="55"/>
      <c r="D9" s="56"/>
      <c r="E9" s="57"/>
      <c r="F9" s="75" t="s">
        <v>3301</v>
      </c>
      <c r="G9" s="55"/>
      <c r="H9" s="58">
        <v>20000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2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2</v>
      </c>
      <c r="P9" s="55"/>
      <c r="Q9" s="62">
        <f>REKAP[[#This Row],[Harga Satuan]]*REKAP[[#This Row],[Stok Akhir]]</f>
        <v>40000</v>
      </c>
      <c r="R9" s="61">
        <f>IF(REKAP[[#This Row],[Stok Aktual]]&lt;&gt;"",REKAP[[#This Row],[Stok Aktual]]-REKAP[[#This Row],[Stok Akhir]],0)</f>
        <v>0</v>
      </c>
      <c r="S9" s="132"/>
      <c r="T9" s="137">
        <f>IF(REKAP[[#This Row],[Selisih]]&lt;=-1,REKAP[[#This Row],[Harga Satuan]]*REKAP[[#This Row],[Selisih]],0)</f>
        <v>0</v>
      </c>
    </row>
    <row r="10" spans="1:20" x14ac:dyDescent="0.25">
      <c r="A10" s="55" t="s">
        <v>3248</v>
      </c>
      <c r="B10" s="55" t="s">
        <v>3193</v>
      </c>
      <c r="C10" s="55" t="s">
        <v>3193</v>
      </c>
      <c r="D10" s="56"/>
      <c r="E10" s="57"/>
      <c r="F10" s="75" t="s">
        <v>3247</v>
      </c>
      <c r="G10" s="55"/>
      <c r="H10" s="58">
        <v>200000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7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7</v>
      </c>
      <c r="P10" s="55"/>
      <c r="Q10" s="62">
        <f>REKAP[[#This Row],[Harga Satuan]]*REKAP[[#This Row],[Stok Akhir]]</f>
        <v>1400000</v>
      </c>
      <c r="R10" s="61">
        <f>IF(REKAP[[#This Row],[Stok Aktual]]&lt;&gt;"",REKAP[[#This Row],[Stok Aktual]]-REKAP[[#This Row],[Stok Akhir]],0)</f>
        <v>0</v>
      </c>
      <c r="S10" s="132"/>
      <c r="T10" s="137">
        <f>IF(REKAP[[#This Row],[Selisih]]&lt;=-1,REKAP[[#This Row],[Harga Satuan]]*REKAP[[#This Row],[Selisih]],0)</f>
        <v>0</v>
      </c>
    </row>
    <row r="11" spans="1:20" x14ac:dyDescent="0.25">
      <c r="A11" s="55" t="s">
        <v>3249</v>
      </c>
      <c r="B11" s="55" t="s">
        <v>3194</v>
      </c>
      <c r="C11" s="55" t="s">
        <v>3194</v>
      </c>
      <c r="D11" s="56"/>
      <c r="E11" s="57"/>
      <c r="F11" s="75" t="s">
        <v>3247</v>
      </c>
      <c r="G11" s="55" t="s">
        <v>3130</v>
      </c>
      <c r="H11" s="58">
        <v>175000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4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4</v>
      </c>
      <c r="P11" s="55"/>
      <c r="Q11" s="62">
        <f>REKAP[[#This Row],[Harga Satuan]]*REKAP[[#This Row],[Stok Akhir]]</f>
        <v>700000</v>
      </c>
      <c r="R11" s="61">
        <f>IF(REKAP[[#This Row],[Stok Aktual]]&lt;&gt;"",REKAP[[#This Row],[Stok Aktual]]-REKAP[[#This Row],[Stok Akhir]],0)</f>
        <v>0</v>
      </c>
      <c r="S11" s="132"/>
      <c r="T11" s="137">
        <f>IF(REKAP[[#This Row],[Selisih]]&lt;=-1,REKAP[[#This Row],[Harga Satuan]]*REKAP[[#This Row],[Selisih]],0)</f>
        <v>0</v>
      </c>
    </row>
    <row r="12" spans="1:20" x14ac:dyDescent="0.25">
      <c r="A12" s="55" t="s">
        <v>3250</v>
      </c>
      <c r="B12" s="55" t="s">
        <v>3195</v>
      </c>
      <c r="C12" s="55" t="s">
        <v>3195</v>
      </c>
      <c r="D12" s="56"/>
      <c r="E12" s="57"/>
      <c r="F12" s="75" t="s">
        <v>3247</v>
      </c>
      <c r="G12" s="55" t="s">
        <v>3196</v>
      </c>
      <c r="H12" s="58">
        <v>60000</v>
      </c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15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15</v>
      </c>
      <c r="P12" s="55"/>
      <c r="Q12" s="62">
        <f>REKAP[[#This Row],[Harga Satuan]]*REKAP[[#This Row],[Stok Akhir]]</f>
        <v>900000</v>
      </c>
      <c r="R12" s="61">
        <f>IF(REKAP[[#This Row],[Stok Aktual]]&lt;&gt;"",REKAP[[#This Row],[Stok Aktual]]-REKAP[[#This Row],[Stok Akhir]],0)</f>
        <v>0</v>
      </c>
      <c r="S12" s="132"/>
      <c r="T12" s="137">
        <f>IF(REKAP[[#This Row],[Selisih]]&lt;=-1,REKAP[[#This Row],[Harga Satuan]]*REKAP[[#This Row],[Selisih]],0)</f>
        <v>0</v>
      </c>
    </row>
    <row r="13" spans="1:20" x14ac:dyDescent="0.25">
      <c r="A13" s="55" t="s">
        <v>3251</v>
      </c>
      <c r="B13" s="55" t="s">
        <v>3197</v>
      </c>
      <c r="C13" s="55" t="s">
        <v>3197</v>
      </c>
      <c r="D13" s="56"/>
      <c r="E13" s="57"/>
      <c r="F13" s="75" t="s">
        <v>3247</v>
      </c>
      <c r="G13" s="55"/>
      <c r="H13" s="58">
        <v>400000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2</v>
      </c>
      <c r="K13" s="60">
        <f>REKAP[[#This Row],[Trx In]]+REKAP[[#This Row],[Trx Out]]</f>
        <v>2</v>
      </c>
      <c r="L13" s="55">
        <v>8</v>
      </c>
      <c r="M13" s="74">
        <f>SUMIF(MASUK!$C:$C,REKAP[[#This Row],[ID]],MASUK!$H:$H)</f>
        <v>0</v>
      </c>
      <c r="N13" s="74">
        <f>SUMIF(KELUAR!$C:$C,REKAP[[#This Row],[ID]],KELUAR!$H:$H)</f>
        <v>4</v>
      </c>
      <c r="O13" s="74">
        <f>REKAP[[#This Row],[Stok Awal]]+REKAP[[#This Row],[Masuk]]-REKAP[[#This Row],[Keluar]]</f>
        <v>4</v>
      </c>
      <c r="P13" s="55">
        <v>4</v>
      </c>
      <c r="Q13" s="62">
        <f>REKAP[[#This Row],[Harga Satuan]]*REKAP[[#This Row],[Stok Akhir]]</f>
        <v>1600000</v>
      </c>
      <c r="R13" s="61">
        <f>IF(REKAP[[#This Row],[Stok Aktual]]&lt;&gt;"",REKAP[[#This Row],[Stok Aktual]]-REKAP[[#This Row],[Stok Akhir]],0)</f>
        <v>0</v>
      </c>
      <c r="S13" s="132"/>
      <c r="T13" s="137">
        <f>IF(REKAP[[#This Row],[Selisih]]&lt;=-1,REKAP[[#This Row],[Harga Satuan]]*REKAP[[#This Row],[Selisih]],0)</f>
        <v>0</v>
      </c>
    </row>
    <row r="14" spans="1:20" x14ac:dyDescent="0.25">
      <c r="A14" s="55" t="s">
        <v>3252</v>
      </c>
      <c r="B14" s="55" t="s">
        <v>3198</v>
      </c>
      <c r="C14" s="55" t="s">
        <v>3198</v>
      </c>
      <c r="D14" s="56"/>
      <c r="E14" s="57"/>
      <c r="F14" s="75" t="s">
        <v>3247</v>
      </c>
      <c r="G14" s="55"/>
      <c r="H14" s="58">
        <v>210000</v>
      </c>
      <c r="I14" s="59">
        <f>IF(COUNTIF(MASUK[Kode Barang],REKAP[[#This Row],[ID]])=0,0,COUNTIF(MASUK[Kode Barang],REKAP[[#This Row],[ID]]))</f>
        <v>0</v>
      </c>
      <c r="J14" s="59">
        <f>IF(COUNTIF(MASUK8[Kode Barang],REKAP[[#This Row],[ID]])=0,0,COUNTIF(MASUK8[Kode Barang],REKAP[[#This Row],[ID]]))</f>
        <v>0</v>
      </c>
      <c r="K14" s="60">
        <f>REKAP[[#This Row],[Trx In]]+REKAP[[#This Row],[Trx Out]]</f>
        <v>0</v>
      </c>
      <c r="L14" s="55">
        <v>10</v>
      </c>
      <c r="M14" s="74">
        <f>SUMIF(MASUK!$C:$C,REKAP[[#This Row],[ID]],MASUK!$H:$H)</f>
        <v>0</v>
      </c>
      <c r="N14" s="74">
        <f>SUMIF(KELUAR!$C:$C,REKAP[[#This Row],[ID]],KELUAR!$H:$H)</f>
        <v>0</v>
      </c>
      <c r="O14" s="74">
        <f>REKAP[[#This Row],[Stok Awal]]+REKAP[[#This Row],[Masuk]]-REKAP[[#This Row],[Keluar]]</f>
        <v>10</v>
      </c>
      <c r="P14" s="55"/>
      <c r="Q14" s="62">
        <f>REKAP[[#This Row],[Harga Satuan]]*REKAP[[#This Row],[Stok Akhir]]</f>
        <v>2100000</v>
      </c>
      <c r="R14" s="61">
        <f>IF(REKAP[[#This Row],[Stok Aktual]]&lt;&gt;"",REKAP[[#This Row],[Stok Aktual]]-REKAP[[#This Row],[Stok Akhir]],0)</f>
        <v>0</v>
      </c>
      <c r="S14" s="132"/>
      <c r="T14" s="137">
        <f>IF(REKAP[[#This Row],[Selisih]]&lt;=-1,REKAP[[#This Row],[Harga Satuan]]*REKAP[[#This Row],[Selisih]],0)</f>
        <v>0</v>
      </c>
    </row>
    <row r="15" spans="1:20" x14ac:dyDescent="0.25">
      <c r="A15" s="55" t="s">
        <v>3253</v>
      </c>
      <c r="B15" s="55" t="s">
        <v>3199</v>
      </c>
      <c r="C15" s="55" t="s">
        <v>3199</v>
      </c>
      <c r="D15" s="56"/>
      <c r="E15" s="57"/>
      <c r="F15" s="75" t="s">
        <v>3247</v>
      </c>
      <c r="G15" s="55"/>
      <c r="H15" s="58">
        <v>430000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1</v>
      </c>
      <c r="K15" s="60">
        <f>REKAP[[#This Row],[Trx In]]+REKAP[[#This Row],[Trx Out]]</f>
        <v>1</v>
      </c>
      <c r="L15" s="55">
        <v>14</v>
      </c>
      <c r="M15" s="74">
        <f>SUMIF(MASUK!$C:$C,REKAP[[#This Row],[ID]],MASUK!$H:$H)</f>
        <v>0</v>
      </c>
      <c r="N15" s="74">
        <f>SUMIF(KELUAR!$C:$C,REKAP[[#This Row],[ID]],KELUAR!$H:$H)</f>
        <v>2</v>
      </c>
      <c r="O15" s="74">
        <f>REKAP[[#This Row],[Stok Awal]]+REKAP[[#This Row],[Masuk]]-REKAP[[#This Row],[Keluar]]</f>
        <v>12</v>
      </c>
      <c r="P15" s="55">
        <v>12</v>
      </c>
      <c r="Q15" s="62">
        <f>REKAP[[#This Row],[Harga Satuan]]*REKAP[[#This Row],[Stok Akhir]]</f>
        <v>5160000</v>
      </c>
      <c r="R15" s="61">
        <f>IF(REKAP[[#This Row],[Stok Aktual]]&lt;&gt;"",REKAP[[#This Row],[Stok Aktual]]-REKAP[[#This Row],[Stok Akhir]],0)</f>
        <v>0</v>
      </c>
      <c r="S15" s="132"/>
      <c r="T15" s="137">
        <f>IF(REKAP[[#This Row],[Selisih]]&lt;=-1,REKAP[[#This Row],[Harga Satuan]]*REKAP[[#This Row],[Selisih]],0)</f>
        <v>0</v>
      </c>
    </row>
    <row r="16" spans="1:20" x14ac:dyDescent="0.25">
      <c r="A16" s="55" t="s">
        <v>3254</v>
      </c>
      <c r="B16" s="55" t="s">
        <v>3200</v>
      </c>
      <c r="C16" s="55" t="s">
        <v>3200</v>
      </c>
      <c r="D16" s="56"/>
      <c r="E16" s="57"/>
      <c r="F16" s="75" t="s">
        <v>3247</v>
      </c>
      <c r="G16" s="55" t="s">
        <v>3122</v>
      </c>
      <c r="H16" s="58">
        <v>70000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1</v>
      </c>
      <c r="K16" s="60">
        <f>REKAP[[#This Row],[Trx In]]+REKAP[[#This Row],[Trx Out]]</f>
        <v>1</v>
      </c>
      <c r="L16" s="55">
        <v>167</v>
      </c>
      <c r="M16" s="74">
        <f>SUMIF(MASUK!$C:$C,REKAP[[#This Row],[ID]],MASUK!$H:$H)</f>
        <v>0</v>
      </c>
      <c r="N16" s="74">
        <f>SUMIF(KELUAR!$C:$C,REKAP[[#This Row],[ID]],KELUAR!$H:$H)</f>
        <v>84</v>
      </c>
      <c r="O16" s="74">
        <f>REKAP[[#This Row],[Stok Awal]]+REKAP[[#This Row],[Masuk]]-REKAP[[#This Row],[Keluar]]</f>
        <v>83</v>
      </c>
      <c r="P16" s="55">
        <v>82</v>
      </c>
      <c r="Q16" s="62">
        <f>REKAP[[#This Row],[Harga Satuan]]*REKAP[[#This Row],[Stok Akhir]]</f>
        <v>5810000</v>
      </c>
      <c r="R16" s="61">
        <f>IF(REKAP[[#This Row],[Stok Aktual]]&lt;&gt;"",REKAP[[#This Row],[Stok Aktual]]-REKAP[[#This Row],[Stok Akhir]],0)</f>
        <v>-1</v>
      </c>
      <c r="S16" s="132"/>
      <c r="T16" s="137">
        <f>IF(REKAP[[#This Row],[Selisih]]&lt;=-1,REKAP[[#This Row],[Harga Satuan]]*REKAP[[#This Row],[Selisih]],0)</f>
        <v>-70000</v>
      </c>
    </row>
    <row r="17" spans="1:20" x14ac:dyDescent="0.25">
      <c r="A17" s="55" t="s">
        <v>3255</v>
      </c>
      <c r="B17" s="55" t="s">
        <v>3201</v>
      </c>
      <c r="C17" s="55" t="s">
        <v>3201</v>
      </c>
      <c r="D17" s="56"/>
      <c r="E17" s="57"/>
      <c r="F17" s="75" t="s">
        <v>3247</v>
      </c>
      <c r="G17" s="55" t="s">
        <v>3130</v>
      </c>
      <c r="H17" s="58">
        <v>85000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6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6</v>
      </c>
      <c r="P17" s="55"/>
      <c r="Q17" s="62">
        <f>REKAP[[#This Row],[Harga Satuan]]*REKAP[[#This Row],[Stok Akhir]]</f>
        <v>510000</v>
      </c>
      <c r="R17" s="61">
        <f>IF(REKAP[[#This Row],[Stok Aktual]]&lt;&gt;"",REKAP[[#This Row],[Stok Aktual]]-REKAP[[#This Row],[Stok Akhir]],0)</f>
        <v>0</v>
      </c>
      <c r="S17" s="132"/>
      <c r="T17" s="137">
        <f>IF(REKAP[[#This Row],[Selisih]]&lt;=-1,REKAP[[#This Row],[Harga Satuan]]*REKAP[[#This Row],[Selisih]],0)</f>
        <v>0</v>
      </c>
    </row>
    <row r="18" spans="1:20" x14ac:dyDescent="0.25">
      <c r="A18" s="55" t="s">
        <v>3256</v>
      </c>
      <c r="B18" s="55" t="s">
        <v>3202</v>
      </c>
      <c r="C18" s="55" t="s">
        <v>3202</v>
      </c>
      <c r="D18" s="56"/>
      <c r="E18" s="57"/>
      <c r="F18" s="75" t="s">
        <v>3247</v>
      </c>
      <c r="G18" s="55"/>
      <c r="H18" s="58">
        <v>62500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0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>
        <f>IF(REKAP[[#This Row],[Stok Aktual]]&lt;&gt;"",REKAP[[#This Row],[Stok Aktual]]-REKAP[[#This Row],[Stok Akhir]],0)</f>
        <v>0</v>
      </c>
      <c r="S18" s="132"/>
      <c r="T18" s="137">
        <f>IF(REKAP[[#This Row],[Selisih]]&lt;=-1,REKAP[[#This Row],[Harga Satuan]]*REKAP[[#This Row],[Selisih]],0)</f>
        <v>0</v>
      </c>
    </row>
    <row r="19" spans="1:20" x14ac:dyDescent="0.25">
      <c r="A19" s="55" t="s">
        <v>3257</v>
      </c>
      <c r="B19" s="55" t="s">
        <v>3203</v>
      </c>
      <c r="C19" s="55" t="s">
        <v>3203</v>
      </c>
      <c r="D19" s="56"/>
      <c r="E19" s="57"/>
      <c r="F19" s="75" t="s">
        <v>3247</v>
      </c>
      <c r="G19" s="55" t="s">
        <v>3130</v>
      </c>
      <c r="H19" s="58">
        <v>78600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0</v>
      </c>
      <c r="K19" s="60">
        <f>REKAP[[#This Row],[Trx In]]+REKAP[[#This Row],[Trx Out]]</f>
        <v>0</v>
      </c>
      <c r="L19" s="55">
        <v>4</v>
      </c>
      <c r="M19" s="74">
        <f>SUMIF(MASUK!$C:$C,REKAP[[#This Row],[ID]],MASUK!$H:$H)</f>
        <v>0</v>
      </c>
      <c r="N19" s="74">
        <f>SUMIF(KELUAR!$C:$C,REKAP[[#This Row],[ID]],KELUAR!$H:$H)</f>
        <v>0</v>
      </c>
      <c r="O19" s="74">
        <f>REKAP[[#This Row],[Stok Awal]]+REKAP[[#This Row],[Masuk]]-REKAP[[#This Row],[Keluar]]</f>
        <v>4</v>
      </c>
      <c r="P19" s="55"/>
      <c r="Q19" s="62">
        <f>REKAP[[#This Row],[Harga Satuan]]*REKAP[[#This Row],[Stok Akhir]]</f>
        <v>314400</v>
      </c>
      <c r="R19" s="61">
        <f>IF(REKAP[[#This Row],[Stok Aktual]]&lt;&gt;"",REKAP[[#This Row],[Stok Aktual]]-REKAP[[#This Row],[Stok Akhir]],0)</f>
        <v>0</v>
      </c>
      <c r="S19" s="132"/>
      <c r="T19" s="137">
        <f>IF(REKAP[[#This Row],[Selisih]]&lt;=-1,REKAP[[#This Row],[Harga Satuan]]*REKAP[[#This Row],[Selisih]],0)</f>
        <v>0</v>
      </c>
    </row>
    <row r="20" spans="1:20" x14ac:dyDescent="0.25">
      <c r="A20" s="55" t="s">
        <v>3258</v>
      </c>
      <c r="B20" s="55" t="s">
        <v>3204</v>
      </c>
      <c r="C20" s="55" t="s">
        <v>3204</v>
      </c>
      <c r="D20" s="56"/>
      <c r="E20" s="57"/>
      <c r="F20" s="75" t="s">
        <v>3247</v>
      </c>
      <c r="G20" s="55"/>
      <c r="H20" s="58">
        <v>75000</v>
      </c>
      <c r="I20" s="59">
        <f>IF(COUNTIF(MASUK[Kode Barang],REKAP[[#This Row],[ID]])=0,0,COUNTIF(MASUK[Kode Barang],REKAP[[#This Row],[ID]]))</f>
        <v>0</v>
      </c>
      <c r="J20" s="59">
        <f>IF(COUNTIF(MASUK8[Kode Barang],REKAP[[#This Row],[ID]])=0,0,COUNTIF(MASUK8[Kode Barang],REKAP[[#This Row],[ID]]))</f>
        <v>0</v>
      </c>
      <c r="K20" s="60">
        <f>REKAP[[#This Row],[Trx In]]+REKAP[[#This Row],[Trx Out]]</f>
        <v>0</v>
      </c>
      <c r="L20" s="55">
        <v>35</v>
      </c>
      <c r="M20" s="74">
        <f>SUMIF(MASUK!$C:$C,REKAP[[#This Row],[ID]],MASUK!$H:$H)</f>
        <v>0</v>
      </c>
      <c r="N20" s="74">
        <f>SUMIF(KELUAR!$C:$C,REKAP[[#This Row],[ID]],KELUAR!$H:$H)</f>
        <v>0</v>
      </c>
      <c r="O20" s="74">
        <f>REKAP[[#This Row],[Stok Awal]]+REKAP[[#This Row],[Masuk]]-REKAP[[#This Row],[Keluar]]</f>
        <v>35</v>
      </c>
      <c r="P20" s="55"/>
      <c r="Q20" s="62">
        <f>REKAP[[#This Row],[Harga Satuan]]*REKAP[[#This Row],[Stok Akhir]]</f>
        <v>2625000</v>
      </c>
      <c r="R20" s="61">
        <f>IF(REKAP[[#This Row],[Stok Aktual]]&lt;&gt;"",REKAP[[#This Row],[Stok Aktual]]-REKAP[[#This Row],[Stok Akhir]],0)</f>
        <v>0</v>
      </c>
      <c r="S20" s="132"/>
      <c r="T20" s="137">
        <f>IF(REKAP[[#This Row],[Selisih]]&lt;=-1,REKAP[[#This Row],[Harga Satuan]]*REKAP[[#This Row],[Selisih]],0)</f>
        <v>0</v>
      </c>
    </row>
    <row r="21" spans="1:20" x14ac:dyDescent="0.25">
      <c r="A21" s="55" t="s">
        <v>3259</v>
      </c>
      <c r="B21" s="55" t="s">
        <v>3205</v>
      </c>
      <c r="C21" s="55" t="s">
        <v>3205</v>
      </c>
      <c r="D21" s="56"/>
      <c r="E21" s="57"/>
      <c r="F21" s="75" t="s">
        <v>3247</v>
      </c>
      <c r="G21" s="55" t="s">
        <v>3130</v>
      </c>
      <c r="H21" s="58">
        <v>85700</v>
      </c>
      <c r="I21" s="59">
        <f>IF(COUNTIF(MASUK[Kode Barang],REKAP[[#This Row],[ID]])=0,0,COUNTIF(MASUK[Kode Barang],REKAP[[#This Row],[ID]]))</f>
        <v>0</v>
      </c>
      <c r="J21" s="59">
        <f>IF(COUNTIF(MASUK8[Kode Barang],REKAP[[#This Row],[ID]])=0,0,COUNTIF(MASUK8[Kode Barang],REKAP[[#This Row],[ID]]))</f>
        <v>0</v>
      </c>
      <c r="K21" s="60">
        <f>REKAP[[#This Row],[Trx In]]+REKAP[[#This Row],[Trx Out]]</f>
        <v>0</v>
      </c>
      <c r="L21" s="55">
        <v>45</v>
      </c>
      <c r="M21" s="74">
        <f>SUMIF(MASUK!$C:$C,REKAP[[#This Row],[ID]],MASUK!$H:$H)</f>
        <v>0</v>
      </c>
      <c r="N21" s="74">
        <f>SUMIF(KELUAR!$C:$C,REKAP[[#This Row],[ID]],KELUAR!$H:$H)</f>
        <v>0</v>
      </c>
      <c r="O21" s="74">
        <f>REKAP[[#This Row],[Stok Awal]]+REKAP[[#This Row],[Masuk]]-REKAP[[#This Row],[Keluar]]</f>
        <v>45</v>
      </c>
      <c r="P21" s="55"/>
      <c r="Q21" s="62">
        <f>REKAP[[#This Row],[Harga Satuan]]*REKAP[[#This Row],[Stok Akhir]]</f>
        <v>3856500</v>
      </c>
      <c r="R21" s="61">
        <f>IF(REKAP[[#This Row],[Stok Aktual]]&lt;&gt;"",REKAP[[#This Row],[Stok Aktual]]-REKAP[[#This Row],[Stok Akhir]],0)</f>
        <v>0</v>
      </c>
      <c r="S21" s="132"/>
      <c r="T21" s="137">
        <f>IF(REKAP[[#This Row],[Selisih]]&lt;=-1,REKAP[[#This Row],[Harga Satuan]]*REKAP[[#This Row],[Selisih]],0)</f>
        <v>0</v>
      </c>
    </row>
    <row r="22" spans="1:20" x14ac:dyDescent="0.25">
      <c r="A22" s="55" t="s">
        <v>3260</v>
      </c>
      <c r="B22" s="55" t="s">
        <v>3206</v>
      </c>
      <c r="C22" s="55" t="s">
        <v>3206</v>
      </c>
      <c r="D22" s="56"/>
      <c r="E22" s="57"/>
      <c r="F22" s="75" t="s">
        <v>3247</v>
      </c>
      <c r="G22" s="55" t="s">
        <v>3207</v>
      </c>
      <c r="H22" s="58">
        <v>75000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6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6</v>
      </c>
      <c r="P22" s="55"/>
      <c r="Q22" s="62">
        <f>REKAP[[#This Row],[Harga Satuan]]*REKAP[[#This Row],[Stok Akhir]]</f>
        <v>450000</v>
      </c>
      <c r="R22" s="61">
        <f>IF(REKAP[[#This Row],[Stok Aktual]]&lt;&gt;"",REKAP[[#This Row],[Stok Aktual]]-REKAP[[#This Row],[Stok Akhir]],0)</f>
        <v>0</v>
      </c>
      <c r="S22" s="132"/>
      <c r="T22" s="137">
        <f>IF(REKAP[[#This Row],[Selisih]]&lt;=-1,REKAP[[#This Row],[Harga Satuan]]*REKAP[[#This Row],[Selisih]],0)</f>
        <v>0</v>
      </c>
    </row>
    <row r="23" spans="1:20" x14ac:dyDescent="0.25">
      <c r="A23" s="55" t="s">
        <v>3261</v>
      </c>
      <c r="B23" s="55" t="s">
        <v>3208</v>
      </c>
      <c r="C23" s="55" t="s">
        <v>3208</v>
      </c>
      <c r="D23" s="56"/>
      <c r="E23" s="57"/>
      <c r="F23" s="75" t="s">
        <v>3247</v>
      </c>
      <c r="G23" s="55" t="s">
        <v>3122</v>
      </c>
      <c r="H23" s="58">
        <v>220000</v>
      </c>
      <c r="I23" s="59">
        <f>IF(COUNTIF(MASUK[Kode Barang],REKAP[[#This Row],[ID]])=0,0,COUNTIF(MASUK[Kode Barang],REKAP[[#This Row],[ID]]))</f>
        <v>0</v>
      </c>
      <c r="J23" s="59">
        <f>IF(COUNTIF(MASUK8[Kode Barang],REKAP[[#This Row],[ID]])=0,0,COUNTIF(MASUK8[Kode Barang],REKAP[[#This Row],[ID]]))</f>
        <v>1</v>
      </c>
      <c r="K23" s="60">
        <f>REKAP[[#This Row],[Trx In]]+REKAP[[#This Row],[Trx Out]]</f>
        <v>1</v>
      </c>
      <c r="L23" s="55">
        <v>16</v>
      </c>
      <c r="M23" s="74">
        <f>SUMIF(MASUK!$C:$C,REKAP[[#This Row],[ID]],MASUK!$H:$H)</f>
        <v>0</v>
      </c>
      <c r="N23" s="74">
        <f>SUMIF(KELUAR!$C:$C,REKAP[[#This Row],[ID]],KELUAR!$H:$H)</f>
        <v>8</v>
      </c>
      <c r="O23" s="74">
        <f>REKAP[[#This Row],[Stok Awal]]+REKAP[[#This Row],[Masuk]]-REKAP[[#This Row],[Keluar]]</f>
        <v>8</v>
      </c>
      <c r="P23" s="55">
        <v>8</v>
      </c>
      <c r="Q23" s="62">
        <f>REKAP[[#This Row],[Harga Satuan]]*REKAP[[#This Row],[Stok Akhir]]</f>
        <v>1760000</v>
      </c>
      <c r="R23" s="61">
        <f>IF(REKAP[[#This Row],[Stok Aktual]]&lt;&gt;"",REKAP[[#This Row],[Stok Aktual]]-REKAP[[#This Row],[Stok Akhir]],0)</f>
        <v>0</v>
      </c>
      <c r="S23" s="132"/>
      <c r="T23" s="137">
        <f>IF(REKAP[[#This Row],[Selisih]]&lt;=-1,REKAP[[#This Row],[Harga Satuan]]*REKAP[[#This Row],[Selisih]],0)</f>
        <v>0</v>
      </c>
    </row>
    <row r="24" spans="1:20" x14ac:dyDescent="0.25">
      <c r="A24" s="55" t="s">
        <v>3262</v>
      </c>
      <c r="B24" s="55" t="s">
        <v>3208</v>
      </c>
      <c r="C24" s="55" t="s">
        <v>3208</v>
      </c>
      <c r="D24" s="56"/>
      <c r="E24" s="57"/>
      <c r="F24" s="75" t="s">
        <v>3247</v>
      </c>
      <c r="G24" s="55" t="s">
        <v>3130</v>
      </c>
      <c r="H24" s="58">
        <v>210000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0</v>
      </c>
      <c r="K24" s="60">
        <f>REKAP[[#This Row],[Trx In]]+REKAP[[#This Row],[Trx Out]]</f>
        <v>0</v>
      </c>
      <c r="L24" s="55">
        <v>4</v>
      </c>
      <c r="M24" s="74">
        <f>SUMIF(MASUK!$C:$C,REKAP[[#This Row],[ID]],MASUK!$H:$H)</f>
        <v>0</v>
      </c>
      <c r="N24" s="74">
        <f>SUMIF(KELUAR!$C:$C,REKAP[[#This Row],[ID]],KELUAR!$H:$H)</f>
        <v>0</v>
      </c>
      <c r="O24" s="74">
        <f>REKAP[[#This Row],[Stok Awal]]+REKAP[[#This Row],[Masuk]]-REKAP[[#This Row],[Keluar]]</f>
        <v>4</v>
      </c>
      <c r="P24" s="55">
        <v>4</v>
      </c>
      <c r="Q24" s="62">
        <f>REKAP[[#This Row],[Harga Satuan]]*REKAP[[#This Row],[Stok Akhir]]</f>
        <v>840000</v>
      </c>
      <c r="R24" s="61">
        <f>IF(REKAP[[#This Row],[Stok Aktual]]&lt;&gt;"",REKAP[[#This Row],[Stok Aktual]]-REKAP[[#This Row],[Stok Akhir]],0)</f>
        <v>0</v>
      </c>
      <c r="S24" s="132"/>
      <c r="T24" s="137">
        <f>IF(REKAP[[#This Row],[Selisih]]&lt;=-1,REKAP[[#This Row],[Harga Satuan]]*REKAP[[#This Row],[Selisih]],0)</f>
        <v>0</v>
      </c>
    </row>
    <row r="25" spans="1:20" x14ac:dyDescent="0.25">
      <c r="A25" s="55" t="s">
        <v>3263</v>
      </c>
      <c r="B25" s="55" t="s">
        <v>3209</v>
      </c>
      <c r="C25" s="55" t="s">
        <v>3209</v>
      </c>
      <c r="D25" s="56"/>
      <c r="E25" s="57"/>
      <c r="F25" s="75" t="s">
        <v>3247</v>
      </c>
      <c r="G25" s="55" t="s">
        <v>3122</v>
      </c>
      <c r="H25" s="58">
        <v>220000</v>
      </c>
      <c r="I25" s="59">
        <f>IF(COUNTIF(MASUK[Kode Barang],REKAP[[#This Row],[ID]])=0,0,COUNTIF(MASUK[Kode Barang],REKAP[[#This Row],[ID]]))</f>
        <v>0</v>
      </c>
      <c r="J25" s="59">
        <f>IF(COUNTIF(MASUK8[Kode Barang],REKAP[[#This Row],[ID]])=0,0,COUNTIF(MASUK8[Kode Barang],REKAP[[#This Row],[ID]]))</f>
        <v>1</v>
      </c>
      <c r="K25" s="60">
        <f>REKAP[[#This Row],[Trx In]]+REKAP[[#This Row],[Trx Out]]</f>
        <v>1</v>
      </c>
      <c r="L25" s="55">
        <v>12</v>
      </c>
      <c r="M25" s="74">
        <f>SUMIF(MASUK!$C:$C,REKAP[[#This Row],[ID]],MASUK!$H:$H)</f>
        <v>0</v>
      </c>
      <c r="N25" s="74">
        <f>SUMIF(KELUAR!$C:$C,REKAP[[#This Row],[ID]],KELUAR!$H:$H)</f>
        <v>4</v>
      </c>
      <c r="O25" s="74">
        <f>REKAP[[#This Row],[Stok Awal]]+REKAP[[#This Row],[Masuk]]-REKAP[[#This Row],[Keluar]]</f>
        <v>8</v>
      </c>
      <c r="P25" s="55">
        <v>8</v>
      </c>
      <c r="Q25" s="62">
        <f>REKAP[[#This Row],[Harga Satuan]]*REKAP[[#This Row],[Stok Akhir]]</f>
        <v>1760000</v>
      </c>
      <c r="R25" s="61">
        <f>IF(REKAP[[#This Row],[Stok Aktual]]&lt;&gt;"",REKAP[[#This Row],[Stok Aktual]]-REKAP[[#This Row],[Stok Akhir]],0)</f>
        <v>0</v>
      </c>
      <c r="S25" s="133" t="s">
        <v>3928</v>
      </c>
      <c r="T25" s="137">
        <f>IF(REKAP[[#This Row],[Selisih]]&lt;=-1,REKAP[[#This Row],[Harga Satuan]]*REKAP[[#This Row],[Selisih]],0)</f>
        <v>0</v>
      </c>
    </row>
    <row r="26" spans="1:20" x14ac:dyDescent="0.25">
      <c r="A26" s="55" t="s">
        <v>3264</v>
      </c>
      <c r="B26" s="55" t="s">
        <v>3209</v>
      </c>
      <c r="C26" s="55" t="s">
        <v>3209</v>
      </c>
      <c r="D26" s="56"/>
      <c r="E26" s="57"/>
      <c r="F26" s="75" t="s">
        <v>3247</v>
      </c>
      <c r="G26" s="55" t="s">
        <v>3130</v>
      </c>
      <c r="H26" s="58">
        <v>210000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8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8</v>
      </c>
      <c r="P26" s="55"/>
      <c r="Q26" s="62">
        <f>REKAP[[#This Row],[Harga Satuan]]*REKAP[[#This Row],[Stok Akhir]]</f>
        <v>1680000</v>
      </c>
      <c r="R26" s="61">
        <f>IF(REKAP[[#This Row],[Stok Aktual]]&lt;&gt;"",REKAP[[#This Row],[Stok Aktual]]-REKAP[[#This Row],[Stok Akhir]],0)</f>
        <v>0</v>
      </c>
      <c r="S26" s="132"/>
      <c r="T26" s="137">
        <f>IF(REKAP[[#This Row],[Selisih]]&lt;=-1,REKAP[[#This Row],[Harga Satuan]]*REKAP[[#This Row],[Selisih]],0)</f>
        <v>0</v>
      </c>
    </row>
    <row r="27" spans="1:20" x14ac:dyDescent="0.25">
      <c r="A27" s="55" t="s">
        <v>3265</v>
      </c>
      <c r="B27" s="55" t="s">
        <v>3210</v>
      </c>
      <c r="C27" s="55" t="s">
        <v>3210</v>
      </c>
      <c r="D27" s="56"/>
      <c r="E27" s="57"/>
      <c r="F27" s="75" t="s">
        <v>3247</v>
      </c>
      <c r="G27" s="55" t="s">
        <v>3122</v>
      </c>
      <c r="H27" s="58">
        <v>120000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4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4</v>
      </c>
      <c r="P27" s="55"/>
      <c r="Q27" s="62">
        <f>REKAP[[#This Row],[Harga Satuan]]*REKAP[[#This Row],[Stok Akhir]]</f>
        <v>480000</v>
      </c>
      <c r="R27" s="61">
        <f>IF(REKAP[[#This Row],[Stok Aktual]]&lt;&gt;"",REKAP[[#This Row],[Stok Aktual]]-REKAP[[#This Row],[Stok Akhir]],0)</f>
        <v>0</v>
      </c>
      <c r="S27" s="132"/>
      <c r="T27" s="137">
        <f>IF(REKAP[[#This Row],[Selisih]]&lt;=-1,REKAP[[#This Row],[Harga Satuan]]*REKAP[[#This Row],[Selisih]],0)</f>
        <v>0</v>
      </c>
    </row>
    <row r="28" spans="1:20" x14ac:dyDescent="0.25">
      <c r="A28" s="55" t="s">
        <v>3266</v>
      </c>
      <c r="B28" s="55" t="s">
        <v>3211</v>
      </c>
      <c r="C28" s="55" t="s">
        <v>3211</v>
      </c>
      <c r="D28" s="56"/>
      <c r="E28" s="57"/>
      <c r="F28" s="75" t="s">
        <v>3247</v>
      </c>
      <c r="G28" s="55" t="s">
        <v>3212</v>
      </c>
      <c r="H28" s="58"/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>
        <f>IF(REKAP[[#This Row],[Stok Aktual]]&lt;&gt;"",REKAP[[#This Row],[Stok Aktual]]-REKAP[[#This Row],[Stok Akhir]],0)</f>
        <v>0</v>
      </c>
      <c r="S28" s="132"/>
      <c r="T28" s="137">
        <f>IF(REKAP[[#This Row],[Selisih]]&lt;=-1,REKAP[[#This Row],[Harga Satuan]]*REKAP[[#This Row],[Selisih]],0)</f>
        <v>0</v>
      </c>
    </row>
    <row r="29" spans="1:20" x14ac:dyDescent="0.25">
      <c r="A29" s="55" t="s">
        <v>3267</v>
      </c>
      <c r="B29" s="55" t="s">
        <v>3213</v>
      </c>
      <c r="C29" s="55" t="s">
        <v>3213</v>
      </c>
      <c r="D29" s="56"/>
      <c r="E29" s="57"/>
      <c r="F29" s="75" t="s">
        <v>3247</v>
      </c>
      <c r="G29" s="55" t="s">
        <v>3130</v>
      </c>
      <c r="H29" s="58">
        <v>25000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8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8</v>
      </c>
      <c r="P29" s="55"/>
      <c r="Q29" s="62">
        <f>REKAP[[#This Row],[Harga Satuan]]*REKAP[[#This Row],[Stok Akhir]]</f>
        <v>200000</v>
      </c>
      <c r="R29" s="61">
        <f>IF(REKAP[[#This Row],[Stok Aktual]]&lt;&gt;"",REKAP[[#This Row],[Stok Aktual]]-REKAP[[#This Row],[Stok Akhir]],0)</f>
        <v>0</v>
      </c>
      <c r="S29" s="132"/>
      <c r="T29" s="137">
        <f>IF(REKAP[[#This Row],[Selisih]]&lt;=-1,REKAP[[#This Row],[Harga Satuan]]*REKAP[[#This Row],[Selisih]],0)</f>
        <v>0</v>
      </c>
    </row>
    <row r="30" spans="1:20" x14ac:dyDescent="0.25">
      <c r="A30" s="55" t="s">
        <v>3268</v>
      </c>
      <c r="B30" s="55" t="s">
        <v>3214</v>
      </c>
      <c r="C30" s="55" t="s">
        <v>3214</v>
      </c>
      <c r="D30" s="56"/>
      <c r="E30" s="57"/>
      <c r="F30" s="75" t="s">
        <v>3247</v>
      </c>
      <c r="G30" s="55" t="s">
        <v>3122</v>
      </c>
      <c r="H30" s="58">
        <v>160000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3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3</v>
      </c>
      <c r="P30" s="55"/>
      <c r="Q30" s="62">
        <f>REKAP[[#This Row],[Harga Satuan]]*REKAP[[#This Row],[Stok Akhir]]</f>
        <v>480000</v>
      </c>
      <c r="R30" s="61">
        <f>IF(REKAP[[#This Row],[Stok Aktual]]&lt;&gt;"",REKAP[[#This Row],[Stok Aktual]]-REKAP[[#This Row],[Stok Akhir]],0)</f>
        <v>0</v>
      </c>
      <c r="S30" s="132"/>
      <c r="T30" s="137">
        <f>IF(REKAP[[#This Row],[Selisih]]&lt;=-1,REKAP[[#This Row],[Harga Satuan]]*REKAP[[#This Row],[Selisih]],0)</f>
        <v>0</v>
      </c>
    </row>
    <row r="31" spans="1:20" x14ac:dyDescent="0.25">
      <c r="A31" s="55" t="s">
        <v>3269</v>
      </c>
      <c r="B31" s="55" t="s">
        <v>3215</v>
      </c>
      <c r="C31" s="55" t="s">
        <v>3215</v>
      </c>
      <c r="D31" s="56"/>
      <c r="E31" s="57"/>
      <c r="F31" s="75" t="s">
        <v>3247</v>
      </c>
      <c r="G31" s="55" t="s">
        <v>3122</v>
      </c>
      <c r="H31" s="58">
        <v>340000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1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1</v>
      </c>
      <c r="P31" s="55"/>
      <c r="Q31" s="62">
        <f>REKAP[[#This Row],[Harga Satuan]]*REKAP[[#This Row],[Stok Akhir]]</f>
        <v>340000</v>
      </c>
      <c r="R31" s="61">
        <f>IF(REKAP[[#This Row],[Stok Aktual]]&lt;&gt;"",REKAP[[#This Row],[Stok Aktual]]-REKAP[[#This Row],[Stok Akhir]],0)</f>
        <v>0</v>
      </c>
      <c r="S31" s="132"/>
      <c r="T31" s="137">
        <f>IF(REKAP[[#This Row],[Selisih]]&lt;=-1,REKAP[[#This Row],[Harga Satuan]]*REKAP[[#This Row],[Selisih]],0)</f>
        <v>0</v>
      </c>
    </row>
    <row r="32" spans="1:20" x14ac:dyDescent="0.25">
      <c r="A32" s="55" t="s">
        <v>3270</v>
      </c>
      <c r="B32" s="55" t="s">
        <v>3216</v>
      </c>
      <c r="C32" s="55" t="s">
        <v>3216</v>
      </c>
      <c r="D32" s="56"/>
      <c r="E32" s="57"/>
      <c r="F32" s="75" t="s">
        <v>3247</v>
      </c>
      <c r="G32" s="55"/>
      <c r="H32" s="58"/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116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116</v>
      </c>
      <c r="P32" s="55"/>
      <c r="Q32" s="62">
        <f>REKAP[[#This Row],[Harga Satuan]]*REKAP[[#This Row],[Stok Akhir]]</f>
        <v>0</v>
      </c>
      <c r="R32" s="61">
        <f>IF(REKAP[[#This Row],[Stok Aktual]]&lt;&gt;"",REKAP[[#This Row],[Stok Aktual]]-REKAP[[#This Row],[Stok Akhir]],0)</f>
        <v>0</v>
      </c>
      <c r="S32" s="132"/>
      <c r="T32" s="137">
        <f>IF(REKAP[[#This Row],[Selisih]]&lt;=-1,REKAP[[#This Row],[Harga Satuan]]*REKAP[[#This Row],[Selisih]],0)</f>
        <v>0</v>
      </c>
    </row>
    <row r="33" spans="1:20" x14ac:dyDescent="0.25">
      <c r="A33" s="55" t="s">
        <v>3271</v>
      </c>
      <c r="B33" s="55" t="s">
        <v>3217</v>
      </c>
      <c r="C33" s="55" t="s">
        <v>3217</v>
      </c>
      <c r="D33" s="56"/>
      <c r="E33" s="57"/>
      <c r="F33" s="75" t="s">
        <v>3247</v>
      </c>
      <c r="G33" s="55" t="s">
        <v>3218</v>
      </c>
      <c r="H33" s="58">
        <v>10000</v>
      </c>
      <c r="I33" s="59">
        <f>IF(COUNTIF(MASUK[Kode Barang],REKAP[[#This Row],[ID]])=0,0,COUNTIF(MASUK[Kode Barang],REKAP[[#This Row],[ID]]))</f>
        <v>1</v>
      </c>
      <c r="J33" s="59">
        <f>IF(COUNTIF(MASUK8[Kode Barang],REKAP[[#This Row],[ID]])=0,0,COUNTIF(MASUK8[Kode Barang],REKAP[[#This Row],[ID]]))</f>
        <v>1</v>
      </c>
      <c r="K33" s="60">
        <f>REKAP[[#This Row],[Trx In]]+REKAP[[#This Row],[Trx Out]]</f>
        <v>2</v>
      </c>
      <c r="L33" s="55">
        <v>0</v>
      </c>
      <c r="M33" s="74">
        <f>SUMIF(MASUK!$C:$C,REKAP[[#This Row],[ID]],MASUK!$H:$H)</f>
        <v>4</v>
      </c>
      <c r="N33" s="74">
        <f>SUMIF(KELUAR!$C:$C,REKAP[[#This Row],[ID]],KELUAR!$H:$H)</f>
        <v>4</v>
      </c>
      <c r="O33" s="74">
        <f>REKAP[[#This Row],[Stok Awal]]+REKAP[[#This Row],[Masuk]]-REKAP[[#This Row],[Keluar]]</f>
        <v>0</v>
      </c>
      <c r="P33" s="55">
        <v>0</v>
      </c>
      <c r="Q33" s="62">
        <f>REKAP[[#This Row],[Harga Satuan]]*REKAP[[#This Row],[Stok Akhir]]</f>
        <v>0</v>
      </c>
      <c r="R33" s="61">
        <f>IF(REKAP[[#This Row],[Stok Aktual]]&lt;&gt;"",REKAP[[#This Row],[Stok Aktual]]-REKAP[[#This Row],[Stok Akhir]],0)</f>
        <v>0</v>
      </c>
      <c r="S33" s="132"/>
      <c r="T33" s="137">
        <f>IF(REKAP[[#This Row],[Selisih]]&lt;=-1,REKAP[[#This Row],[Harga Satuan]]*REKAP[[#This Row],[Selisih]],0)</f>
        <v>0</v>
      </c>
    </row>
    <row r="34" spans="1:20" x14ac:dyDescent="0.25">
      <c r="A34" s="55" t="s">
        <v>3272</v>
      </c>
      <c r="B34" s="55" t="s">
        <v>3219</v>
      </c>
      <c r="C34" s="55" t="s">
        <v>3219</v>
      </c>
      <c r="D34" s="56"/>
      <c r="E34" s="57"/>
      <c r="F34" s="75" t="s">
        <v>3247</v>
      </c>
      <c r="G34" s="55"/>
      <c r="H34" s="58"/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1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1</v>
      </c>
      <c r="P34" s="55"/>
      <c r="Q34" s="62">
        <f>REKAP[[#This Row],[Harga Satuan]]*REKAP[[#This Row],[Stok Akhir]]</f>
        <v>0</v>
      </c>
      <c r="R34" s="61">
        <f>IF(REKAP[[#This Row],[Stok Aktual]]&lt;&gt;"",REKAP[[#This Row],[Stok Aktual]]-REKAP[[#This Row],[Stok Akhir]],0)</f>
        <v>0</v>
      </c>
      <c r="S34" s="132"/>
      <c r="T34" s="137">
        <f>IF(REKAP[[#This Row],[Selisih]]&lt;=-1,REKAP[[#This Row],[Harga Satuan]]*REKAP[[#This Row],[Selisih]],0)</f>
        <v>0</v>
      </c>
    </row>
    <row r="35" spans="1:20" x14ac:dyDescent="0.25">
      <c r="A35" s="55" t="s">
        <v>3273</v>
      </c>
      <c r="B35" s="55" t="s">
        <v>3856</v>
      </c>
      <c r="C35" s="55" t="s">
        <v>3220</v>
      </c>
      <c r="D35" s="56"/>
      <c r="E35" s="57"/>
      <c r="F35" s="75" t="s">
        <v>3247</v>
      </c>
      <c r="G35" s="55" t="s">
        <v>3221</v>
      </c>
      <c r="H35" s="58">
        <v>150000</v>
      </c>
      <c r="I35" s="59">
        <f>IF(COUNTIF(MASUK[Kode Barang],REKAP[[#This Row],[ID]])=0,0,COUNTIF(MASUK[Kode Barang],REKAP[[#This Row],[ID]]))</f>
        <v>0</v>
      </c>
      <c r="J35" s="59">
        <f>IF(COUNTIF(MASUK8[Kode Barang],REKAP[[#This Row],[ID]])=0,0,COUNTIF(MASUK8[Kode Barang],REKAP[[#This Row],[ID]]))</f>
        <v>0</v>
      </c>
      <c r="K35" s="60">
        <f>REKAP[[#This Row],[Trx In]]+REKAP[[#This Row],[Trx Out]]</f>
        <v>0</v>
      </c>
      <c r="L35" s="55">
        <v>0</v>
      </c>
      <c r="M35" s="74">
        <f>SUMIF(MASUK!$C:$C,REKAP[[#This Row],[ID]],MASUK!$H:$H)</f>
        <v>0</v>
      </c>
      <c r="N35" s="74">
        <f>SUMIF(KELUAR!$C:$C,REKAP[[#This Row],[ID]],KELUAR!$H:$H)</f>
        <v>0</v>
      </c>
      <c r="O35" s="74">
        <f>REKAP[[#This Row],[Stok Awal]]+REKAP[[#This Row],[Masuk]]-REKAP[[#This Row],[Keluar]]</f>
        <v>0</v>
      </c>
      <c r="P35" s="55"/>
      <c r="Q35" s="62">
        <f>REKAP[[#This Row],[Harga Satuan]]*REKAP[[#This Row],[Stok Akhir]]</f>
        <v>0</v>
      </c>
      <c r="R35" s="61">
        <f>IF(REKAP[[#This Row],[Stok Aktual]]&lt;&gt;"",REKAP[[#This Row],[Stok Aktual]]-REKAP[[#This Row],[Stok Akhir]],0)</f>
        <v>0</v>
      </c>
      <c r="S35" s="132"/>
      <c r="T35" s="137">
        <f>IF(REKAP[[#This Row],[Selisih]]&lt;=-1,REKAP[[#This Row],[Harga Satuan]]*REKAP[[#This Row],[Selisih]],0)</f>
        <v>0</v>
      </c>
    </row>
    <row r="36" spans="1:20" x14ac:dyDescent="0.25">
      <c r="A36" s="55" t="s">
        <v>3274</v>
      </c>
      <c r="B36" s="55" t="s">
        <v>3222</v>
      </c>
      <c r="C36" s="55" t="s">
        <v>3222</v>
      </c>
      <c r="D36" s="56"/>
      <c r="E36" s="57" t="s">
        <v>3223</v>
      </c>
      <c r="F36" s="75" t="s">
        <v>3247</v>
      </c>
      <c r="G36" s="55" t="s">
        <v>3224</v>
      </c>
      <c r="H36" s="58">
        <v>3412500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0</v>
      </c>
      <c r="K36" s="60">
        <f>REKAP[[#This Row],[Trx In]]+REKAP[[#This Row],[Trx Out]]</f>
        <v>1</v>
      </c>
      <c r="L36" s="55">
        <v>10</v>
      </c>
      <c r="M36" s="74">
        <f>SUMIF(MASUK!$C:$C,REKAP[[#This Row],[ID]],MASUK!$H:$H)</f>
        <v>5</v>
      </c>
      <c r="N36" s="74">
        <f>SUMIF(KELUAR!$C:$C,REKAP[[#This Row],[ID]],KELUAR!$H:$H)</f>
        <v>0</v>
      </c>
      <c r="O36" s="74">
        <f>REKAP[[#This Row],[Stok Awal]]+REKAP[[#This Row],[Masuk]]-REKAP[[#This Row],[Keluar]]</f>
        <v>15</v>
      </c>
      <c r="P36" s="55">
        <v>15</v>
      </c>
      <c r="Q36" s="62">
        <f>REKAP[[#This Row],[Harga Satuan]]*REKAP[[#This Row],[Stok Akhir]]</f>
        <v>51187500</v>
      </c>
      <c r="R36" s="61">
        <f>IF(REKAP[[#This Row],[Stok Aktual]]&lt;&gt;"",REKAP[[#This Row],[Stok Aktual]]-REKAP[[#This Row],[Stok Akhir]],0)</f>
        <v>0</v>
      </c>
      <c r="S36" s="132"/>
      <c r="T36" s="137">
        <f>IF(REKAP[[#This Row],[Selisih]]&lt;=-1,REKAP[[#This Row],[Harga Satuan]]*REKAP[[#This Row],[Selisih]],0)</f>
        <v>0</v>
      </c>
    </row>
    <row r="37" spans="1:20" x14ac:dyDescent="0.25">
      <c r="A37" s="55" t="s">
        <v>3275</v>
      </c>
      <c r="B37" s="55" t="s">
        <v>3225</v>
      </c>
      <c r="C37" s="55" t="s">
        <v>3225</v>
      </c>
      <c r="D37" s="56"/>
      <c r="E37" s="57" t="s">
        <v>3223</v>
      </c>
      <c r="F37" s="75" t="s">
        <v>3247</v>
      </c>
      <c r="G37" s="55" t="s">
        <v>3130</v>
      </c>
      <c r="H37" s="58">
        <v>2300000</v>
      </c>
      <c r="I37" s="59">
        <f>IF(COUNTIF(MASUK[Kode Barang],REKAP[[#This Row],[ID]])=0,0,COUNTIF(MASUK[Kode Barang],REKAP[[#This Row],[ID]]))</f>
        <v>0</v>
      </c>
      <c r="J37" s="59">
        <f>IF(COUNTIF(MASUK8[Kode Barang],REKAP[[#This Row],[ID]])=0,0,COUNTIF(MASUK8[Kode Barang],REKAP[[#This Row],[ID]]))</f>
        <v>0</v>
      </c>
      <c r="K37" s="60">
        <f>REKAP[[#This Row],[Trx In]]+REKAP[[#This Row],[Trx Out]]</f>
        <v>0</v>
      </c>
      <c r="L37" s="55">
        <v>0</v>
      </c>
      <c r="M37" s="74">
        <f>SUMIF(MASUK!$C:$C,REKAP[[#This Row],[ID]],MASUK!$H:$H)</f>
        <v>0</v>
      </c>
      <c r="N37" s="74">
        <f>SUMIF(KELUAR!$C:$C,REKAP[[#This Row],[ID]],KELUAR!$H:$H)</f>
        <v>0</v>
      </c>
      <c r="O37" s="74">
        <f>REKAP[[#This Row],[Stok Awal]]+REKAP[[#This Row],[Masuk]]-REKAP[[#This Row],[Keluar]]</f>
        <v>0</v>
      </c>
      <c r="P37" s="55"/>
      <c r="Q37" s="62">
        <f>REKAP[[#This Row],[Harga Satuan]]*REKAP[[#This Row],[Stok Akhir]]</f>
        <v>0</v>
      </c>
      <c r="R37" s="61">
        <f>IF(REKAP[[#This Row],[Stok Aktual]]&lt;&gt;"",REKAP[[#This Row],[Stok Aktual]]-REKAP[[#This Row],[Stok Akhir]],0)</f>
        <v>0</v>
      </c>
      <c r="S37" s="132"/>
      <c r="T37" s="137">
        <f>IF(REKAP[[#This Row],[Selisih]]&lt;=-1,REKAP[[#This Row],[Harga Satuan]]*REKAP[[#This Row],[Selisih]],0)</f>
        <v>0</v>
      </c>
    </row>
    <row r="38" spans="1:20" x14ac:dyDescent="0.25">
      <c r="A38" s="55" t="s">
        <v>3276</v>
      </c>
      <c r="B38" s="55" t="s">
        <v>3226</v>
      </c>
      <c r="C38" s="55" t="s">
        <v>3226</v>
      </c>
      <c r="D38" s="56"/>
      <c r="E38" s="57"/>
      <c r="F38" s="75" t="s">
        <v>3247</v>
      </c>
      <c r="G38" s="55" t="s">
        <v>3207</v>
      </c>
      <c r="H38" s="58">
        <v>35000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31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31</v>
      </c>
      <c r="P38" s="55"/>
      <c r="Q38" s="62">
        <f>REKAP[[#This Row],[Harga Satuan]]*REKAP[[#This Row],[Stok Akhir]]</f>
        <v>1085000</v>
      </c>
      <c r="R38" s="61">
        <f>IF(REKAP[[#This Row],[Stok Aktual]]&lt;&gt;"",REKAP[[#This Row],[Stok Aktual]]-REKAP[[#This Row],[Stok Akhir]],0)</f>
        <v>0</v>
      </c>
      <c r="S38" s="132"/>
      <c r="T38" s="137">
        <f>IF(REKAP[[#This Row],[Selisih]]&lt;=-1,REKAP[[#This Row],[Harga Satuan]]*REKAP[[#This Row],[Selisih]],0)</f>
        <v>0</v>
      </c>
    </row>
    <row r="39" spans="1:20" x14ac:dyDescent="0.25">
      <c r="A39" s="55" t="s">
        <v>3277</v>
      </c>
      <c r="B39" s="55" t="s">
        <v>3227</v>
      </c>
      <c r="C39" s="55" t="s">
        <v>3227</v>
      </c>
      <c r="D39" s="56"/>
      <c r="E39" s="57"/>
      <c r="F39" s="75" t="s">
        <v>3247</v>
      </c>
      <c r="G39" s="55" t="s">
        <v>3228</v>
      </c>
      <c r="H39" s="58">
        <v>35000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0</v>
      </c>
      <c r="K39" s="60">
        <f>REKAP[[#This Row],[Trx In]]+REKAP[[#This Row],[Trx Out]]</f>
        <v>0</v>
      </c>
      <c r="L39" s="55">
        <v>46</v>
      </c>
      <c r="M39" s="74">
        <f>SUMIF(MASUK!$C:$C,REKAP[[#This Row],[ID]],MASUK!$H:$H)</f>
        <v>0</v>
      </c>
      <c r="N39" s="74">
        <f>SUMIF(KELUAR!$C:$C,REKAP[[#This Row],[ID]],KELUAR!$H:$H)</f>
        <v>0</v>
      </c>
      <c r="O39" s="74">
        <f>REKAP[[#This Row],[Stok Awal]]+REKAP[[#This Row],[Masuk]]-REKAP[[#This Row],[Keluar]]</f>
        <v>46</v>
      </c>
      <c r="P39" s="55"/>
      <c r="Q39" s="62">
        <f>REKAP[[#This Row],[Harga Satuan]]*REKAP[[#This Row],[Stok Akhir]]</f>
        <v>1610000</v>
      </c>
      <c r="R39" s="61">
        <f>IF(REKAP[[#This Row],[Stok Aktual]]&lt;&gt;"",REKAP[[#This Row],[Stok Aktual]]-REKAP[[#This Row],[Stok Akhir]],0)</f>
        <v>0</v>
      </c>
      <c r="S39" s="132"/>
      <c r="T39" s="137">
        <f>IF(REKAP[[#This Row],[Selisih]]&lt;=-1,REKAP[[#This Row],[Harga Satuan]]*REKAP[[#This Row],[Selisih]],0)</f>
        <v>0</v>
      </c>
    </row>
    <row r="40" spans="1:20" x14ac:dyDescent="0.25">
      <c r="A40" s="55" t="s">
        <v>3278</v>
      </c>
      <c r="B40" s="55" t="s">
        <v>3229</v>
      </c>
      <c r="C40" s="55" t="s">
        <v>3229</v>
      </c>
      <c r="D40" s="56"/>
      <c r="E40" s="57"/>
      <c r="F40" s="75" t="s">
        <v>3247</v>
      </c>
      <c r="G40" s="55"/>
      <c r="H40" s="58">
        <v>7500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2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2</v>
      </c>
      <c r="P40" s="55"/>
      <c r="Q40" s="62">
        <f>REKAP[[#This Row],[Harga Satuan]]*REKAP[[#This Row],[Stok Akhir]]</f>
        <v>15000</v>
      </c>
      <c r="R40" s="61">
        <f>IF(REKAP[[#This Row],[Stok Aktual]]&lt;&gt;"",REKAP[[#This Row],[Stok Aktual]]-REKAP[[#This Row],[Stok Akhir]],0)</f>
        <v>0</v>
      </c>
      <c r="S40" s="132"/>
      <c r="T40" s="137">
        <f>IF(REKAP[[#This Row],[Selisih]]&lt;=-1,REKAP[[#This Row],[Harga Satuan]]*REKAP[[#This Row],[Selisih]],0)</f>
        <v>0</v>
      </c>
    </row>
    <row r="41" spans="1:20" x14ac:dyDescent="0.25">
      <c r="A41" s="55" t="s">
        <v>3279</v>
      </c>
      <c r="B41" s="55" t="s">
        <v>3782</v>
      </c>
      <c r="C41" s="55" t="s">
        <v>3230</v>
      </c>
      <c r="D41" s="56"/>
      <c r="E41" s="57"/>
      <c r="F41" s="75" t="s">
        <v>3247</v>
      </c>
      <c r="G41" s="55"/>
      <c r="H41" s="58">
        <v>7000</v>
      </c>
      <c r="I41" s="59">
        <f>IF(COUNTIF(MASUK[Kode Barang],REKAP[[#This Row],[ID]])=0,0,COUNTIF(MASUK[Kode Barang],REKAP[[#This Row],[ID]]))</f>
        <v>1</v>
      </c>
      <c r="J41" s="59">
        <f>IF(COUNTIF(MASUK8[Kode Barang],REKAP[[#This Row],[ID]])=0,0,COUNTIF(MASUK8[Kode Barang],REKAP[[#This Row],[ID]]))</f>
        <v>1</v>
      </c>
      <c r="K41" s="60">
        <f>REKAP[[#This Row],[Trx In]]+REKAP[[#This Row],[Trx Out]]</f>
        <v>2</v>
      </c>
      <c r="L41" s="55">
        <v>0</v>
      </c>
      <c r="M41" s="74">
        <f>SUMIF(MASUK!$C:$C,REKAP[[#This Row],[ID]],MASUK!$H:$H)</f>
        <v>2</v>
      </c>
      <c r="N41" s="74">
        <f>SUMIF(KELUAR!$C:$C,REKAP[[#This Row],[ID]],KELUAR!$H:$H)</f>
        <v>2</v>
      </c>
      <c r="O41" s="74">
        <f>REKAP[[#This Row],[Stok Awal]]+REKAP[[#This Row],[Masuk]]-REKAP[[#This Row],[Keluar]]</f>
        <v>0</v>
      </c>
      <c r="P41" s="55">
        <v>0</v>
      </c>
      <c r="Q41" s="62">
        <f>REKAP[[#This Row],[Harga Satuan]]*REKAP[[#This Row],[Stok Akhir]]</f>
        <v>0</v>
      </c>
      <c r="R41" s="61">
        <f>IF(REKAP[[#This Row],[Stok Aktual]]&lt;&gt;"",REKAP[[#This Row],[Stok Aktual]]-REKAP[[#This Row],[Stok Akhir]],0)</f>
        <v>0</v>
      </c>
      <c r="S41" s="132"/>
      <c r="T41" s="137">
        <f>IF(REKAP[[#This Row],[Selisih]]&lt;=-1,REKAP[[#This Row],[Harga Satuan]]*REKAP[[#This Row],[Selisih]],0)</f>
        <v>0</v>
      </c>
    </row>
    <row r="42" spans="1:20" x14ac:dyDescent="0.25">
      <c r="A42" s="55" t="s">
        <v>3280</v>
      </c>
      <c r="B42" s="55" t="s">
        <v>3231</v>
      </c>
      <c r="C42" s="55" t="s">
        <v>3231</v>
      </c>
      <c r="D42" s="56"/>
      <c r="E42" s="57"/>
      <c r="F42" s="75" t="s">
        <v>3247</v>
      </c>
      <c r="G42" s="55"/>
      <c r="H42" s="58">
        <v>10500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2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2</v>
      </c>
      <c r="P42" s="55"/>
      <c r="Q42" s="62">
        <f>REKAP[[#This Row],[Harga Satuan]]*REKAP[[#This Row],[Stok Akhir]]</f>
        <v>21000</v>
      </c>
      <c r="R42" s="61">
        <f>IF(REKAP[[#This Row],[Stok Aktual]]&lt;&gt;"",REKAP[[#This Row],[Stok Aktual]]-REKAP[[#This Row],[Stok Akhir]],0)</f>
        <v>0</v>
      </c>
      <c r="S42" s="132"/>
      <c r="T42" s="137">
        <f>IF(REKAP[[#This Row],[Selisih]]&lt;=-1,REKAP[[#This Row],[Harga Satuan]]*REKAP[[#This Row],[Selisih]],0)</f>
        <v>0</v>
      </c>
    </row>
    <row r="43" spans="1:20" x14ac:dyDescent="0.25">
      <c r="A43" s="55" t="s">
        <v>3281</v>
      </c>
      <c r="B43" s="55" t="s">
        <v>3781</v>
      </c>
      <c r="C43" s="55" t="s">
        <v>3232</v>
      </c>
      <c r="D43" s="56"/>
      <c r="E43" s="57"/>
      <c r="F43" s="75" t="s">
        <v>3247</v>
      </c>
      <c r="G43" s="55" t="s">
        <v>838</v>
      </c>
      <c r="H43" s="58">
        <v>13000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0</v>
      </c>
      <c r="M43" s="74">
        <f>SUMIF(MASUK!$C:$C,REKAP[[#This Row],[ID]],MASUK!$H:$H)</f>
        <v>2</v>
      </c>
      <c r="N43" s="74">
        <f>SUMIF(KELUAR!$C:$C,REKAP[[#This Row],[ID]],KELUAR!$H:$H)</f>
        <v>2</v>
      </c>
      <c r="O43" s="74">
        <f>REKAP[[#This Row],[Stok Awal]]+REKAP[[#This Row],[Masuk]]-REKAP[[#This Row],[Keluar]]</f>
        <v>0</v>
      </c>
      <c r="P43" s="55">
        <v>0</v>
      </c>
      <c r="Q43" s="62">
        <f>REKAP[[#This Row],[Harga Satuan]]*REKAP[[#This Row],[Stok Akhir]]</f>
        <v>0</v>
      </c>
      <c r="R43" s="61">
        <f>IF(REKAP[[#This Row],[Stok Aktual]]&lt;&gt;"",REKAP[[#This Row],[Stok Aktual]]-REKAP[[#This Row],[Stok Akhir]],0)</f>
        <v>0</v>
      </c>
      <c r="S43" s="132"/>
      <c r="T43" s="137">
        <f>IF(REKAP[[#This Row],[Selisih]]&lt;=-1,REKAP[[#This Row],[Harga Satuan]]*REKAP[[#This Row],[Selisih]],0)</f>
        <v>0</v>
      </c>
    </row>
    <row r="44" spans="1:20" x14ac:dyDescent="0.25">
      <c r="A44" s="55" t="s">
        <v>3282</v>
      </c>
      <c r="B44" s="55" t="s">
        <v>3233</v>
      </c>
      <c r="C44" s="55" t="s">
        <v>3233</v>
      </c>
      <c r="D44" s="56"/>
      <c r="E44" s="57"/>
      <c r="F44" s="75" t="s">
        <v>3247</v>
      </c>
      <c r="G44" s="55" t="s">
        <v>838</v>
      </c>
      <c r="H44" s="58">
        <v>40000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0</v>
      </c>
      <c r="K44" s="60">
        <f>REKAP[[#This Row],[Trx In]]+REKAP[[#This Row],[Trx Out]]</f>
        <v>0</v>
      </c>
      <c r="L44" s="55">
        <v>10</v>
      </c>
      <c r="M44" s="74">
        <f>SUMIF(MASUK!$C:$C,REKAP[[#This Row],[ID]],MASUK!$H:$H)</f>
        <v>0</v>
      </c>
      <c r="N44" s="74">
        <f>SUMIF(KELUAR!$C:$C,REKAP[[#This Row],[ID]],KELUAR!$H:$H)</f>
        <v>0</v>
      </c>
      <c r="O44" s="74">
        <f>REKAP[[#This Row],[Stok Awal]]+REKAP[[#This Row],[Masuk]]-REKAP[[#This Row],[Keluar]]</f>
        <v>10</v>
      </c>
      <c r="P44" s="55"/>
      <c r="Q44" s="62">
        <f>REKAP[[#This Row],[Harga Satuan]]*REKAP[[#This Row],[Stok Akhir]]</f>
        <v>400000</v>
      </c>
      <c r="R44" s="61">
        <f>IF(REKAP[[#This Row],[Stok Aktual]]&lt;&gt;"",REKAP[[#This Row],[Stok Aktual]]-REKAP[[#This Row],[Stok Akhir]],0)</f>
        <v>0</v>
      </c>
      <c r="S44" s="132"/>
      <c r="T44" s="137">
        <f>IF(REKAP[[#This Row],[Selisih]]&lt;=-1,REKAP[[#This Row],[Harga Satuan]]*REKAP[[#This Row],[Selisih]],0)</f>
        <v>0</v>
      </c>
    </row>
    <row r="45" spans="1:20" x14ac:dyDescent="0.25">
      <c r="A45" s="55" t="s">
        <v>3283</v>
      </c>
      <c r="B45" s="55" t="s">
        <v>3234</v>
      </c>
      <c r="C45" s="55" t="s">
        <v>3234</v>
      </c>
      <c r="D45" s="56"/>
      <c r="E45" s="57"/>
      <c r="F45" s="75" t="s">
        <v>3247</v>
      </c>
      <c r="G45" s="55"/>
      <c r="H45" s="58">
        <v>90000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8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8</v>
      </c>
      <c r="P45" s="55"/>
      <c r="Q45" s="62">
        <f>REKAP[[#This Row],[Harga Satuan]]*REKAP[[#This Row],[Stok Akhir]]</f>
        <v>720000</v>
      </c>
      <c r="R45" s="61">
        <f>IF(REKAP[[#This Row],[Stok Aktual]]&lt;&gt;"",REKAP[[#This Row],[Stok Aktual]]-REKAP[[#This Row],[Stok Akhir]],0)</f>
        <v>0</v>
      </c>
      <c r="S45" s="132"/>
      <c r="T45" s="137">
        <f>IF(REKAP[[#This Row],[Selisih]]&lt;=-1,REKAP[[#This Row],[Harga Satuan]]*REKAP[[#This Row],[Selisih]],0)</f>
        <v>0</v>
      </c>
    </row>
    <row r="46" spans="1:20" x14ac:dyDescent="0.25">
      <c r="A46" s="55" t="s">
        <v>3284</v>
      </c>
      <c r="B46" s="55" t="s">
        <v>3235</v>
      </c>
      <c r="C46" s="55" t="s">
        <v>3235</v>
      </c>
      <c r="D46" s="56"/>
      <c r="E46" s="57"/>
      <c r="F46" s="75" t="s">
        <v>3247</v>
      </c>
      <c r="G46" s="55" t="s">
        <v>3130</v>
      </c>
      <c r="H46" s="58">
        <v>100000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8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8</v>
      </c>
      <c r="P46" s="55"/>
      <c r="Q46" s="62">
        <f>REKAP[[#This Row],[Harga Satuan]]*REKAP[[#This Row],[Stok Akhir]]</f>
        <v>800000</v>
      </c>
      <c r="R46" s="61">
        <f>IF(REKAP[[#This Row],[Stok Aktual]]&lt;&gt;"",REKAP[[#This Row],[Stok Aktual]]-REKAP[[#This Row],[Stok Akhir]],0)</f>
        <v>0</v>
      </c>
      <c r="S46" s="132"/>
      <c r="T46" s="137">
        <f>IF(REKAP[[#This Row],[Selisih]]&lt;=-1,REKAP[[#This Row],[Harga Satuan]]*REKAP[[#This Row],[Selisih]],0)</f>
        <v>0</v>
      </c>
    </row>
    <row r="47" spans="1:20" x14ac:dyDescent="0.25">
      <c r="A47" s="55" t="s">
        <v>3285</v>
      </c>
      <c r="B47" s="55" t="s">
        <v>3236</v>
      </c>
      <c r="C47" s="55" t="s">
        <v>3236</v>
      </c>
      <c r="D47" s="56"/>
      <c r="E47" s="57"/>
      <c r="F47" s="75" t="s">
        <v>3247</v>
      </c>
      <c r="G47" s="55" t="s">
        <v>3130</v>
      </c>
      <c r="H47" s="58">
        <v>2100000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2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2</v>
      </c>
      <c r="P47" s="55"/>
      <c r="Q47" s="62">
        <f>REKAP[[#This Row],[Harga Satuan]]*REKAP[[#This Row],[Stok Akhir]]</f>
        <v>4200000</v>
      </c>
      <c r="R47" s="61">
        <f>IF(REKAP[[#This Row],[Stok Aktual]]&lt;&gt;"",REKAP[[#This Row],[Stok Aktual]]-REKAP[[#This Row],[Stok Akhir]],0)</f>
        <v>0</v>
      </c>
      <c r="S47" s="132"/>
      <c r="T47" s="137">
        <f>IF(REKAP[[#This Row],[Selisih]]&lt;=-1,REKAP[[#This Row],[Harga Satuan]]*REKAP[[#This Row],[Selisih]],0)</f>
        <v>0</v>
      </c>
    </row>
    <row r="48" spans="1:20" x14ac:dyDescent="0.25">
      <c r="A48" s="55" t="s">
        <v>3286</v>
      </c>
      <c r="B48" s="55" t="s">
        <v>3237</v>
      </c>
      <c r="C48" s="55" t="s">
        <v>3237</v>
      </c>
      <c r="D48" s="56"/>
      <c r="E48" s="57"/>
      <c r="F48" s="75" t="s">
        <v>3247</v>
      </c>
      <c r="G48" s="55" t="s">
        <v>3130</v>
      </c>
      <c r="H48" s="58">
        <v>2100000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2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2</v>
      </c>
      <c r="P48" s="55"/>
      <c r="Q48" s="62">
        <f>REKAP[[#This Row],[Harga Satuan]]*REKAP[[#This Row],[Stok Akhir]]</f>
        <v>4200000</v>
      </c>
      <c r="R48" s="61">
        <f>IF(REKAP[[#This Row],[Stok Aktual]]&lt;&gt;"",REKAP[[#This Row],[Stok Aktual]]-REKAP[[#This Row],[Stok Akhir]],0)</f>
        <v>0</v>
      </c>
      <c r="S48" s="132"/>
      <c r="T48" s="137">
        <f>IF(REKAP[[#This Row],[Selisih]]&lt;=-1,REKAP[[#This Row],[Harga Satuan]]*REKAP[[#This Row],[Selisih]],0)</f>
        <v>0</v>
      </c>
    </row>
    <row r="49" spans="1:20" x14ac:dyDescent="0.25">
      <c r="A49" s="55" t="s">
        <v>3287</v>
      </c>
      <c r="B49" s="55" t="s">
        <v>3238</v>
      </c>
      <c r="C49" s="55" t="s">
        <v>3238</v>
      </c>
      <c r="D49" s="56"/>
      <c r="E49" s="57"/>
      <c r="F49" s="75" t="s">
        <v>3247</v>
      </c>
      <c r="G49" s="55" t="s">
        <v>3130</v>
      </c>
      <c r="H49" s="58">
        <v>3825000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>
        <f>IF(REKAP[[#This Row],[Stok Aktual]]&lt;&gt;"",REKAP[[#This Row],[Stok Aktual]]-REKAP[[#This Row],[Stok Akhir]],0)</f>
        <v>0</v>
      </c>
      <c r="S49" s="132"/>
      <c r="T49" s="137">
        <f>IF(REKAP[[#This Row],[Selisih]]&lt;=-1,REKAP[[#This Row],[Harga Satuan]]*REKAP[[#This Row],[Selisih]],0)</f>
        <v>0</v>
      </c>
    </row>
    <row r="50" spans="1:20" x14ac:dyDescent="0.25">
      <c r="A50" s="55" t="s">
        <v>3288</v>
      </c>
      <c r="B50" s="55" t="s">
        <v>3239</v>
      </c>
      <c r="C50" s="55" t="s">
        <v>3239</v>
      </c>
      <c r="D50" s="56"/>
      <c r="E50" s="57"/>
      <c r="F50" s="75" t="s">
        <v>3247</v>
      </c>
      <c r="G50" s="55" t="s">
        <v>3122</v>
      </c>
      <c r="H50" s="58">
        <v>38400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0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0</v>
      </c>
      <c r="P50" s="55"/>
      <c r="Q50" s="62">
        <f>REKAP[[#This Row],[Harga Satuan]]*REKAP[[#This Row],[Stok Akhir]]</f>
        <v>0</v>
      </c>
      <c r="R50" s="61">
        <f>IF(REKAP[[#This Row],[Stok Aktual]]&lt;&gt;"",REKAP[[#This Row],[Stok Aktual]]-REKAP[[#This Row],[Stok Akhir]],0)</f>
        <v>0</v>
      </c>
      <c r="S50" s="132"/>
      <c r="T50" s="137">
        <f>IF(REKAP[[#This Row],[Selisih]]&lt;=-1,REKAP[[#This Row],[Harga Satuan]]*REKAP[[#This Row],[Selisih]],0)</f>
        <v>0</v>
      </c>
    </row>
    <row r="51" spans="1:20" x14ac:dyDescent="0.25">
      <c r="A51" s="55" t="s">
        <v>3289</v>
      </c>
      <c r="B51" s="55" t="s">
        <v>3240</v>
      </c>
      <c r="C51" s="55" t="s">
        <v>3240</v>
      </c>
      <c r="D51" s="56"/>
      <c r="E51" s="57"/>
      <c r="F51" s="75" t="s">
        <v>3247</v>
      </c>
      <c r="G51" s="55"/>
      <c r="H51" s="58">
        <v>1920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528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528</v>
      </c>
      <c r="P51" s="55"/>
      <c r="Q51" s="62">
        <f>REKAP[[#This Row],[Harga Satuan]]*REKAP[[#This Row],[Stok Akhir]]</f>
        <v>1013760</v>
      </c>
      <c r="R51" s="61">
        <f>IF(REKAP[[#This Row],[Stok Aktual]]&lt;&gt;"",REKAP[[#This Row],[Stok Aktual]]-REKAP[[#This Row],[Stok Akhir]],0)</f>
        <v>0</v>
      </c>
      <c r="S51" s="132"/>
      <c r="T51" s="137">
        <f>IF(REKAP[[#This Row],[Selisih]]&lt;=-1,REKAP[[#This Row],[Harga Satuan]]*REKAP[[#This Row],[Selisih]],0)</f>
        <v>0</v>
      </c>
    </row>
    <row r="52" spans="1:20" x14ac:dyDescent="0.25">
      <c r="A52" s="55" t="s">
        <v>3290</v>
      </c>
      <c r="B52" s="55" t="s">
        <v>3241</v>
      </c>
      <c r="C52" s="55" t="s">
        <v>3241</v>
      </c>
      <c r="D52" s="56"/>
      <c r="E52" s="57"/>
      <c r="F52" s="75" t="s">
        <v>3247</v>
      </c>
      <c r="G52" s="55" t="s">
        <v>3130</v>
      </c>
      <c r="H52" s="58">
        <v>145000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8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8</v>
      </c>
      <c r="P52" s="55"/>
      <c r="Q52" s="62">
        <f>REKAP[[#This Row],[Harga Satuan]]*REKAP[[#This Row],[Stok Akhir]]</f>
        <v>1160000</v>
      </c>
      <c r="R52" s="61">
        <f>IF(REKAP[[#This Row],[Stok Aktual]]&lt;&gt;"",REKAP[[#This Row],[Stok Aktual]]-REKAP[[#This Row],[Stok Akhir]],0)</f>
        <v>0</v>
      </c>
      <c r="S52" s="132"/>
      <c r="T52" s="137">
        <f>IF(REKAP[[#This Row],[Selisih]]&lt;=-1,REKAP[[#This Row],[Harga Satuan]]*REKAP[[#This Row],[Selisih]],0)</f>
        <v>0</v>
      </c>
    </row>
    <row r="53" spans="1:20" x14ac:dyDescent="0.25">
      <c r="A53" s="55" t="s">
        <v>3291</v>
      </c>
      <c r="B53" s="55" t="s">
        <v>3242</v>
      </c>
      <c r="C53" s="55" t="s">
        <v>3242</v>
      </c>
      <c r="D53" s="56"/>
      <c r="E53" s="57"/>
      <c r="F53" s="75" t="s">
        <v>3247</v>
      </c>
      <c r="G53" s="55"/>
      <c r="H53" s="58">
        <v>145000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15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15</v>
      </c>
      <c r="P53" s="55"/>
      <c r="Q53" s="62">
        <f>REKAP[[#This Row],[Harga Satuan]]*REKAP[[#This Row],[Stok Akhir]]</f>
        <v>2175000</v>
      </c>
      <c r="R53" s="61">
        <f>IF(REKAP[[#This Row],[Stok Aktual]]&lt;&gt;"",REKAP[[#This Row],[Stok Aktual]]-REKAP[[#This Row],[Stok Akhir]],0)</f>
        <v>0</v>
      </c>
      <c r="S53" s="132"/>
      <c r="T53" s="137">
        <f>IF(REKAP[[#This Row],[Selisih]]&lt;=-1,REKAP[[#This Row],[Harga Satuan]]*REKAP[[#This Row],[Selisih]],0)</f>
        <v>0</v>
      </c>
    </row>
    <row r="54" spans="1:20" x14ac:dyDescent="0.25">
      <c r="A54" s="55" t="s">
        <v>3292</v>
      </c>
      <c r="B54" s="55" t="s">
        <v>3243</v>
      </c>
      <c r="C54" s="55" t="s">
        <v>3243</v>
      </c>
      <c r="D54" s="56"/>
      <c r="E54" s="57"/>
      <c r="F54" s="75" t="s">
        <v>3247</v>
      </c>
      <c r="G54" s="55"/>
      <c r="H54" s="58">
        <v>165000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7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7</v>
      </c>
      <c r="P54" s="55"/>
      <c r="Q54" s="62">
        <f>REKAP[[#This Row],[Harga Satuan]]*REKAP[[#This Row],[Stok Akhir]]</f>
        <v>1155000</v>
      </c>
      <c r="R54" s="61">
        <f>IF(REKAP[[#This Row],[Stok Aktual]]&lt;&gt;"",REKAP[[#This Row],[Stok Aktual]]-REKAP[[#This Row],[Stok Akhir]],0)</f>
        <v>0</v>
      </c>
      <c r="S54" s="132"/>
      <c r="T54" s="137">
        <f>IF(REKAP[[#This Row],[Selisih]]&lt;=-1,REKAP[[#This Row],[Harga Satuan]]*REKAP[[#This Row],[Selisih]],0)</f>
        <v>0</v>
      </c>
    </row>
    <row r="55" spans="1:20" x14ac:dyDescent="0.25">
      <c r="A55" s="55" t="s">
        <v>3293</v>
      </c>
      <c r="B55" s="55" t="s">
        <v>3244</v>
      </c>
      <c r="C55" s="55" t="s">
        <v>3244</v>
      </c>
      <c r="D55" s="56"/>
      <c r="E55" s="57"/>
      <c r="F55" s="75" t="s">
        <v>3247</v>
      </c>
      <c r="G55" s="55" t="s">
        <v>3245</v>
      </c>
      <c r="H55" s="58">
        <v>568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3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3</v>
      </c>
      <c r="P55" s="55"/>
      <c r="Q55" s="62">
        <f>REKAP[[#This Row],[Harga Satuan]]*REKAP[[#This Row],[Stok Akhir]]</f>
        <v>1704</v>
      </c>
      <c r="R55" s="61">
        <f>IF(REKAP[[#This Row],[Stok Aktual]]&lt;&gt;"",REKAP[[#This Row],[Stok Aktual]]-REKAP[[#This Row],[Stok Akhir]],0)</f>
        <v>0</v>
      </c>
      <c r="S55" s="132"/>
      <c r="T55" s="137">
        <f>IF(REKAP[[#This Row],[Selisih]]&lt;=-1,REKAP[[#This Row],[Harga Satuan]]*REKAP[[#This Row],[Selisih]],0)</f>
        <v>0</v>
      </c>
    </row>
    <row r="56" spans="1:20" x14ac:dyDescent="0.25">
      <c r="A56" s="55" t="s">
        <v>3294</v>
      </c>
      <c r="B56" s="55" t="s">
        <v>3246</v>
      </c>
      <c r="C56" s="55" t="s">
        <v>3246</v>
      </c>
      <c r="D56" s="56"/>
      <c r="E56" s="57"/>
      <c r="F56" s="75" t="s">
        <v>3247</v>
      </c>
      <c r="G56" s="55" t="s">
        <v>3122</v>
      </c>
      <c r="H56" s="58">
        <v>200000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1</v>
      </c>
      <c r="K56" s="60">
        <f>REKAP[[#This Row],[Trx In]]+REKAP[[#This Row],[Trx Out]]</f>
        <v>1</v>
      </c>
      <c r="L56" s="55">
        <v>16</v>
      </c>
      <c r="M56" s="74">
        <f>SUMIF(MASUK!$C:$C,REKAP[[#This Row],[ID]],MASUK!$H:$H)</f>
        <v>0</v>
      </c>
      <c r="N56" s="74">
        <f>SUMIF(KELUAR!$C:$C,REKAP[[#This Row],[ID]],KELUAR!$H:$H)</f>
        <v>8</v>
      </c>
      <c r="O56" s="74">
        <f>REKAP[[#This Row],[Stok Awal]]+REKAP[[#This Row],[Masuk]]-REKAP[[#This Row],[Keluar]]</f>
        <v>8</v>
      </c>
      <c r="P56" s="55">
        <v>8</v>
      </c>
      <c r="Q56" s="62">
        <f>REKAP[[#This Row],[Harga Satuan]]*REKAP[[#This Row],[Stok Akhir]]</f>
        <v>1600000</v>
      </c>
      <c r="R56" s="61">
        <f>IF(REKAP[[#This Row],[Stok Aktual]]&lt;&gt;"",REKAP[[#This Row],[Stok Aktual]]-REKAP[[#This Row],[Stok Akhir]],0)</f>
        <v>0</v>
      </c>
      <c r="S56" s="132"/>
      <c r="T56" s="137">
        <f>IF(REKAP[[#This Row],[Selisih]]&lt;=-1,REKAP[[#This Row],[Harga Satuan]]*REKAP[[#This Row],[Selisih]],0)</f>
        <v>0</v>
      </c>
    </row>
    <row r="57" spans="1:20" x14ac:dyDescent="0.25">
      <c r="A57" s="55" t="s">
        <v>3295</v>
      </c>
      <c r="B57" s="55" t="s">
        <v>3246</v>
      </c>
      <c r="C57" s="55" t="s">
        <v>3246</v>
      </c>
      <c r="D57" s="56"/>
      <c r="E57" s="57"/>
      <c r="F57" s="75" t="s">
        <v>3247</v>
      </c>
      <c r="G57" s="55"/>
      <c r="H57" s="58">
        <v>290000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8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8</v>
      </c>
      <c r="P57" s="55"/>
      <c r="Q57" s="62">
        <f>REKAP[[#This Row],[Harga Satuan]]*REKAP[[#This Row],[Stok Akhir]]</f>
        <v>2320000</v>
      </c>
      <c r="R57" s="61">
        <f>IF(REKAP[[#This Row],[Stok Aktual]]&lt;&gt;"",REKAP[[#This Row],[Stok Aktual]]-REKAP[[#This Row],[Stok Akhir]],0)</f>
        <v>0</v>
      </c>
      <c r="S57" s="132"/>
      <c r="T57" s="137">
        <f>IF(REKAP[[#This Row],[Selisih]]&lt;=-1,REKAP[[#This Row],[Harga Satuan]]*REKAP[[#This Row],[Selisih]],0)</f>
        <v>0</v>
      </c>
    </row>
    <row r="58" spans="1:20" x14ac:dyDescent="0.25">
      <c r="A58" s="63" t="s">
        <v>3806</v>
      </c>
      <c r="B58" s="55" t="s">
        <v>3808</v>
      </c>
      <c r="C58" s="55"/>
      <c r="D58" s="56" t="s">
        <v>3807</v>
      </c>
      <c r="E58" s="57"/>
      <c r="F58" s="75" t="s">
        <v>3247</v>
      </c>
      <c r="G58" s="55"/>
      <c r="H58" s="58"/>
      <c r="I58" s="59">
        <f>IF(COUNTIF(MASUK[Kode Barang],REKAP[[#This Row],[ID]])=0,0,COUNTIF(MASUK[Kode Barang],REKAP[[#This Row],[ID]]))</f>
        <v>1</v>
      </c>
      <c r="J58" s="59">
        <f>IF(COUNTIF(MASUK8[Kode Barang],REKAP[[#This Row],[ID]])=0,0,COUNTIF(MASUK8[Kode Barang],REKAP[[#This Row],[ID]]))</f>
        <v>1</v>
      </c>
      <c r="K58" s="60">
        <f>REKAP[[#This Row],[Trx In]]+REKAP[[#This Row],[Trx Out]]</f>
        <v>2</v>
      </c>
      <c r="L58" s="55"/>
      <c r="M58" s="74">
        <f>SUMIF(MASUK!$C:$C,REKAP[[#This Row],[ID]],MASUK!$H:$H)</f>
        <v>3</v>
      </c>
      <c r="N58" s="74">
        <f>SUMIF(KELUAR!$C:$C,REKAP[[#This Row],[ID]],KELUAR!$H:$H)</f>
        <v>3</v>
      </c>
      <c r="O58" s="74">
        <f>REKAP[[#This Row],[Stok Awal]]+REKAP[[#This Row],[Masuk]]-REKAP[[#This Row],[Keluar]]</f>
        <v>0</v>
      </c>
      <c r="P58" s="55">
        <v>0</v>
      </c>
      <c r="Q58" s="62">
        <f>REKAP[[#This Row],[Harga Satuan]]*REKAP[[#This Row],[Stok Akhir]]</f>
        <v>0</v>
      </c>
      <c r="R58" s="61">
        <f>IF(REKAP[[#This Row],[Stok Aktual]]&lt;&gt;"",REKAP[[#This Row],[Stok Aktual]]-REKAP[[#This Row],[Stok Akhir]],0)</f>
        <v>0</v>
      </c>
      <c r="S58" s="132"/>
      <c r="T58" s="137">
        <f>IF(REKAP[[#This Row],[Selisih]]&lt;=-1,REKAP[[#This Row],[Harga Satuan]]*REKAP[[#This Row],[Selisih]],0)</f>
        <v>0</v>
      </c>
    </row>
    <row r="59" spans="1:20" x14ac:dyDescent="0.25">
      <c r="A59" s="55" t="s">
        <v>250</v>
      </c>
      <c r="B59" s="55" t="s">
        <v>3326</v>
      </c>
      <c r="C59" s="55" t="s">
        <v>3349</v>
      </c>
      <c r="D59" s="56" t="s">
        <v>9</v>
      </c>
      <c r="E59" s="57" t="s">
        <v>3347</v>
      </c>
      <c r="F59" s="75" t="s">
        <v>251</v>
      </c>
      <c r="G59" s="55" t="s">
        <v>10</v>
      </c>
      <c r="H59" s="58">
        <v>500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13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13</v>
      </c>
      <c r="P59" s="55"/>
      <c r="Q59" s="62">
        <f>REKAP[[#This Row],[Harga Satuan]]*REKAP[[#This Row],[Stok Akhir]]</f>
        <v>6500</v>
      </c>
      <c r="R59" s="61">
        <f>IF(REKAP[[#This Row],[Stok Aktual]]&lt;&gt;"",REKAP[[#This Row],[Stok Aktual]]-REKAP[[#This Row],[Stok Akhir]],0)</f>
        <v>0</v>
      </c>
      <c r="S59" s="132"/>
      <c r="T59" s="137">
        <f>IF(REKAP[[#This Row],[Selisih]]&lt;=-1,REKAP[[#This Row],[Harga Satuan]]*REKAP[[#This Row],[Selisih]],0)</f>
        <v>0</v>
      </c>
    </row>
    <row r="60" spans="1:20" x14ac:dyDescent="0.25">
      <c r="A60" s="55" t="s">
        <v>252</v>
      </c>
      <c r="B60" s="55" t="s">
        <v>3326</v>
      </c>
      <c r="C60" s="55" t="s">
        <v>3349</v>
      </c>
      <c r="D60" s="56" t="s">
        <v>11</v>
      </c>
      <c r="E60" s="57" t="s">
        <v>3347</v>
      </c>
      <c r="F60" s="75" t="s">
        <v>251</v>
      </c>
      <c r="G60" s="55" t="s">
        <v>10</v>
      </c>
      <c r="H60" s="58">
        <v>1000</v>
      </c>
      <c r="I60" s="59">
        <f>IF(COUNTIF(MASUK[Kode Barang],REKAP[[#This Row],[ID]])=0,0,COUNTIF(MASUK[Kode Barang],REKAP[[#This Row],[ID]]))</f>
        <v>1</v>
      </c>
      <c r="J60" s="59">
        <f>IF(COUNTIF(MASUK8[Kode Barang],REKAP[[#This Row],[ID]])=0,0,COUNTIF(MASUK8[Kode Barang],REKAP[[#This Row],[ID]]))</f>
        <v>3</v>
      </c>
      <c r="K60" s="60">
        <f>REKAP[[#This Row],[Trx In]]+REKAP[[#This Row],[Trx Out]]</f>
        <v>4</v>
      </c>
      <c r="L60" s="55">
        <v>11</v>
      </c>
      <c r="M60" s="74">
        <f>SUMIF(MASUK!$C:$C,REKAP[[#This Row],[ID]],MASUK!$H:$H)</f>
        <v>2</v>
      </c>
      <c r="N60" s="74">
        <f>SUMIF(KELUAR!$C:$C,REKAP[[#This Row],[ID]],KELUAR!$H:$H)</f>
        <v>6</v>
      </c>
      <c r="O60" s="74">
        <f>REKAP[[#This Row],[Stok Awal]]+REKAP[[#This Row],[Masuk]]-REKAP[[#This Row],[Keluar]]</f>
        <v>7</v>
      </c>
      <c r="P60" s="55">
        <v>7</v>
      </c>
      <c r="Q60" s="62">
        <f>REKAP[[#This Row],[Harga Satuan]]*REKAP[[#This Row],[Stok Akhir]]</f>
        <v>7000</v>
      </c>
      <c r="R60" s="61">
        <f>IF(REKAP[[#This Row],[Stok Aktual]]&lt;&gt;"",REKAP[[#This Row],[Stok Aktual]]-REKAP[[#This Row],[Stok Akhir]],0)</f>
        <v>0</v>
      </c>
      <c r="S60" s="132"/>
      <c r="T60" s="137">
        <f>IF(REKAP[[#This Row],[Selisih]]&lt;=-1,REKAP[[#This Row],[Harga Satuan]]*REKAP[[#This Row],[Selisih]],0)</f>
        <v>0</v>
      </c>
    </row>
    <row r="61" spans="1:20" x14ac:dyDescent="0.25">
      <c r="A61" s="55" t="s">
        <v>253</v>
      </c>
      <c r="B61" s="55" t="s">
        <v>3326</v>
      </c>
      <c r="C61" s="55" t="s">
        <v>3349</v>
      </c>
      <c r="D61" s="56" t="s">
        <v>14</v>
      </c>
      <c r="E61" s="57" t="s">
        <v>3347</v>
      </c>
      <c r="F61" s="75" t="s">
        <v>251</v>
      </c>
      <c r="G61" s="55" t="s">
        <v>10</v>
      </c>
      <c r="H61" s="58">
        <v>430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65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65</v>
      </c>
      <c r="P61" s="55"/>
      <c r="Q61" s="62">
        <f>REKAP[[#This Row],[Harga Satuan]]*REKAP[[#This Row],[Stok Akhir]]</f>
        <v>27950</v>
      </c>
      <c r="R61" s="61">
        <f>IF(REKAP[[#This Row],[Stok Aktual]]&lt;&gt;"",REKAP[[#This Row],[Stok Aktual]]-REKAP[[#This Row],[Stok Akhir]],0)</f>
        <v>0</v>
      </c>
      <c r="S61" s="132"/>
      <c r="T61" s="137">
        <f>IF(REKAP[[#This Row],[Selisih]]&lt;=-1,REKAP[[#This Row],[Harga Satuan]]*REKAP[[#This Row],[Selisih]],0)</f>
        <v>0</v>
      </c>
    </row>
    <row r="62" spans="1:20" x14ac:dyDescent="0.25">
      <c r="A62" s="55" t="s">
        <v>254</v>
      </c>
      <c r="B62" s="55" t="s">
        <v>3326</v>
      </c>
      <c r="C62" s="55" t="s">
        <v>3349</v>
      </c>
      <c r="D62" s="56" t="s">
        <v>20</v>
      </c>
      <c r="E62" s="57" t="s">
        <v>3347</v>
      </c>
      <c r="F62" s="75" t="s">
        <v>251</v>
      </c>
      <c r="G62" s="55"/>
      <c r="H62" s="58">
        <v>342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1</v>
      </c>
      <c r="K62" s="60">
        <f>REKAP[[#This Row],[Trx In]]+REKAP[[#This Row],[Trx Out]]</f>
        <v>1</v>
      </c>
      <c r="L62" s="55">
        <v>29</v>
      </c>
      <c r="M62" s="74">
        <f>SUMIF(MASUK!$C:$C,REKAP[[#This Row],[ID]],MASUK!$H:$H)</f>
        <v>0</v>
      </c>
      <c r="N62" s="74">
        <f>SUMIF(KELUAR!$C:$C,REKAP[[#This Row],[ID]],KELUAR!$H:$H)</f>
        <v>2</v>
      </c>
      <c r="O62" s="74">
        <f>REKAP[[#This Row],[Stok Awal]]+REKAP[[#This Row],[Masuk]]-REKAP[[#This Row],[Keluar]]</f>
        <v>27</v>
      </c>
      <c r="P62" s="55">
        <v>27</v>
      </c>
      <c r="Q62" s="62">
        <f>REKAP[[#This Row],[Harga Satuan]]*REKAP[[#This Row],[Stok Akhir]]</f>
        <v>9234</v>
      </c>
      <c r="R62" s="61">
        <f>IF(REKAP[[#This Row],[Stok Aktual]]&lt;&gt;"",REKAP[[#This Row],[Stok Aktual]]-REKAP[[#This Row],[Stok Akhir]],0)</f>
        <v>0</v>
      </c>
      <c r="S62" s="132"/>
      <c r="T62" s="137">
        <f>IF(REKAP[[#This Row],[Selisih]]&lt;=-1,REKAP[[#This Row],[Harga Satuan]]*REKAP[[#This Row],[Selisih]],0)</f>
        <v>0</v>
      </c>
    </row>
    <row r="63" spans="1:20" x14ac:dyDescent="0.25">
      <c r="A63" s="55" t="s">
        <v>255</v>
      </c>
      <c r="B63" s="55" t="s">
        <v>3326</v>
      </c>
      <c r="C63" s="55" t="s">
        <v>3349</v>
      </c>
      <c r="D63" s="56" t="s">
        <v>21</v>
      </c>
      <c r="E63" s="57" t="s">
        <v>3347</v>
      </c>
      <c r="F63" s="75" t="s">
        <v>251</v>
      </c>
      <c r="G63" s="55"/>
      <c r="H63" s="58">
        <v>1500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22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22</v>
      </c>
      <c r="P63" s="55"/>
      <c r="Q63" s="62">
        <f>REKAP[[#This Row],[Harga Satuan]]*REKAP[[#This Row],[Stok Akhir]]</f>
        <v>33000</v>
      </c>
      <c r="R63" s="61">
        <f>IF(REKAP[[#This Row],[Stok Aktual]]&lt;&gt;"",REKAP[[#This Row],[Stok Aktual]]-REKAP[[#This Row],[Stok Akhir]],0)</f>
        <v>0</v>
      </c>
      <c r="S63" s="132"/>
      <c r="T63" s="137">
        <f>IF(REKAP[[#This Row],[Selisih]]&lt;=-1,REKAP[[#This Row],[Harga Satuan]]*REKAP[[#This Row],[Selisih]],0)</f>
        <v>0</v>
      </c>
    </row>
    <row r="64" spans="1:20" x14ac:dyDescent="0.25">
      <c r="A64" s="55" t="s">
        <v>256</v>
      </c>
      <c r="B64" s="55" t="s">
        <v>3326</v>
      </c>
      <c r="C64" s="55" t="s">
        <v>3349</v>
      </c>
      <c r="D64" s="56" t="s">
        <v>22</v>
      </c>
      <c r="E64" s="57" t="s">
        <v>3347</v>
      </c>
      <c r="F64" s="75" t="s">
        <v>251</v>
      </c>
      <c r="G64" s="55"/>
      <c r="H64" s="58">
        <v>500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31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31</v>
      </c>
      <c r="P64" s="55"/>
      <c r="Q64" s="62">
        <f>REKAP[[#This Row],[Harga Satuan]]*REKAP[[#This Row],[Stok Akhir]]</f>
        <v>15500</v>
      </c>
      <c r="R64" s="61">
        <f>IF(REKAP[[#This Row],[Stok Aktual]]&lt;&gt;"",REKAP[[#This Row],[Stok Aktual]]-REKAP[[#This Row],[Stok Akhir]],0)</f>
        <v>0</v>
      </c>
      <c r="S64" s="132"/>
      <c r="T64" s="137">
        <f>IF(REKAP[[#This Row],[Selisih]]&lt;=-1,REKAP[[#This Row],[Harga Satuan]]*REKAP[[#This Row],[Selisih]],0)</f>
        <v>0</v>
      </c>
    </row>
    <row r="65" spans="1:20" x14ac:dyDescent="0.25">
      <c r="A65" s="55" t="s">
        <v>257</v>
      </c>
      <c r="B65" s="55" t="s">
        <v>3326</v>
      </c>
      <c r="C65" s="55" t="s">
        <v>3349</v>
      </c>
      <c r="D65" s="56" t="s">
        <v>23</v>
      </c>
      <c r="E65" s="57" t="s">
        <v>3347</v>
      </c>
      <c r="F65" s="75" t="s">
        <v>251</v>
      </c>
      <c r="G65" s="55"/>
      <c r="H65" s="58">
        <v>550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15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15</v>
      </c>
      <c r="P65" s="55"/>
      <c r="Q65" s="62">
        <f>REKAP[[#This Row],[Harga Satuan]]*REKAP[[#This Row],[Stok Akhir]]</f>
        <v>8250</v>
      </c>
      <c r="R65" s="61">
        <f>IF(REKAP[[#This Row],[Stok Aktual]]&lt;&gt;"",REKAP[[#This Row],[Stok Aktual]]-REKAP[[#This Row],[Stok Akhir]],0)</f>
        <v>0</v>
      </c>
      <c r="S65" s="132"/>
      <c r="T65" s="137">
        <f>IF(REKAP[[#This Row],[Selisih]]&lt;=-1,REKAP[[#This Row],[Harga Satuan]]*REKAP[[#This Row],[Selisih]],0)</f>
        <v>0</v>
      </c>
    </row>
    <row r="66" spans="1:20" x14ac:dyDescent="0.25">
      <c r="A66" s="55" t="s">
        <v>258</v>
      </c>
      <c r="B66" s="55" t="s">
        <v>3326</v>
      </c>
      <c r="C66" s="55" t="s">
        <v>3349</v>
      </c>
      <c r="D66" s="56" t="s">
        <v>24</v>
      </c>
      <c r="E66" s="57" t="s">
        <v>3347</v>
      </c>
      <c r="F66" s="75" t="s">
        <v>251</v>
      </c>
      <c r="G66" s="55"/>
      <c r="H66" s="58">
        <v>1000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21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21</v>
      </c>
      <c r="P66" s="55"/>
      <c r="Q66" s="62">
        <f>REKAP[[#This Row],[Harga Satuan]]*REKAP[[#This Row],[Stok Akhir]]</f>
        <v>21000</v>
      </c>
      <c r="R66" s="61">
        <f>IF(REKAP[[#This Row],[Stok Aktual]]&lt;&gt;"",REKAP[[#This Row],[Stok Aktual]]-REKAP[[#This Row],[Stok Akhir]],0)</f>
        <v>0</v>
      </c>
      <c r="S66" s="132"/>
      <c r="T66" s="137">
        <f>IF(REKAP[[#This Row],[Selisih]]&lt;=-1,REKAP[[#This Row],[Harga Satuan]]*REKAP[[#This Row],[Selisih]],0)</f>
        <v>0</v>
      </c>
    </row>
    <row r="67" spans="1:20" x14ac:dyDescent="0.25">
      <c r="A67" s="55" t="s">
        <v>259</v>
      </c>
      <c r="B67" s="55" t="s">
        <v>3326</v>
      </c>
      <c r="C67" s="55" t="s">
        <v>3349</v>
      </c>
      <c r="D67" s="56" t="s">
        <v>25</v>
      </c>
      <c r="E67" s="57" t="s">
        <v>3347</v>
      </c>
      <c r="F67" s="75" t="s">
        <v>251</v>
      </c>
      <c r="G67" s="55" t="s">
        <v>10</v>
      </c>
      <c r="H67" s="58">
        <v>600</v>
      </c>
      <c r="I67" s="59">
        <f>IF(COUNTIF(MASUK[Kode Barang],REKAP[[#This Row],[ID]])=0,0,COUNTIF(MASUK[Kode Barang],REKAP[[#This Row],[ID]]))</f>
        <v>1</v>
      </c>
      <c r="J67" s="59">
        <f>IF(COUNTIF(MASUK8[Kode Barang],REKAP[[#This Row],[ID]])=0,0,COUNTIF(MASUK8[Kode Barang],REKAP[[#This Row],[ID]]))</f>
        <v>3</v>
      </c>
      <c r="K67" s="60">
        <f>REKAP[[#This Row],[Trx In]]+REKAP[[#This Row],[Trx Out]]</f>
        <v>4</v>
      </c>
      <c r="L67" s="55">
        <v>32</v>
      </c>
      <c r="M67" s="74">
        <f>SUMIF(MASUK!$C:$C,REKAP[[#This Row],[ID]],MASUK!$H:$H)</f>
        <v>64</v>
      </c>
      <c r="N67" s="74">
        <f>SUMIF(KELUAR!$C:$C,REKAP[[#This Row],[ID]],KELUAR!$H:$H)</f>
        <v>68</v>
      </c>
      <c r="O67" s="74">
        <f>REKAP[[#This Row],[Stok Awal]]+REKAP[[#This Row],[Masuk]]-REKAP[[#This Row],[Keluar]]</f>
        <v>28</v>
      </c>
      <c r="P67" s="55">
        <v>28</v>
      </c>
      <c r="Q67" s="62">
        <f>REKAP[[#This Row],[Harga Satuan]]*REKAP[[#This Row],[Stok Akhir]]</f>
        <v>16800</v>
      </c>
      <c r="R67" s="61">
        <f>IF(REKAP[[#This Row],[Stok Aktual]]&lt;&gt;"",REKAP[[#This Row],[Stok Aktual]]-REKAP[[#This Row],[Stok Akhir]],0)</f>
        <v>0</v>
      </c>
      <c r="S67" s="132"/>
      <c r="T67" s="137">
        <f>IF(REKAP[[#This Row],[Selisih]]&lt;=-1,REKAP[[#This Row],[Harga Satuan]]*REKAP[[#This Row],[Selisih]],0)</f>
        <v>0</v>
      </c>
    </row>
    <row r="68" spans="1:20" x14ac:dyDescent="0.25">
      <c r="A68" s="55" t="s">
        <v>260</v>
      </c>
      <c r="B68" s="55" t="s">
        <v>3326</v>
      </c>
      <c r="C68" s="55" t="s">
        <v>3349</v>
      </c>
      <c r="D68" s="56" t="s">
        <v>26</v>
      </c>
      <c r="E68" s="57" t="s">
        <v>3347</v>
      </c>
      <c r="F68" s="75" t="s">
        <v>251</v>
      </c>
      <c r="G68" s="55"/>
      <c r="H68" s="58">
        <v>473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52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52</v>
      </c>
      <c r="P68" s="55"/>
      <c r="Q68" s="62">
        <f>REKAP[[#This Row],[Harga Satuan]]*REKAP[[#This Row],[Stok Akhir]]</f>
        <v>24596</v>
      </c>
      <c r="R68" s="61">
        <f>IF(REKAP[[#This Row],[Stok Aktual]]&lt;&gt;"",REKAP[[#This Row],[Stok Aktual]]-REKAP[[#This Row],[Stok Akhir]],0)</f>
        <v>0</v>
      </c>
      <c r="S68" s="132"/>
      <c r="T68" s="137">
        <f>IF(REKAP[[#This Row],[Selisih]]&lt;=-1,REKAP[[#This Row],[Harga Satuan]]*REKAP[[#This Row],[Selisih]],0)</f>
        <v>0</v>
      </c>
    </row>
    <row r="69" spans="1:20" x14ac:dyDescent="0.25">
      <c r="A69" s="55" t="s">
        <v>261</v>
      </c>
      <c r="B69" s="55" t="s">
        <v>3326</v>
      </c>
      <c r="C69" s="55" t="s">
        <v>3349</v>
      </c>
      <c r="D69" s="56" t="s">
        <v>27</v>
      </c>
      <c r="E69" s="57" t="s">
        <v>3347</v>
      </c>
      <c r="F69" s="75" t="s">
        <v>251</v>
      </c>
      <c r="G69" s="55"/>
      <c r="H69" s="58">
        <v>750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0</v>
      </c>
      <c r="K69" s="60">
        <f>REKAP[[#This Row],[Trx In]]+REKAP[[#This Row],[Trx Out]]</f>
        <v>0</v>
      </c>
      <c r="L69" s="55">
        <v>29</v>
      </c>
      <c r="M69" s="74">
        <f>SUMIF(MASUK!$C:$C,REKAP[[#This Row],[ID]],MASUK!$H:$H)</f>
        <v>0</v>
      </c>
      <c r="N69" s="74">
        <f>SUMIF(KELUAR!$C:$C,REKAP[[#This Row],[ID]],KELUAR!$H:$H)</f>
        <v>0</v>
      </c>
      <c r="O69" s="74">
        <f>REKAP[[#This Row],[Stok Awal]]+REKAP[[#This Row],[Masuk]]-REKAP[[#This Row],[Keluar]]</f>
        <v>29</v>
      </c>
      <c r="P69" s="55"/>
      <c r="Q69" s="62">
        <f>REKAP[[#This Row],[Harga Satuan]]*REKAP[[#This Row],[Stok Akhir]]</f>
        <v>21750</v>
      </c>
      <c r="R69" s="61">
        <f>IF(REKAP[[#This Row],[Stok Aktual]]&lt;&gt;"",REKAP[[#This Row],[Stok Aktual]]-REKAP[[#This Row],[Stok Akhir]],0)</f>
        <v>0</v>
      </c>
      <c r="S69" s="132"/>
      <c r="T69" s="137">
        <f>IF(REKAP[[#This Row],[Selisih]]&lt;=-1,REKAP[[#This Row],[Harga Satuan]]*REKAP[[#This Row],[Selisih]],0)</f>
        <v>0</v>
      </c>
    </row>
    <row r="70" spans="1:20" x14ac:dyDescent="0.25">
      <c r="A70" s="55" t="s">
        <v>262</v>
      </c>
      <c r="B70" s="55" t="s">
        <v>3326</v>
      </c>
      <c r="C70" s="55" t="s">
        <v>3349</v>
      </c>
      <c r="D70" s="56" t="s">
        <v>28</v>
      </c>
      <c r="E70" s="57" t="s">
        <v>3347</v>
      </c>
      <c r="F70" s="75" t="s">
        <v>251</v>
      </c>
      <c r="G70" s="55"/>
      <c r="H70" s="58">
        <v>900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22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22</v>
      </c>
      <c r="P70" s="55"/>
      <c r="Q70" s="62">
        <f>REKAP[[#This Row],[Harga Satuan]]*REKAP[[#This Row],[Stok Akhir]]</f>
        <v>19800</v>
      </c>
      <c r="R70" s="61">
        <f>IF(REKAP[[#This Row],[Stok Aktual]]&lt;&gt;"",REKAP[[#This Row],[Stok Aktual]]-REKAP[[#This Row],[Stok Akhir]],0)</f>
        <v>0</v>
      </c>
      <c r="S70" s="132"/>
      <c r="T70" s="137">
        <f>IF(REKAP[[#This Row],[Selisih]]&lt;=-1,REKAP[[#This Row],[Harga Satuan]]*REKAP[[#This Row],[Selisih]],0)</f>
        <v>0</v>
      </c>
    </row>
    <row r="71" spans="1:20" x14ac:dyDescent="0.25">
      <c r="A71" s="55" t="s">
        <v>263</v>
      </c>
      <c r="B71" s="55" t="s">
        <v>3326</v>
      </c>
      <c r="C71" s="55" t="s">
        <v>3349</v>
      </c>
      <c r="D71" s="56" t="s">
        <v>29</v>
      </c>
      <c r="E71" s="57" t="s">
        <v>3347</v>
      </c>
      <c r="F71" s="75" t="s">
        <v>251</v>
      </c>
      <c r="G71" s="55"/>
      <c r="H71" s="58">
        <v>900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31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31</v>
      </c>
      <c r="P71" s="55"/>
      <c r="Q71" s="62">
        <f>REKAP[[#This Row],[Harga Satuan]]*REKAP[[#This Row],[Stok Akhir]]</f>
        <v>27900</v>
      </c>
      <c r="R71" s="61">
        <f>IF(REKAP[[#This Row],[Stok Aktual]]&lt;&gt;"",REKAP[[#This Row],[Stok Aktual]]-REKAP[[#This Row],[Stok Akhir]],0)</f>
        <v>0</v>
      </c>
      <c r="S71" s="132"/>
      <c r="T71" s="137">
        <f>IF(REKAP[[#This Row],[Selisih]]&lt;=-1,REKAP[[#This Row],[Harga Satuan]]*REKAP[[#This Row],[Selisih]],0)</f>
        <v>0</v>
      </c>
    </row>
    <row r="72" spans="1:20" x14ac:dyDescent="0.25">
      <c r="A72" s="55" t="s">
        <v>264</v>
      </c>
      <c r="B72" s="55" t="s">
        <v>3326</v>
      </c>
      <c r="C72" s="55" t="s">
        <v>3349</v>
      </c>
      <c r="D72" s="56" t="s">
        <v>30</v>
      </c>
      <c r="E72" s="57" t="s">
        <v>3347</v>
      </c>
      <c r="F72" s="75" t="s">
        <v>251</v>
      </c>
      <c r="G72" s="55"/>
      <c r="H72" s="58">
        <v>800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1</v>
      </c>
      <c r="K72" s="60">
        <f>REKAP[[#This Row],[Trx In]]+REKAP[[#This Row],[Trx Out]]</f>
        <v>1</v>
      </c>
      <c r="L72" s="55">
        <v>59</v>
      </c>
      <c r="M72" s="74">
        <f>SUMIF(MASUK!$C:$C,REKAP[[#This Row],[ID]],MASUK!$H:$H)</f>
        <v>0</v>
      </c>
      <c r="N72" s="74">
        <f>SUMIF(KELUAR!$C:$C,REKAP[[#This Row],[ID]],KELUAR!$H:$H)</f>
        <v>20</v>
      </c>
      <c r="O72" s="74">
        <f>REKAP[[#This Row],[Stok Awal]]+REKAP[[#This Row],[Masuk]]-REKAP[[#This Row],[Keluar]]</f>
        <v>39</v>
      </c>
      <c r="P72" s="55">
        <v>39</v>
      </c>
      <c r="Q72" s="62">
        <f>REKAP[[#This Row],[Harga Satuan]]*REKAP[[#This Row],[Stok Akhir]]</f>
        <v>31200</v>
      </c>
      <c r="R72" s="61">
        <f>IF(REKAP[[#This Row],[Stok Aktual]]&lt;&gt;"",REKAP[[#This Row],[Stok Aktual]]-REKAP[[#This Row],[Stok Akhir]],0)</f>
        <v>0</v>
      </c>
      <c r="S72" s="132"/>
      <c r="T72" s="137">
        <f>IF(REKAP[[#This Row],[Selisih]]&lt;=-1,REKAP[[#This Row],[Harga Satuan]]*REKAP[[#This Row],[Selisih]],0)</f>
        <v>0</v>
      </c>
    </row>
    <row r="73" spans="1:20" x14ac:dyDescent="0.25">
      <c r="A73" s="55" t="s">
        <v>265</v>
      </c>
      <c r="B73" s="55" t="s">
        <v>3326</v>
      </c>
      <c r="C73" s="55" t="s">
        <v>3349</v>
      </c>
      <c r="D73" s="56" t="s">
        <v>31</v>
      </c>
      <c r="E73" s="57" t="s">
        <v>3347</v>
      </c>
      <c r="F73" s="75" t="s">
        <v>251</v>
      </c>
      <c r="G73" s="55" t="s">
        <v>10</v>
      </c>
      <c r="H73" s="58">
        <v>450</v>
      </c>
      <c r="I73" s="59">
        <f>IF(COUNTIF(MASUK[Kode Barang],REKAP[[#This Row],[ID]])=0,0,COUNTIF(MASUK[Kode Barang],REKAP[[#This Row],[ID]]))</f>
        <v>1</v>
      </c>
      <c r="J73" s="59">
        <f>IF(COUNTIF(MASUK8[Kode Barang],REKAP[[#This Row],[ID]])=0,0,COUNTIF(MASUK8[Kode Barang],REKAP[[#This Row],[ID]]))</f>
        <v>2</v>
      </c>
      <c r="K73" s="60">
        <f>REKAP[[#This Row],[Trx In]]+REKAP[[#This Row],[Trx Out]]</f>
        <v>3</v>
      </c>
      <c r="L73" s="55">
        <v>26</v>
      </c>
      <c r="M73" s="74">
        <f>SUMIF(MASUK!$C:$C,REKAP[[#This Row],[ID]],MASUK!$H:$H)</f>
        <v>48</v>
      </c>
      <c r="N73" s="74">
        <f>SUMIF(KELUAR!$C:$C,REKAP[[#This Row],[ID]],KELUAR!$H:$H)</f>
        <v>52</v>
      </c>
      <c r="O73" s="74">
        <f>REKAP[[#This Row],[Stok Awal]]+REKAP[[#This Row],[Masuk]]-REKAP[[#This Row],[Keluar]]</f>
        <v>22</v>
      </c>
      <c r="P73" s="55">
        <v>22</v>
      </c>
      <c r="Q73" s="62">
        <f>REKAP[[#This Row],[Harga Satuan]]*REKAP[[#This Row],[Stok Akhir]]</f>
        <v>9900</v>
      </c>
      <c r="R73" s="61">
        <f>IF(REKAP[[#This Row],[Stok Aktual]]&lt;&gt;"",REKAP[[#This Row],[Stok Aktual]]-REKAP[[#This Row],[Stok Akhir]],0)</f>
        <v>0</v>
      </c>
      <c r="S73" s="132"/>
      <c r="T73" s="137">
        <f>IF(REKAP[[#This Row],[Selisih]]&lt;=-1,REKAP[[#This Row],[Harga Satuan]]*REKAP[[#This Row],[Selisih]],0)</f>
        <v>0</v>
      </c>
    </row>
    <row r="74" spans="1:20" x14ac:dyDescent="0.25">
      <c r="A74" s="55" t="s">
        <v>266</v>
      </c>
      <c r="B74" s="55" t="s">
        <v>3326</v>
      </c>
      <c r="C74" s="55" t="s">
        <v>3349</v>
      </c>
      <c r="D74" s="56" t="s">
        <v>32</v>
      </c>
      <c r="E74" s="57" t="s">
        <v>3347</v>
      </c>
      <c r="F74" s="75" t="s">
        <v>251</v>
      </c>
      <c r="G74" s="55" t="s">
        <v>10</v>
      </c>
      <c r="H74" s="58">
        <v>500</v>
      </c>
      <c r="I74" s="59">
        <f>IF(COUNTIF(MASUK[Kode Barang],REKAP[[#This Row],[ID]])=0,0,COUNTIF(MASUK[Kode Barang],REKAP[[#This Row],[ID]]))</f>
        <v>2</v>
      </c>
      <c r="J74" s="59">
        <f>IF(COUNTIF(MASUK8[Kode Barang],REKAP[[#This Row],[ID]])=0,0,COUNTIF(MASUK8[Kode Barang],REKAP[[#This Row],[ID]]))</f>
        <v>1</v>
      </c>
      <c r="K74" s="60">
        <f>REKAP[[#This Row],[Trx In]]+REKAP[[#This Row],[Trx Out]]</f>
        <v>3</v>
      </c>
      <c r="L74" s="55">
        <v>14</v>
      </c>
      <c r="M74" s="74">
        <f>SUMIF(MASUK!$C:$C,REKAP[[#This Row],[ID]],MASUK!$H:$H)</f>
        <v>16</v>
      </c>
      <c r="N74" s="74">
        <f>SUMIF(KELUAR!$C:$C,REKAP[[#This Row],[ID]],KELUAR!$H:$H)</f>
        <v>12</v>
      </c>
      <c r="O74" s="74">
        <f>REKAP[[#This Row],[Stok Awal]]+REKAP[[#This Row],[Masuk]]-REKAP[[#This Row],[Keluar]]</f>
        <v>18</v>
      </c>
      <c r="P74" s="55">
        <v>14</v>
      </c>
      <c r="Q74" s="62">
        <f>REKAP[[#This Row],[Harga Satuan]]*REKAP[[#This Row],[Stok Akhir]]</f>
        <v>9000</v>
      </c>
      <c r="R74" s="61">
        <f>IF(REKAP[[#This Row],[Stok Aktual]]&lt;&gt;"",REKAP[[#This Row],[Stok Aktual]]-REKAP[[#This Row],[Stok Akhir]],0)</f>
        <v>-4</v>
      </c>
      <c r="S74" s="132"/>
      <c r="T74" s="137">
        <f>IF(REKAP[[#This Row],[Selisih]]&lt;=-1,REKAP[[#This Row],[Harga Satuan]]*REKAP[[#This Row],[Selisih]],0)</f>
        <v>-2000</v>
      </c>
    </row>
    <row r="75" spans="1:20" x14ac:dyDescent="0.25">
      <c r="A75" s="55" t="s">
        <v>267</v>
      </c>
      <c r="B75" s="55" t="s">
        <v>3326</v>
      </c>
      <c r="C75" s="55" t="s">
        <v>3349</v>
      </c>
      <c r="D75" s="56" t="s">
        <v>3919</v>
      </c>
      <c r="E75" s="57" t="s">
        <v>3347</v>
      </c>
      <c r="F75" s="75" t="s">
        <v>251</v>
      </c>
      <c r="G75" s="55" t="s">
        <v>10</v>
      </c>
      <c r="H75" s="58">
        <v>500</v>
      </c>
      <c r="I75" s="59">
        <f>IF(COUNTIF(MASUK[Kode Barang],REKAP[[#This Row],[ID]])=0,0,COUNTIF(MASUK[Kode Barang],REKAP[[#This Row],[ID]]))</f>
        <v>2</v>
      </c>
      <c r="J75" s="59">
        <f>IF(COUNTIF(MASUK8[Kode Barang],REKAP[[#This Row],[ID]])=0,0,COUNTIF(MASUK8[Kode Barang],REKAP[[#This Row],[ID]]))</f>
        <v>1</v>
      </c>
      <c r="K75" s="60">
        <f>REKAP[[#This Row],[Trx In]]+REKAP[[#This Row],[Trx Out]]</f>
        <v>3</v>
      </c>
      <c r="L75" s="55">
        <v>26</v>
      </c>
      <c r="M75" s="74">
        <f>SUMIF(MASUK!$C:$C,REKAP[[#This Row],[ID]],MASUK!$H:$H)</f>
        <v>46</v>
      </c>
      <c r="N75" s="74">
        <f>SUMIF(KELUAR!$C:$C,REKAP[[#This Row],[ID]],KELUAR!$H:$H)</f>
        <v>4</v>
      </c>
      <c r="O75" s="74">
        <f>REKAP[[#This Row],[Stok Awal]]+REKAP[[#This Row],[Masuk]]-REKAP[[#This Row],[Keluar]]</f>
        <v>68</v>
      </c>
      <c r="P75" s="55">
        <v>68</v>
      </c>
      <c r="Q75" s="62">
        <f>REKAP[[#This Row],[Harga Satuan]]*REKAP[[#This Row],[Stok Akhir]]</f>
        <v>34000</v>
      </c>
      <c r="R75" s="61">
        <f>IF(REKAP[[#This Row],[Stok Aktual]]&lt;&gt;"",REKAP[[#This Row],[Stok Aktual]]-REKAP[[#This Row],[Stok Akhir]],0)</f>
        <v>0</v>
      </c>
      <c r="S75" s="132"/>
      <c r="T75" s="137">
        <f>IF(REKAP[[#This Row],[Selisih]]&lt;=-1,REKAP[[#This Row],[Harga Satuan]]*REKAP[[#This Row],[Selisih]],0)</f>
        <v>0</v>
      </c>
    </row>
    <row r="76" spans="1:20" x14ac:dyDescent="0.25">
      <c r="A76" s="55" t="s">
        <v>268</v>
      </c>
      <c r="B76" s="55" t="s">
        <v>3326</v>
      </c>
      <c r="C76" s="55" t="s">
        <v>3349</v>
      </c>
      <c r="D76" s="56" t="s">
        <v>34</v>
      </c>
      <c r="E76" s="57" t="s">
        <v>3347</v>
      </c>
      <c r="F76" s="75" t="s">
        <v>251</v>
      </c>
      <c r="G76" s="55" t="s">
        <v>10</v>
      </c>
      <c r="H76" s="58">
        <v>600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1</v>
      </c>
      <c r="K76" s="60">
        <f>REKAP[[#This Row],[Trx In]]+REKAP[[#This Row],[Trx Out]]</f>
        <v>1</v>
      </c>
      <c r="L76" s="55">
        <v>16</v>
      </c>
      <c r="M76" s="74">
        <f>SUMIF(MASUK!$C:$C,REKAP[[#This Row],[ID]],MASUK!$H:$H)</f>
        <v>0</v>
      </c>
      <c r="N76" s="74">
        <f>SUMIF(KELUAR!$C:$C,REKAP[[#This Row],[ID]],KELUAR!$H:$H)</f>
        <v>2</v>
      </c>
      <c r="O76" s="74">
        <f>REKAP[[#This Row],[Stok Awal]]+REKAP[[#This Row],[Masuk]]-REKAP[[#This Row],[Keluar]]</f>
        <v>14</v>
      </c>
      <c r="P76" s="55">
        <v>14</v>
      </c>
      <c r="Q76" s="62">
        <f>REKAP[[#This Row],[Harga Satuan]]*REKAP[[#This Row],[Stok Akhir]]</f>
        <v>8400</v>
      </c>
      <c r="R76" s="61">
        <f>IF(REKAP[[#This Row],[Stok Aktual]]&lt;&gt;"",REKAP[[#This Row],[Stok Aktual]]-REKAP[[#This Row],[Stok Akhir]],0)</f>
        <v>0</v>
      </c>
      <c r="S76" s="132"/>
      <c r="T76" s="137">
        <f>IF(REKAP[[#This Row],[Selisih]]&lt;=-1,REKAP[[#This Row],[Harga Satuan]]*REKAP[[#This Row],[Selisih]],0)</f>
        <v>0</v>
      </c>
    </row>
    <row r="77" spans="1:20" x14ac:dyDescent="0.25">
      <c r="A77" s="55" t="s">
        <v>269</v>
      </c>
      <c r="B77" s="55" t="s">
        <v>3326</v>
      </c>
      <c r="C77" s="55" t="s">
        <v>3349</v>
      </c>
      <c r="D77" s="56" t="s">
        <v>35</v>
      </c>
      <c r="E77" s="57" t="s">
        <v>3347</v>
      </c>
      <c r="F77" s="75" t="s">
        <v>251</v>
      </c>
      <c r="G77" s="55" t="s">
        <v>10</v>
      </c>
      <c r="H77" s="58">
        <v>700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18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18</v>
      </c>
      <c r="P77" s="55"/>
      <c r="Q77" s="62">
        <f>REKAP[[#This Row],[Harga Satuan]]*REKAP[[#This Row],[Stok Akhir]]</f>
        <v>12600</v>
      </c>
      <c r="R77" s="61">
        <f>IF(REKAP[[#This Row],[Stok Aktual]]&lt;&gt;"",REKAP[[#This Row],[Stok Aktual]]-REKAP[[#This Row],[Stok Akhir]],0)</f>
        <v>0</v>
      </c>
      <c r="S77" s="132"/>
      <c r="T77" s="137">
        <f>IF(REKAP[[#This Row],[Selisih]]&lt;=-1,REKAP[[#This Row],[Harga Satuan]]*REKAP[[#This Row],[Selisih]],0)</f>
        <v>0</v>
      </c>
    </row>
    <row r="78" spans="1:20" x14ac:dyDescent="0.25">
      <c r="A78" s="55" t="s">
        <v>270</v>
      </c>
      <c r="B78" s="55" t="s">
        <v>3326</v>
      </c>
      <c r="C78" s="55" t="s">
        <v>3349</v>
      </c>
      <c r="D78" s="56" t="s">
        <v>36</v>
      </c>
      <c r="E78" s="57" t="s">
        <v>3347</v>
      </c>
      <c r="F78" s="75" t="s">
        <v>251</v>
      </c>
      <c r="G78" s="55" t="s">
        <v>10</v>
      </c>
      <c r="H78" s="58">
        <v>725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1</v>
      </c>
      <c r="K78" s="60">
        <f>REKAP[[#This Row],[Trx In]]+REKAP[[#This Row],[Trx Out]]</f>
        <v>1</v>
      </c>
      <c r="L78" s="55">
        <v>34</v>
      </c>
      <c r="M78" s="74">
        <f>SUMIF(MASUK!$C:$C,REKAP[[#This Row],[ID]],MASUK!$H:$H)</f>
        <v>0</v>
      </c>
      <c r="N78" s="74">
        <f>SUMIF(KELUAR!$C:$C,REKAP[[#This Row],[ID]],KELUAR!$H:$H)</f>
        <v>1</v>
      </c>
      <c r="O78" s="74">
        <f>REKAP[[#This Row],[Stok Awal]]+REKAP[[#This Row],[Masuk]]-REKAP[[#This Row],[Keluar]]</f>
        <v>33</v>
      </c>
      <c r="P78" s="55">
        <v>33</v>
      </c>
      <c r="Q78" s="62">
        <f>REKAP[[#This Row],[Harga Satuan]]*REKAP[[#This Row],[Stok Akhir]]</f>
        <v>23925</v>
      </c>
      <c r="R78" s="61">
        <f>IF(REKAP[[#This Row],[Stok Aktual]]&lt;&gt;"",REKAP[[#This Row],[Stok Aktual]]-REKAP[[#This Row],[Stok Akhir]],0)</f>
        <v>0</v>
      </c>
      <c r="S78" s="132"/>
      <c r="T78" s="137">
        <f>IF(REKAP[[#This Row],[Selisih]]&lt;=-1,REKAP[[#This Row],[Harga Satuan]]*REKAP[[#This Row],[Selisih]],0)</f>
        <v>0</v>
      </c>
    </row>
    <row r="79" spans="1:20" x14ac:dyDescent="0.25">
      <c r="A79" s="55" t="s">
        <v>271</v>
      </c>
      <c r="B79" s="55" t="s">
        <v>3326</v>
      </c>
      <c r="C79" s="55" t="s">
        <v>3349</v>
      </c>
      <c r="D79" s="56" t="s">
        <v>37</v>
      </c>
      <c r="E79" s="57" t="s">
        <v>3347</v>
      </c>
      <c r="F79" s="75" t="s">
        <v>251</v>
      </c>
      <c r="G79" s="55"/>
      <c r="H79" s="58">
        <v>850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20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20</v>
      </c>
      <c r="P79" s="55"/>
      <c r="Q79" s="62">
        <f>REKAP[[#This Row],[Harga Satuan]]*REKAP[[#This Row],[Stok Akhir]]</f>
        <v>17000</v>
      </c>
      <c r="R79" s="61">
        <f>IF(REKAP[[#This Row],[Stok Aktual]]&lt;&gt;"",REKAP[[#This Row],[Stok Aktual]]-REKAP[[#This Row],[Stok Akhir]],0)</f>
        <v>0</v>
      </c>
      <c r="S79" s="132"/>
      <c r="T79" s="137">
        <f>IF(REKAP[[#This Row],[Selisih]]&lt;=-1,REKAP[[#This Row],[Harga Satuan]]*REKAP[[#This Row],[Selisih]],0)</f>
        <v>0</v>
      </c>
    </row>
    <row r="80" spans="1:20" x14ac:dyDescent="0.25">
      <c r="A80" s="55" t="s">
        <v>272</v>
      </c>
      <c r="B80" s="55" t="s">
        <v>3326</v>
      </c>
      <c r="C80" s="55" t="s">
        <v>3349</v>
      </c>
      <c r="D80" s="56" t="s">
        <v>38</v>
      </c>
      <c r="E80" s="57" t="s">
        <v>3347</v>
      </c>
      <c r="F80" s="75" t="s">
        <v>251</v>
      </c>
      <c r="G80" s="55"/>
      <c r="H80" s="58">
        <v>1000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36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36</v>
      </c>
      <c r="P80" s="55"/>
      <c r="Q80" s="62">
        <f>REKAP[[#This Row],[Harga Satuan]]*REKAP[[#This Row],[Stok Akhir]]</f>
        <v>36000</v>
      </c>
      <c r="R80" s="61">
        <f>IF(REKAP[[#This Row],[Stok Aktual]]&lt;&gt;"",REKAP[[#This Row],[Stok Aktual]]-REKAP[[#This Row],[Stok Akhir]],0)</f>
        <v>0</v>
      </c>
      <c r="S80" s="132"/>
      <c r="T80" s="137">
        <f>IF(REKAP[[#This Row],[Selisih]]&lt;=-1,REKAP[[#This Row],[Harga Satuan]]*REKAP[[#This Row],[Selisih]],0)</f>
        <v>0</v>
      </c>
    </row>
    <row r="81" spans="1:20" x14ac:dyDescent="0.25">
      <c r="A81" s="55" t="s">
        <v>273</v>
      </c>
      <c r="B81" s="55" t="s">
        <v>3326</v>
      </c>
      <c r="C81" s="55" t="s">
        <v>3349</v>
      </c>
      <c r="D81" s="56" t="s">
        <v>39</v>
      </c>
      <c r="E81" s="57" t="s">
        <v>3347</v>
      </c>
      <c r="F81" s="75" t="s">
        <v>251</v>
      </c>
      <c r="G81" s="55" t="s">
        <v>10</v>
      </c>
      <c r="H81" s="58">
        <v>1050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1</v>
      </c>
      <c r="K81" s="60">
        <f>REKAP[[#This Row],[Trx In]]+REKAP[[#This Row],[Trx Out]]</f>
        <v>1</v>
      </c>
      <c r="L81" s="55">
        <v>30</v>
      </c>
      <c r="M81" s="74">
        <f>SUMIF(MASUK!$C:$C,REKAP[[#This Row],[ID]],MASUK!$H:$H)</f>
        <v>0</v>
      </c>
      <c r="N81" s="74">
        <f>SUMIF(KELUAR!$C:$C,REKAP[[#This Row],[ID]],KELUAR!$H:$H)</f>
        <v>1</v>
      </c>
      <c r="O81" s="74">
        <f>REKAP[[#This Row],[Stok Awal]]+REKAP[[#This Row],[Masuk]]-REKAP[[#This Row],[Keluar]]</f>
        <v>29</v>
      </c>
      <c r="P81" s="55">
        <v>29</v>
      </c>
      <c r="Q81" s="62">
        <f>REKAP[[#This Row],[Harga Satuan]]*REKAP[[#This Row],[Stok Akhir]]</f>
        <v>30450</v>
      </c>
      <c r="R81" s="61">
        <f>IF(REKAP[[#This Row],[Stok Aktual]]&lt;&gt;"",REKAP[[#This Row],[Stok Aktual]]-REKAP[[#This Row],[Stok Akhir]],0)</f>
        <v>0</v>
      </c>
      <c r="S81" s="132"/>
      <c r="T81" s="137">
        <f>IF(REKAP[[#This Row],[Selisih]]&lt;=-1,REKAP[[#This Row],[Harga Satuan]]*REKAP[[#This Row],[Selisih]],0)</f>
        <v>0</v>
      </c>
    </row>
    <row r="82" spans="1:20" x14ac:dyDescent="0.25">
      <c r="A82" s="55" t="s">
        <v>274</v>
      </c>
      <c r="B82" s="55" t="s">
        <v>3326</v>
      </c>
      <c r="C82" s="55" t="s">
        <v>3349</v>
      </c>
      <c r="D82" s="56" t="s">
        <v>40</v>
      </c>
      <c r="E82" s="57" t="s">
        <v>3347</v>
      </c>
      <c r="F82" s="75" t="s">
        <v>251</v>
      </c>
      <c r="G82" s="55"/>
      <c r="H82" s="58">
        <v>1148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12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12</v>
      </c>
      <c r="P82" s="55"/>
      <c r="Q82" s="62">
        <f>REKAP[[#This Row],[Harga Satuan]]*REKAP[[#This Row],[Stok Akhir]]</f>
        <v>13776</v>
      </c>
      <c r="R82" s="61">
        <f>IF(REKAP[[#This Row],[Stok Aktual]]&lt;&gt;"",REKAP[[#This Row],[Stok Aktual]]-REKAP[[#This Row],[Stok Akhir]],0)</f>
        <v>0</v>
      </c>
      <c r="S82" s="132"/>
      <c r="T82" s="137">
        <f>IF(REKAP[[#This Row],[Selisih]]&lt;=-1,REKAP[[#This Row],[Harga Satuan]]*REKAP[[#This Row],[Selisih]],0)</f>
        <v>0</v>
      </c>
    </row>
    <row r="83" spans="1:20" x14ac:dyDescent="0.25">
      <c r="A83" s="55" t="s">
        <v>275</v>
      </c>
      <c r="B83" s="55" t="s">
        <v>3326</v>
      </c>
      <c r="C83" s="55" t="s">
        <v>3349</v>
      </c>
      <c r="D83" s="56" t="s">
        <v>41</v>
      </c>
      <c r="E83" s="57" t="s">
        <v>3347</v>
      </c>
      <c r="F83" s="75" t="s">
        <v>251</v>
      </c>
      <c r="G83" s="55"/>
      <c r="H83" s="58">
        <v>936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37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37</v>
      </c>
      <c r="P83" s="55"/>
      <c r="Q83" s="62">
        <f>REKAP[[#This Row],[Harga Satuan]]*REKAP[[#This Row],[Stok Akhir]]</f>
        <v>34632</v>
      </c>
      <c r="R83" s="61">
        <f>IF(REKAP[[#This Row],[Stok Aktual]]&lt;&gt;"",REKAP[[#This Row],[Stok Aktual]]-REKAP[[#This Row],[Stok Akhir]],0)</f>
        <v>0</v>
      </c>
      <c r="S83" s="132"/>
      <c r="T83" s="137">
        <f>IF(REKAP[[#This Row],[Selisih]]&lt;=-1,REKAP[[#This Row],[Harga Satuan]]*REKAP[[#This Row],[Selisih]],0)</f>
        <v>0</v>
      </c>
    </row>
    <row r="84" spans="1:20" x14ac:dyDescent="0.25">
      <c r="A84" s="55" t="s">
        <v>276</v>
      </c>
      <c r="B84" s="55" t="s">
        <v>3326</v>
      </c>
      <c r="C84" s="55" t="s">
        <v>3349</v>
      </c>
      <c r="D84" s="56" t="s">
        <v>42</v>
      </c>
      <c r="E84" s="57" t="s">
        <v>3347</v>
      </c>
      <c r="F84" s="75" t="s">
        <v>251</v>
      </c>
      <c r="G84" s="55"/>
      <c r="H84" s="58">
        <v>1105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45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45</v>
      </c>
      <c r="P84" s="55"/>
      <c r="Q84" s="62">
        <f>REKAP[[#This Row],[Harga Satuan]]*REKAP[[#This Row],[Stok Akhir]]</f>
        <v>49725</v>
      </c>
      <c r="R84" s="61">
        <f>IF(REKAP[[#This Row],[Stok Aktual]]&lt;&gt;"",REKAP[[#This Row],[Stok Aktual]]-REKAP[[#This Row],[Stok Akhir]],0)</f>
        <v>0</v>
      </c>
      <c r="S84" s="132"/>
      <c r="T84" s="137">
        <f>IF(REKAP[[#This Row],[Selisih]]&lt;=-1,REKAP[[#This Row],[Harga Satuan]]*REKAP[[#This Row],[Selisih]],0)</f>
        <v>0</v>
      </c>
    </row>
    <row r="85" spans="1:20" x14ac:dyDescent="0.25">
      <c r="A85" s="55" t="s">
        <v>277</v>
      </c>
      <c r="B85" s="55" t="s">
        <v>3326</v>
      </c>
      <c r="C85" s="55" t="s">
        <v>3349</v>
      </c>
      <c r="D85" s="56" t="s">
        <v>43</v>
      </c>
      <c r="E85" s="57" t="s">
        <v>3347</v>
      </c>
      <c r="F85" s="75" t="s">
        <v>251</v>
      </c>
      <c r="G85" s="55"/>
      <c r="H85" s="58">
        <v>1500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94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94</v>
      </c>
      <c r="P85" s="55"/>
      <c r="Q85" s="62">
        <f>REKAP[[#This Row],[Harga Satuan]]*REKAP[[#This Row],[Stok Akhir]]</f>
        <v>141000</v>
      </c>
      <c r="R85" s="61">
        <f>IF(REKAP[[#This Row],[Stok Aktual]]&lt;&gt;"",REKAP[[#This Row],[Stok Aktual]]-REKAP[[#This Row],[Stok Akhir]],0)</f>
        <v>0</v>
      </c>
      <c r="S85" s="132"/>
      <c r="T85" s="137">
        <f>IF(REKAP[[#This Row],[Selisih]]&lt;=-1,REKAP[[#This Row],[Harga Satuan]]*REKAP[[#This Row],[Selisih]],0)</f>
        <v>0</v>
      </c>
    </row>
    <row r="86" spans="1:20" x14ac:dyDescent="0.25">
      <c r="A86" s="55" t="s">
        <v>278</v>
      </c>
      <c r="B86" s="55" t="s">
        <v>3326</v>
      </c>
      <c r="C86" s="55" t="s">
        <v>3349</v>
      </c>
      <c r="D86" s="56" t="s">
        <v>44</v>
      </c>
      <c r="E86" s="57" t="s">
        <v>3347</v>
      </c>
      <c r="F86" s="75" t="s">
        <v>251</v>
      </c>
      <c r="G86" s="55"/>
      <c r="H86" s="58">
        <v>1250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21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21</v>
      </c>
      <c r="P86" s="55"/>
      <c r="Q86" s="62">
        <f>REKAP[[#This Row],[Harga Satuan]]*REKAP[[#This Row],[Stok Akhir]]</f>
        <v>26250</v>
      </c>
      <c r="R86" s="61">
        <f>IF(REKAP[[#This Row],[Stok Aktual]]&lt;&gt;"",REKAP[[#This Row],[Stok Aktual]]-REKAP[[#This Row],[Stok Akhir]],0)</f>
        <v>0</v>
      </c>
      <c r="S86" s="132"/>
      <c r="T86" s="137">
        <f>IF(REKAP[[#This Row],[Selisih]]&lt;=-1,REKAP[[#This Row],[Harga Satuan]]*REKAP[[#This Row],[Selisih]],0)</f>
        <v>0</v>
      </c>
    </row>
    <row r="87" spans="1:20" x14ac:dyDescent="0.25">
      <c r="A87" s="55" t="s">
        <v>279</v>
      </c>
      <c r="B87" s="55" t="s">
        <v>3326</v>
      </c>
      <c r="C87" s="55" t="s">
        <v>3349</v>
      </c>
      <c r="D87" s="56" t="s">
        <v>45</v>
      </c>
      <c r="E87" s="57" t="s">
        <v>3347</v>
      </c>
      <c r="F87" s="75" t="s">
        <v>251</v>
      </c>
      <c r="G87" s="55"/>
      <c r="H87" s="58">
        <v>1026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21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21</v>
      </c>
      <c r="P87" s="55"/>
      <c r="Q87" s="62">
        <f>REKAP[[#This Row],[Harga Satuan]]*REKAP[[#This Row],[Stok Akhir]]</f>
        <v>21546</v>
      </c>
      <c r="R87" s="61">
        <f>IF(REKAP[[#This Row],[Stok Aktual]]&lt;&gt;"",REKAP[[#This Row],[Stok Aktual]]-REKAP[[#This Row],[Stok Akhir]],0)</f>
        <v>0</v>
      </c>
      <c r="S87" s="132"/>
      <c r="T87" s="137">
        <f>IF(REKAP[[#This Row],[Selisih]]&lt;=-1,REKAP[[#This Row],[Harga Satuan]]*REKAP[[#This Row],[Selisih]],0)</f>
        <v>0</v>
      </c>
    </row>
    <row r="88" spans="1:20" x14ac:dyDescent="0.25">
      <c r="A88" s="55" t="s">
        <v>280</v>
      </c>
      <c r="B88" s="55" t="s">
        <v>3326</v>
      </c>
      <c r="C88" s="55" t="s">
        <v>3349</v>
      </c>
      <c r="D88" s="56" t="s">
        <v>46</v>
      </c>
      <c r="E88" s="57" t="s">
        <v>3347</v>
      </c>
      <c r="F88" s="75" t="s">
        <v>251</v>
      </c>
      <c r="G88" s="55"/>
      <c r="H88" s="58">
        <v>1700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20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20</v>
      </c>
      <c r="P88" s="55"/>
      <c r="Q88" s="62">
        <f>REKAP[[#This Row],[Harga Satuan]]*REKAP[[#This Row],[Stok Akhir]]</f>
        <v>34000</v>
      </c>
      <c r="R88" s="61">
        <f>IF(REKAP[[#This Row],[Stok Aktual]]&lt;&gt;"",REKAP[[#This Row],[Stok Aktual]]-REKAP[[#This Row],[Stok Akhir]],0)</f>
        <v>0</v>
      </c>
      <c r="S88" s="132"/>
      <c r="T88" s="137">
        <f>IF(REKAP[[#This Row],[Selisih]]&lt;=-1,REKAP[[#This Row],[Harga Satuan]]*REKAP[[#This Row],[Selisih]],0)</f>
        <v>0</v>
      </c>
    </row>
    <row r="89" spans="1:20" x14ac:dyDescent="0.25">
      <c r="A89" s="55" t="s">
        <v>281</v>
      </c>
      <c r="B89" s="55" t="s">
        <v>3326</v>
      </c>
      <c r="C89" s="55" t="s">
        <v>3349</v>
      </c>
      <c r="D89" s="56" t="s">
        <v>47</v>
      </c>
      <c r="E89" s="57" t="s">
        <v>3347</v>
      </c>
      <c r="F89" s="75" t="s">
        <v>251</v>
      </c>
      <c r="G89" s="55"/>
      <c r="H89" s="58">
        <v>6000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24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24</v>
      </c>
      <c r="P89" s="55"/>
      <c r="Q89" s="62">
        <f>REKAP[[#This Row],[Harga Satuan]]*REKAP[[#This Row],[Stok Akhir]]</f>
        <v>144000</v>
      </c>
      <c r="R89" s="61">
        <f>IF(REKAP[[#This Row],[Stok Aktual]]&lt;&gt;"",REKAP[[#This Row],[Stok Aktual]]-REKAP[[#This Row],[Stok Akhir]],0)</f>
        <v>0</v>
      </c>
      <c r="S89" s="132"/>
      <c r="T89" s="137">
        <f>IF(REKAP[[#This Row],[Selisih]]&lt;=-1,REKAP[[#This Row],[Harga Satuan]]*REKAP[[#This Row],[Selisih]],0)</f>
        <v>0</v>
      </c>
    </row>
    <row r="90" spans="1:20" x14ac:dyDescent="0.25">
      <c r="A90" s="55" t="s">
        <v>282</v>
      </c>
      <c r="B90" s="55" t="s">
        <v>3326</v>
      </c>
      <c r="C90" s="55" t="s">
        <v>3349</v>
      </c>
      <c r="D90" s="56" t="s">
        <v>48</v>
      </c>
      <c r="E90" s="57" t="s">
        <v>3347</v>
      </c>
      <c r="F90" s="75" t="s">
        <v>251</v>
      </c>
      <c r="G90" s="55"/>
      <c r="H90" s="58">
        <v>2500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16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16</v>
      </c>
      <c r="P90" s="55"/>
      <c r="Q90" s="62">
        <f>REKAP[[#This Row],[Harga Satuan]]*REKAP[[#This Row],[Stok Akhir]]</f>
        <v>40000</v>
      </c>
      <c r="R90" s="61">
        <f>IF(REKAP[[#This Row],[Stok Aktual]]&lt;&gt;"",REKAP[[#This Row],[Stok Aktual]]-REKAP[[#This Row],[Stok Akhir]],0)</f>
        <v>0</v>
      </c>
      <c r="S90" s="132"/>
      <c r="T90" s="137">
        <f>IF(REKAP[[#This Row],[Selisih]]&lt;=-1,REKAP[[#This Row],[Harga Satuan]]*REKAP[[#This Row],[Selisih]],0)</f>
        <v>0</v>
      </c>
    </row>
    <row r="91" spans="1:20" x14ac:dyDescent="0.25">
      <c r="A91" s="55" t="s">
        <v>283</v>
      </c>
      <c r="B91" s="55" t="s">
        <v>3326</v>
      </c>
      <c r="C91" s="55" t="s">
        <v>3349</v>
      </c>
      <c r="D91" s="56" t="s">
        <v>49</v>
      </c>
      <c r="E91" s="57" t="s">
        <v>3347</v>
      </c>
      <c r="F91" s="75" t="s">
        <v>251</v>
      </c>
      <c r="G91" s="55"/>
      <c r="H91" s="58">
        <v>5670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5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5</v>
      </c>
      <c r="P91" s="55"/>
      <c r="Q91" s="62">
        <f>REKAP[[#This Row],[Harga Satuan]]*REKAP[[#This Row],[Stok Akhir]]</f>
        <v>28350</v>
      </c>
      <c r="R91" s="61">
        <f>IF(REKAP[[#This Row],[Stok Aktual]]&lt;&gt;"",REKAP[[#This Row],[Stok Aktual]]-REKAP[[#This Row],[Stok Akhir]],0)</f>
        <v>0</v>
      </c>
      <c r="S91" s="132"/>
      <c r="T91" s="137">
        <f>IF(REKAP[[#This Row],[Selisih]]&lt;=-1,REKAP[[#This Row],[Harga Satuan]]*REKAP[[#This Row],[Selisih]],0)</f>
        <v>0</v>
      </c>
    </row>
    <row r="92" spans="1:20" x14ac:dyDescent="0.25">
      <c r="A92" s="55" t="s">
        <v>284</v>
      </c>
      <c r="B92" s="55" t="s">
        <v>3326</v>
      </c>
      <c r="C92" s="55" t="s">
        <v>3349</v>
      </c>
      <c r="D92" s="56" t="s">
        <v>50</v>
      </c>
      <c r="E92" s="57" t="s">
        <v>3347</v>
      </c>
      <c r="F92" s="75" t="s">
        <v>251</v>
      </c>
      <c r="G92" s="55" t="s">
        <v>10</v>
      </c>
      <c r="H92" s="58">
        <v>550</v>
      </c>
      <c r="I92" s="59">
        <f>IF(COUNTIF(MASUK[Kode Barang],REKAP[[#This Row],[ID]])=0,0,COUNTIF(MASUK[Kode Barang],REKAP[[#This Row],[ID]]))</f>
        <v>1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1</v>
      </c>
      <c r="L92" s="55">
        <v>9</v>
      </c>
      <c r="M92" s="74">
        <f>SUMIF(MASUK!$C:$C,REKAP[[#This Row],[ID]],MASUK!$H:$H)</f>
        <v>6</v>
      </c>
      <c r="N92" s="74">
        <f>SUMIF(KELUAR!$C:$C,REKAP[[#This Row],[ID]],KELUAR!$H:$H)</f>
        <v>0</v>
      </c>
      <c r="O92" s="74">
        <f>REKAP[[#This Row],[Stok Awal]]+REKAP[[#This Row],[Masuk]]-REKAP[[#This Row],[Keluar]]</f>
        <v>15</v>
      </c>
      <c r="P92" s="55">
        <v>15</v>
      </c>
      <c r="Q92" s="62">
        <f>REKAP[[#This Row],[Harga Satuan]]*REKAP[[#This Row],[Stok Akhir]]</f>
        <v>8250</v>
      </c>
      <c r="R92" s="61">
        <f>IF(REKAP[[#This Row],[Stok Aktual]]&lt;&gt;"",REKAP[[#This Row],[Stok Aktual]]-REKAP[[#This Row],[Stok Akhir]],0)</f>
        <v>0</v>
      </c>
      <c r="S92" s="132"/>
      <c r="T92" s="137">
        <f>IF(REKAP[[#This Row],[Selisih]]&lt;=-1,REKAP[[#This Row],[Harga Satuan]]*REKAP[[#This Row],[Selisih]],0)</f>
        <v>0</v>
      </c>
    </row>
    <row r="93" spans="1:20" x14ac:dyDescent="0.25">
      <c r="A93" s="55" t="s">
        <v>285</v>
      </c>
      <c r="B93" s="55" t="s">
        <v>3326</v>
      </c>
      <c r="C93" s="55" t="s">
        <v>3349</v>
      </c>
      <c r="D93" s="56" t="s">
        <v>51</v>
      </c>
      <c r="E93" s="57" t="s">
        <v>3347</v>
      </c>
      <c r="F93" s="75" t="s">
        <v>251</v>
      </c>
      <c r="G93" s="55" t="s">
        <v>10</v>
      </c>
      <c r="H93" s="58">
        <v>600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1</v>
      </c>
      <c r="K93" s="60">
        <f>REKAP[[#This Row],[Trx In]]+REKAP[[#This Row],[Trx Out]]</f>
        <v>1</v>
      </c>
      <c r="L93" s="55">
        <v>28</v>
      </c>
      <c r="M93" s="74">
        <f>SUMIF(MASUK!$C:$C,REKAP[[#This Row],[ID]],MASUK!$H:$H)</f>
        <v>0</v>
      </c>
      <c r="N93" s="74">
        <f>SUMIF(KELUAR!$C:$C,REKAP[[#This Row],[ID]],KELUAR!$H:$H)</f>
        <v>8</v>
      </c>
      <c r="O93" s="74">
        <f>REKAP[[#This Row],[Stok Awal]]+REKAP[[#This Row],[Masuk]]-REKAP[[#This Row],[Keluar]]</f>
        <v>20</v>
      </c>
      <c r="P93" s="55">
        <v>20</v>
      </c>
      <c r="Q93" s="62">
        <f>REKAP[[#This Row],[Harga Satuan]]*REKAP[[#This Row],[Stok Akhir]]</f>
        <v>12000</v>
      </c>
      <c r="R93" s="61">
        <f>IF(REKAP[[#This Row],[Stok Aktual]]&lt;&gt;"",REKAP[[#This Row],[Stok Aktual]]-REKAP[[#This Row],[Stok Akhir]],0)</f>
        <v>0</v>
      </c>
      <c r="S93" s="132"/>
      <c r="T93" s="137">
        <f>IF(REKAP[[#This Row],[Selisih]]&lt;=-1,REKAP[[#This Row],[Harga Satuan]]*REKAP[[#This Row],[Selisih]],0)</f>
        <v>0</v>
      </c>
    </row>
    <row r="94" spans="1:20" x14ac:dyDescent="0.25">
      <c r="A94" s="55" t="s">
        <v>286</v>
      </c>
      <c r="B94" s="55" t="s">
        <v>3326</v>
      </c>
      <c r="C94" s="55" t="s">
        <v>3349</v>
      </c>
      <c r="D94" s="56" t="s">
        <v>3764</v>
      </c>
      <c r="E94" s="57" t="s">
        <v>3347</v>
      </c>
      <c r="F94" s="75" t="s">
        <v>251</v>
      </c>
      <c r="G94" s="55" t="s">
        <v>10</v>
      </c>
      <c r="H94" s="58">
        <v>600</v>
      </c>
      <c r="I94" s="59">
        <f>IF(COUNTIF(MASUK[Kode Barang],REKAP[[#This Row],[ID]])=0,0,COUNTIF(MASUK[Kode Barang],REKAP[[#This Row],[ID]]))</f>
        <v>5</v>
      </c>
      <c r="J94" s="59">
        <f>IF(COUNTIF(MASUK8[Kode Barang],REKAP[[#This Row],[ID]])=0,0,COUNTIF(MASUK8[Kode Barang],REKAP[[#This Row],[ID]]))</f>
        <v>11</v>
      </c>
      <c r="K94" s="60">
        <f>REKAP[[#This Row],[Trx In]]+REKAP[[#This Row],[Trx Out]]</f>
        <v>16</v>
      </c>
      <c r="L94" s="55">
        <v>75</v>
      </c>
      <c r="M94" s="74">
        <f>SUMIF(MASUK!$C:$C,REKAP[[#This Row],[ID]],MASUK!$H:$H)</f>
        <v>248</v>
      </c>
      <c r="N94" s="74">
        <f>SUMIF(KELUAR!$C:$C,REKAP[[#This Row],[ID]],KELUAR!$H:$H)</f>
        <v>262</v>
      </c>
      <c r="O94" s="74">
        <f>REKAP[[#This Row],[Stok Awal]]+REKAP[[#This Row],[Masuk]]-REKAP[[#This Row],[Keluar]]</f>
        <v>61</v>
      </c>
      <c r="P94" s="55">
        <v>61</v>
      </c>
      <c r="Q94" s="62">
        <f>REKAP[[#This Row],[Harga Satuan]]*REKAP[[#This Row],[Stok Akhir]]</f>
        <v>36600</v>
      </c>
      <c r="R94" s="61">
        <f>IF(REKAP[[#This Row],[Stok Aktual]]&lt;&gt;"",REKAP[[#This Row],[Stok Aktual]]-REKAP[[#This Row],[Stok Akhir]],0)</f>
        <v>0</v>
      </c>
      <c r="S94" s="132"/>
      <c r="T94" s="137">
        <f>IF(REKAP[[#This Row],[Selisih]]&lt;=-1,REKAP[[#This Row],[Harga Satuan]]*REKAP[[#This Row],[Selisih]],0)</f>
        <v>0</v>
      </c>
    </row>
    <row r="95" spans="1:20" x14ac:dyDescent="0.25">
      <c r="A95" s="55" t="s">
        <v>287</v>
      </c>
      <c r="B95" s="55" t="s">
        <v>3326</v>
      </c>
      <c r="C95" s="55" t="s">
        <v>3349</v>
      </c>
      <c r="D95" s="56" t="s">
        <v>53</v>
      </c>
      <c r="E95" s="57" t="s">
        <v>3347</v>
      </c>
      <c r="F95" s="75" t="s">
        <v>251</v>
      </c>
      <c r="G95" s="55" t="s">
        <v>10</v>
      </c>
      <c r="H95" s="58">
        <v>1000</v>
      </c>
      <c r="I95" s="59">
        <f>IF(COUNTIF(MASUK[Kode Barang],REKAP[[#This Row],[ID]])=0,0,COUNTIF(MASUK[Kode Barang],REKAP[[#This Row],[ID]]))</f>
        <v>1</v>
      </c>
      <c r="J95" s="59">
        <f>IF(COUNTIF(MASUK8[Kode Barang],REKAP[[#This Row],[ID]])=0,0,COUNTIF(MASUK8[Kode Barang],REKAP[[#This Row],[ID]]))</f>
        <v>2</v>
      </c>
      <c r="K95" s="60">
        <f>REKAP[[#This Row],[Trx In]]+REKAP[[#This Row],[Trx Out]]</f>
        <v>3</v>
      </c>
      <c r="L95" s="55">
        <v>27</v>
      </c>
      <c r="M95" s="74">
        <f>SUMIF(MASUK!$C:$C,REKAP[[#This Row],[ID]],MASUK!$H:$H)</f>
        <v>80</v>
      </c>
      <c r="N95" s="74">
        <f>SUMIF(KELUAR!$C:$C,REKAP[[#This Row],[ID]],KELUAR!$H:$H)</f>
        <v>44</v>
      </c>
      <c r="O95" s="74">
        <f>REKAP[[#This Row],[Stok Awal]]+REKAP[[#This Row],[Masuk]]-REKAP[[#This Row],[Keluar]]</f>
        <v>63</v>
      </c>
      <c r="P95" s="55">
        <v>63</v>
      </c>
      <c r="Q95" s="62">
        <f>REKAP[[#This Row],[Harga Satuan]]*REKAP[[#This Row],[Stok Akhir]]</f>
        <v>63000</v>
      </c>
      <c r="R95" s="61">
        <f>IF(REKAP[[#This Row],[Stok Aktual]]&lt;&gt;"",REKAP[[#This Row],[Stok Aktual]]-REKAP[[#This Row],[Stok Akhir]],0)</f>
        <v>0</v>
      </c>
      <c r="S95" s="132"/>
      <c r="T95" s="137">
        <f>IF(REKAP[[#This Row],[Selisih]]&lt;=-1,REKAP[[#This Row],[Harga Satuan]]*REKAP[[#This Row],[Selisih]],0)</f>
        <v>0</v>
      </c>
    </row>
    <row r="96" spans="1:20" x14ac:dyDescent="0.25">
      <c r="A96" s="55" t="s">
        <v>288</v>
      </c>
      <c r="B96" s="55" t="s">
        <v>3326</v>
      </c>
      <c r="C96" s="55" t="s">
        <v>3349</v>
      </c>
      <c r="D96" s="56" t="s">
        <v>54</v>
      </c>
      <c r="E96" s="57" t="s">
        <v>3347</v>
      </c>
      <c r="F96" s="75" t="s">
        <v>251</v>
      </c>
      <c r="G96" s="55" t="s">
        <v>10</v>
      </c>
      <c r="H96" s="58">
        <v>750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2</v>
      </c>
      <c r="K96" s="60">
        <f>REKAP[[#This Row],[Trx In]]+REKAP[[#This Row],[Trx Out]]</f>
        <v>3</v>
      </c>
      <c r="L96" s="55">
        <v>17</v>
      </c>
      <c r="M96" s="74">
        <f>SUMIF(MASUK!$C:$C,REKAP[[#This Row],[ID]],MASUK!$H:$H)</f>
        <v>15</v>
      </c>
      <c r="N96" s="74">
        <f>SUMIF(KELUAR!$C:$C,REKAP[[#This Row],[ID]],KELUAR!$H:$H)</f>
        <v>8</v>
      </c>
      <c r="O96" s="74">
        <f>REKAP[[#This Row],[Stok Awal]]+REKAP[[#This Row],[Masuk]]-REKAP[[#This Row],[Keluar]]</f>
        <v>24</v>
      </c>
      <c r="P96" s="55">
        <v>24</v>
      </c>
      <c r="Q96" s="62">
        <f>REKAP[[#This Row],[Harga Satuan]]*REKAP[[#This Row],[Stok Akhir]]</f>
        <v>18000</v>
      </c>
      <c r="R96" s="61">
        <f>IF(REKAP[[#This Row],[Stok Aktual]]&lt;&gt;"",REKAP[[#This Row],[Stok Aktual]]-REKAP[[#This Row],[Stok Akhir]],0)</f>
        <v>0</v>
      </c>
      <c r="S96" s="132"/>
      <c r="T96" s="137">
        <f>IF(REKAP[[#This Row],[Selisih]]&lt;=-1,REKAP[[#This Row],[Harga Satuan]]*REKAP[[#This Row],[Selisih]],0)</f>
        <v>0</v>
      </c>
    </row>
    <row r="97" spans="1:20" x14ac:dyDescent="0.25">
      <c r="A97" s="55" t="s">
        <v>289</v>
      </c>
      <c r="B97" s="55" t="s">
        <v>3326</v>
      </c>
      <c r="C97" s="55" t="s">
        <v>3349</v>
      </c>
      <c r="D97" s="56" t="s">
        <v>55</v>
      </c>
      <c r="E97" s="57" t="s">
        <v>3347</v>
      </c>
      <c r="F97" s="75" t="s">
        <v>251</v>
      </c>
      <c r="G97" s="55" t="s">
        <v>10</v>
      </c>
      <c r="H97" s="58">
        <v>800</v>
      </c>
      <c r="I97" s="59">
        <f>IF(COUNTIF(MASUK[Kode Barang],REKAP[[#This Row],[ID]])=0,0,COUNTIF(MASUK[Kode Barang],REKAP[[#This Row],[ID]]))</f>
        <v>2</v>
      </c>
      <c r="J97" s="59">
        <f>IF(COUNTIF(MASUK8[Kode Barang],REKAP[[#This Row],[ID]])=0,0,COUNTIF(MASUK8[Kode Barang],REKAP[[#This Row],[ID]]))</f>
        <v>5</v>
      </c>
      <c r="K97" s="60">
        <f>REKAP[[#This Row],[Trx In]]+REKAP[[#This Row],[Trx Out]]</f>
        <v>7</v>
      </c>
      <c r="L97" s="55">
        <v>23</v>
      </c>
      <c r="M97" s="74">
        <f>SUMIF(MASUK!$C:$C,REKAP[[#This Row],[ID]],MASUK!$H:$H)</f>
        <v>24</v>
      </c>
      <c r="N97" s="74">
        <f>SUMIF(KELUAR!$C:$C,REKAP[[#This Row],[ID]],KELUAR!$H:$H)</f>
        <v>40</v>
      </c>
      <c r="O97" s="74">
        <f>REKAP[[#This Row],[Stok Awal]]+REKAP[[#This Row],[Masuk]]-REKAP[[#This Row],[Keluar]]</f>
        <v>7</v>
      </c>
      <c r="P97" s="55">
        <v>7</v>
      </c>
      <c r="Q97" s="62">
        <f>REKAP[[#This Row],[Harga Satuan]]*REKAP[[#This Row],[Stok Akhir]]</f>
        <v>5600</v>
      </c>
      <c r="R97" s="61">
        <f>IF(REKAP[[#This Row],[Stok Aktual]]&lt;&gt;"",REKAP[[#This Row],[Stok Aktual]]-REKAP[[#This Row],[Stok Akhir]],0)</f>
        <v>0</v>
      </c>
      <c r="S97" s="139"/>
      <c r="T97" s="137">
        <f>IF(REKAP[[#This Row],[Selisih]]&lt;=-1,REKAP[[#This Row],[Harga Satuan]]*REKAP[[#This Row],[Selisih]],0)</f>
        <v>0</v>
      </c>
    </row>
    <row r="98" spans="1:20" x14ac:dyDescent="0.25">
      <c r="A98" s="55" t="s">
        <v>290</v>
      </c>
      <c r="B98" s="55" t="s">
        <v>3326</v>
      </c>
      <c r="C98" s="55" t="s">
        <v>3349</v>
      </c>
      <c r="D98" s="56" t="s">
        <v>56</v>
      </c>
      <c r="E98" s="57" t="s">
        <v>3347</v>
      </c>
      <c r="F98" s="75" t="s">
        <v>251</v>
      </c>
      <c r="G98" s="55" t="s">
        <v>10</v>
      </c>
      <c r="H98" s="58">
        <v>850</v>
      </c>
      <c r="I98" s="59">
        <f>IF(COUNTIF(MASUK[Kode Barang],REKAP[[#This Row],[ID]])=0,0,COUNTIF(MASUK[Kode Barang],REKAP[[#This Row],[ID]]))</f>
        <v>2</v>
      </c>
      <c r="J98" s="59">
        <f>IF(COUNTIF(MASUK8[Kode Barang],REKAP[[#This Row],[ID]])=0,0,COUNTIF(MASUK8[Kode Barang],REKAP[[#This Row],[ID]]))</f>
        <v>2</v>
      </c>
      <c r="K98" s="60">
        <f>REKAP[[#This Row],[Trx In]]+REKAP[[#This Row],[Trx Out]]</f>
        <v>4</v>
      </c>
      <c r="L98" s="55">
        <v>13</v>
      </c>
      <c r="M98" s="74">
        <f>SUMIF(MASUK!$C:$C,REKAP[[#This Row],[ID]],MASUK!$H:$H)</f>
        <v>34</v>
      </c>
      <c r="N98" s="74">
        <f>SUMIF(KELUAR!$C:$C,REKAP[[#This Row],[ID]],KELUAR!$H:$H)</f>
        <v>7</v>
      </c>
      <c r="O98" s="74">
        <f>REKAP[[#This Row],[Stok Awal]]+REKAP[[#This Row],[Masuk]]-REKAP[[#This Row],[Keluar]]</f>
        <v>40</v>
      </c>
      <c r="P98" s="55">
        <v>40</v>
      </c>
      <c r="Q98" s="62">
        <f>REKAP[[#This Row],[Harga Satuan]]*REKAP[[#This Row],[Stok Akhir]]</f>
        <v>34000</v>
      </c>
      <c r="R98" s="61">
        <f>IF(REKAP[[#This Row],[Stok Aktual]]&lt;&gt;"",REKAP[[#This Row],[Stok Aktual]]-REKAP[[#This Row],[Stok Akhir]],0)</f>
        <v>0</v>
      </c>
      <c r="S98" s="132"/>
      <c r="T98" s="137">
        <f>IF(REKAP[[#This Row],[Selisih]]&lt;=-1,REKAP[[#This Row],[Harga Satuan]]*REKAP[[#This Row],[Selisih]],0)</f>
        <v>0</v>
      </c>
    </row>
    <row r="99" spans="1:20" x14ac:dyDescent="0.25">
      <c r="A99" s="55" t="s">
        <v>291</v>
      </c>
      <c r="B99" s="55" t="s">
        <v>3326</v>
      </c>
      <c r="C99" s="55" t="s">
        <v>3349</v>
      </c>
      <c r="D99" s="56" t="s">
        <v>57</v>
      </c>
      <c r="E99" s="57" t="s">
        <v>3347</v>
      </c>
      <c r="F99" s="75" t="s">
        <v>251</v>
      </c>
      <c r="G99" s="55" t="s">
        <v>10</v>
      </c>
      <c r="H99" s="58">
        <v>1000</v>
      </c>
      <c r="I99" s="59">
        <f>IF(COUNTIF(MASUK[Kode Barang],REKAP[[#This Row],[ID]])=0,0,COUNTIF(MASUK[Kode Barang],REKAP[[#This Row],[ID]]))</f>
        <v>2</v>
      </c>
      <c r="J99" s="59">
        <f>IF(COUNTIF(MASUK8[Kode Barang],REKAP[[#This Row],[ID]])=0,0,COUNTIF(MASUK8[Kode Barang],REKAP[[#This Row],[ID]]))</f>
        <v>2</v>
      </c>
      <c r="K99" s="60">
        <f>REKAP[[#This Row],[Trx In]]+REKAP[[#This Row],[Trx Out]]</f>
        <v>4</v>
      </c>
      <c r="L99" s="55">
        <v>15</v>
      </c>
      <c r="M99" s="74">
        <f>SUMIF(MASUK!$C:$C,REKAP[[#This Row],[ID]],MASUK!$H:$H)</f>
        <v>52</v>
      </c>
      <c r="N99" s="74">
        <f>SUMIF(KELUAR!$C:$C,REKAP[[#This Row],[ID]],KELUAR!$H:$H)</f>
        <v>44</v>
      </c>
      <c r="O99" s="74">
        <f>REKAP[[#This Row],[Stok Awal]]+REKAP[[#This Row],[Masuk]]-REKAP[[#This Row],[Keluar]]</f>
        <v>23</v>
      </c>
      <c r="P99" s="55">
        <v>23</v>
      </c>
      <c r="Q99" s="62">
        <f>REKAP[[#This Row],[Harga Satuan]]*REKAP[[#This Row],[Stok Akhir]]</f>
        <v>23000</v>
      </c>
      <c r="R99" s="61">
        <f>IF(REKAP[[#This Row],[Stok Aktual]]&lt;&gt;"",REKAP[[#This Row],[Stok Aktual]]-REKAP[[#This Row],[Stok Akhir]],0)</f>
        <v>0</v>
      </c>
      <c r="S99" s="132"/>
      <c r="T99" s="137">
        <f>IF(REKAP[[#This Row],[Selisih]]&lt;=-1,REKAP[[#This Row],[Harga Satuan]]*REKAP[[#This Row],[Selisih]],0)</f>
        <v>0</v>
      </c>
    </row>
    <row r="100" spans="1:20" x14ac:dyDescent="0.25">
      <c r="A100" s="55" t="s">
        <v>292</v>
      </c>
      <c r="B100" s="55" t="s">
        <v>3326</v>
      </c>
      <c r="C100" s="55" t="s">
        <v>3349</v>
      </c>
      <c r="D100" s="56" t="s">
        <v>58</v>
      </c>
      <c r="E100" s="57" t="s">
        <v>3347</v>
      </c>
      <c r="F100" s="75" t="s">
        <v>251</v>
      </c>
      <c r="G100" s="55" t="s">
        <v>10</v>
      </c>
      <c r="H100" s="58">
        <v>1000</v>
      </c>
      <c r="I100" s="59">
        <f>IF(COUNTIF(MASUK[Kode Barang],REKAP[[#This Row],[ID]])=0,0,COUNTIF(MASUK[Kode Barang],REKAP[[#This Row],[ID]]))</f>
        <v>1</v>
      </c>
      <c r="J100" s="59">
        <f>IF(COUNTIF(MASUK8[Kode Barang],REKAP[[#This Row],[ID]])=0,0,COUNTIF(MASUK8[Kode Barang],REKAP[[#This Row],[ID]]))</f>
        <v>2</v>
      </c>
      <c r="K100" s="60">
        <f>REKAP[[#This Row],[Trx In]]+REKAP[[#This Row],[Trx Out]]</f>
        <v>3</v>
      </c>
      <c r="L100" s="55">
        <v>28</v>
      </c>
      <c r="M100" s="74">
        <f>SUMIF(MASUK!$C:$C,REKAP[[#This Row],[ID]],MASUK!$H:$H)</f>
        <v>32</v>
      </c>
      <c r="N100" s="74">
        <f>SUMIF(KELUAR!$C:$C,REKAP[[#This Row],[ID]],KELUAR!$H:$H)</f>
        <v>36</v>
      </c>
      <c r="O100" s="74">
        <f>REKAP[[#This Row],[Stok Awal]]+REKAP[[#This Row],[Masuk]]-REKAP[[#This Row],[Keluar]]</f>
        <v>24</v>
      </c>
      <c r="P100" s="55">
        <v>24</v>
      </c>
      <c r="Q100" s="62">
        <f>REKAP[[#This Row],[Harga Satuan]]*REKAP[[#This Row],[Stok Akhir]]</f>
        <v>24000</v>
      </c>
      <c r="R100" s="61">
        <f>IF(REKAP[[#This Row],[Stok Aktual]]&lt;&gt;"",REKAP[[#This Row],[Stok Aktual]]-REKAP[[#This Row],[Stok Akhir]],0)</f>
        <v>0</v>
      </c>
      <c r="S100" s="132"/>
      <c r="T100" s="137">
        <f>IF(REKAP[[#This Row],[Selisih]]&lt;=-1,REKAP[[#This Row],[Harga Satuan]]*REKAP[[#This Row],[Selisih]],0)</f>
        <v>0</v>
      </c>
    </row>
    <row r="101" spans="1:20" x14ac:dyDescent="0.25">
      <c r="A101" s="55" t="s">
        <v>293</v>
      </c>
      <c r="B101" s="55" t="s">
        <v>3326</v>
      </c>
      <c r="C101" s="55" t="s">
        <v>3349</v>
      </c>
      <c r="D101" s="56" t="s">
        <v>59</v>
      </c>
      <c r="E101" s="57" t="s">
        <v>3347</v>
      </c>
      <c r="F101" s="75" t="s">
        <v>251</v>
      </c>
      <c r="G101" s="55" t="s">
        <v>10</v>
      </c>
      <c r="H101" s="58">
        <v>1500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2</v>
      </c>
      <c r="K101" s="60">
        <f>REKAP[[#This Row],[Trx In]]+REKAP[[#This Row],[Trx Out]]</f>
        <v>2</v>
      </c>
      <c r="L101" s="55">
        <v>15</v>
      </c>
      <c r="M101" s="74">
        <f>SUMIF(MASUK!$C:$C,REKAP[[#This Row],[ID]],MASUK!$H:$H)</f>
        <v>0</v>
      </c>
      <c r="N101" s="74">
        <f>SUMIF(KELUAR!$C:$C,REKAP[[#This Row],[ID]],KELUAR!$H:$H)</f>
        <v>6</v>
      </c>
      <c r="O101" s="74">
        <f>REKAP[[#This Row],[Stok Awal]]+REKAP[[#This Row],[Masuk]]-REKAP[[#This Row],[Keluar]]</f>
        <v>9</v>
      </c>
      <c r="P101" s="55">
        <v>9</v>
      </c>
      <c r="Q101" s="62">
        <f>REKAP[[#This Row],[Harga Satuan]]*REKAP[[#This Row],[Stok Akhir]]</f>
        <v>13500</v>
      </c>
      <c r="R101" s="61">
        <f>IF(REKAP[[#This Row],[Stok Aktual]]&lt;&gt;"",REKAP[[#This Row],[Stok Aktual]]-REKAP[[#This Row],[Stok Akhir]],0)</f>
        <v>0</v>
      </c>
      <c r="S101" s="132"/>
      <c r="T101" s="137">
        <f>IF(REKAP[[#This Row],[Selisih]]&lt;=-1,REKAP[[#This Row],[Harga Satuan]]*REKAP[[#This Row],[Selisih]],0)</f>
        <v>0</v>
      </c>
    </row>
    <row r="102" spans="1:20" x14ac:dyDescent="0.25">
      <c r="A102" s="55" t="s">
        <v>294</v>
      </c>
      <c r="B102" s="55" t="s">
        <v>3326</v>
      </c>
      <c r="C102" s="55" t="s">
        <v>3349</v>
      </c>
      <c r="D102" s="56" t="s">
        <v>60</v>
      </c>
      <c r="E102" s="57" t="s">
        <v>3347</v>
      </c>
      <c r="F102" s="75" t="s">
        <v>251</v>
      </c>
      <c r="G102" s="55" t="s">
        <v>10</v>
      </c>
      <c r="H102" s="58">
        <v>1250</v>
      </c>
      <c r="I102" s="59">
        <f>IF(COUNTIF(MASUK[Kode Barang],REKAP[[#This Row],[ID]])=0,0,COUNTIF(MASUK[Kode Barang],REKAP[[#This Row],[ID]]))</f>
        <v>1</v>
      </c>
      <c r="J102" s="59">
        <f>IF(COUNTIF(MASUK8[Kode Barang],REKAP[[#This Row],[ID]])=0,0,COUNTIF(MASUK8[Kode Barang],REKAP[[#This Row],[ID]]))</f>
        <v>2</v>
      </c>
      <c r="K102" s="60">
        <f>REKAP[[#This Row],[Trx In]]+REKAP[[#This Row],[Trx Out]]</f>
        <v>3</v>
      </c>
      <c r="L102" s="55">
        <v>25</v>
      </c>
      <c r="M102" s="74">
        <f>SUMIF(MASUK!$C:$C,REKAP[[#This Row],[ID]],MASUK!$H:$H)</f>
        <v>20</v>
      </c>
      <c r="N102" s="74">
        <f>SUMIF(KELUAR!$C:$C,REKAP[[#This Row],[ID]],KELUAR!$H:$H)</f>
        <v>20</v>
      </c>
      <c r="O102" s="74">
        <f>REKAP[[#This Row],[Stok Awal]]+REKAP[[#This Row],[Masuk]]-REKAP[[#This Row],[Keluar]]</f>
        <v>25</v>
      </c>
      <c r="P102" s="55">
        <v>25</v>
      </c>
      <c r="Q102" s="62">
        <f>REKAP[[#This Row],[Harga Satuan]]*REKAP[[#This Row],[Stok Akhir]]</f>
        <v>31250</v>
      </c>
      <c r="R102" s="61">
        <f>IF(REKAP[[#This Row],[Stok Aktual]]&lt;&gt;"",REKAP[[#This Row],[Stok Aktual]]-REKAP[[#This Row],[Stok Akhir]],0)</f>
        <v>0</v>
      </c>
      <c r="S102" s="132"/>
      <c r="T102" s="137">
        <f>IF(REKAP[[#This Row],[Selisih]]&lt;=-1,REKAP[[#This Row],[Harga Satuan]]*REKAP[[#This Row],[Selisih]],0)</f>
        <v>0</v>
      </c>
    </row>
    <row r="103" spans="1:20" x14ac:dyDescent="0.25">
      <c r="A103" s="55" t="s">
        <v>295</v>
      </c>
      <c r="B103" s="55" t="s">
        <v>3326</v>
      </c>
      <c r="C103" s="55" t="s">
        <v>3349</v>
      </c>
      <c r="D103" s="56" t="s">
        <v>61</v>
      </c>
      <c r="E103" s="57" t="s">
        <v>3347</v>
      </c>
      <c r="F103" s="75" t="s">
        <v>251</v>
      </c>
      <c r="G103" s="55" t="s">
        <v>10</v>
      </c>
      <c r="H103" s="58">
        <v>1400</v>
      </c>
      <c r="I103" s="59">
        <f>IF(COUNTIF(MASUK[Kode Barang],REKAP[[#This Row],[ID]])=0,0,COUNTIF(MASUK[Kode Barang],REKAP[[#This Row],[ID]]))</f>
        <v>1</v>
      </c>
      <c r="J103" s="59">
        <f>IF(COUNTIF(MASUK8[Kode Barang],REKAP[[#This Row],[ID]])=0,0,COUNTIF(MASUK8[Kode Barang],REKAP[[#This Row],[ID]]))</f>
        <v>1</v>
      </c>
      <c r="K103" s="60">
        <f>REKAP[[#This Row],[Trx In]]+REKAP[[#This Row],[Trx Out]]</f>
        <v>2</v>
      </c>
      <c r="L103" s="55">
        <v>17</v>
      </c>
      <c r="M103" s="74">
        <f>SUMIF(MASUK!$C:$C,REKAP[[#This Row],[ID]],MASUK!$H:$H)</f>
        <v>16</v>
      </c>
      <c r="N103" s="74">
        <f>SUMIF(KELUAR!$C:$C,REKAP[[#This Row],[ID]],KELUAR!$H:$H)</f>
        <v>16</v>
      </c>
      <c r="O103" s="74">
        <f>REKAP[[#This Row],[Stok Awal]]+REKAP[[#This Row],[Masuk]]-REKAP[[#This Row],[Keluar]]</f>
        <v>17</v>
      </c>
      <c r="P103" s="55">
        <v>17</v>
      </c>
      <c r="Q103" s="62">
        <f>REKAP[[#This Row],[Harga Satuan]]*REKAP[[#This Row],[Stok Akhir]]</f>
        <v>23800</v>
      </c>
      <c r="R103" s="61">
        <f>IF(REKAP[[#This Row],[Stok Aktual]]&lt;&gt;"",REKAP[[#This Row],[Stok Aktual]]-REKAP[[#This Row],[Stok Akhir]],0)</f>
        <v>0</v>
      </c>
      <c r="S103" s="132"/>
      <c r="T103" s="137">
        <f>IF(REKAP[[#This Row],[Selisih]]&lt;=-1,REKAP[[#This Row],[Harga Satuan]]*REKAP[[#This Row],[Selisih]],0)</f>
        <v>0</v>
      </c>
    </row>
    <row r="104" spans="1:20" x14ac:dyDescent="0.25">
      <c r="A104" s="55" t="s">
        <v>296</v>
      </c>
      <c r="B104" s="55" t="s">
        <v>3326</v>
      </c>
      <c r="C104" s="55" t="s">
        <v>3349</v>
      </c>
      <c r="D104" s="56" t="s">
        <v>62</v>
      </c>
      <c r="E104" s="57" t="s">
        <v>3347</v>
      </c>
      <c r="F104" s="75" t="s">
        <v>251</v>
      </c>
      <c r="G104" s="55"/>
      <c r="H104" s="58">
        <v>1500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38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38</v>
      </c>
      <c r="P104" s="55"/>
      <c r="Q104" s="62">
        <f>REKAP[[#This Row],[Harga Satuan]]*REKAP[[#This Row],[Stok Akhir]]</f>
        <v>57000</v>
      </c>
      <c r="R104" s="61">
        <f>IF(REKAP[[#This Row],[Stok Aktual]]&lt;&gt;"",REKAP[[#This Row],[Stok Aktual]]-REKAP[[#This Row],[Stok Akhir]],0)</f>
        <v>0</v>
      </c>
      <c r="S104" s="132"/>
      <c r="T104" s="137">
        <f>IF(REKAP[[#This Row],[Selisih]]&lt;=-1,REKAP[[#This Row],[Harga Satuan]]*REKAP[[#This Row],[Selisih]],0)</f>
        <v>0</v>
      </c>
    </row>
    <row r="105" spans="1:20" x14ac:dyDescent="0.25">
      <c r="A105" s="55" t="s">
        <v>297</v>
      </c>
      <c r="B105" s="55" t="s">
        <v>3326</v>
      </c>
      <c r="C105" s="55" t="s">
        <v>3349</v>
      </c>
      <c r="D105" s="56" t="s">
        <v>63</v>
      </c>
      <c r="E105" s="57" t="s">
        <v>3347</v>
      </c>
      <c r="F105" s="75" t="s">
        <v>251</v>
      </c>
      <c r="G105" s="55"/>
      <c r="H105" s="58">
        <v>1600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2</v>
      </c>
      <c r="K105" s="60">
        <f>REKAP[[#This Row],[Trx In]]+REKAP[[#This Row],[Trx Out]]</f>
        <v>2</v>
      </c>
      <c r="L105" s="55">
        <v>36</v>
      </c>
      <c r="M105" s="74">
        <f>SUMIF(MASUK!$C:$C,REKAP[[#This Row],[ID]],MASUK!$H:$H)</f>
        <v>0</v>
      </c>
      <c r="N105" s="74">
        <f>SUMIF(KELUAR!$C:$C,REKAP[[#This Row],[ID]],KELUAR!$H:$H)</f>
        <v>7</v>
      </c>
      <c r="O105" s="74">
        <f>REKAP[[#This Row],[Stok Awal]]+REKAP[[#This Row],[Masuk]]-REKAP[[#This Row],[Keluar]]</f>
        <v>29</v>
      </c>
      <c r="P105" s="55">
        <v>27</v>
      </c>
      <c r="Q105" s="62">
        <f>REKAP[[#This Row],[Harga Satuan]]*REKAP[[#This Row],[Stok Akhir]]</f>
        <v>46400</v>
      </c>
      <c r="R105" s="61">
        <f>IF(REKAP[[#This Row],[Stok Aktual]]&lt;&gt;"",REKAP[[#This Row],[Stok Aktual]]-REKAP[[#This Row],[Stok Akhir]],0)</f>
        <v>-2</v>
      </c>
      <c r="S105" s="132"/>
      <c r="T105" s="137">
        <f>IF(REKAP[[#This Row],[Selisih]]&lt;=-1,REKAP[[#This Row],[Harga Satuan]]*REKAP[[#This Row],[Selisih]],0)</f>
        <v>-3200</v>
      </c>
    </row>
    <row r="106" spans="1:20" x14ac:dyDescent="0.25">
      <c r="A106" s="55" t="s">
        <v>298</v>
      </c>
      <c r="B106" s="55" t="s">
        <v>3326</v>
      </c>
      <c r="C106" s="55" t="s">
        <v>3349</v>
      </c>
      <c r="D106" s="56" t="s">
        <v>64</v>
      </c>
      <c r="E106" s="57" t="s">
        <v>3347</v>
      </c>
      <c r="F106" s="75" t="s">
        <v>251</v>
      </c>
      <c r="G106" s="55"/>
      <c r="H106" s="58">
        <v>2300</v>
      </c>
      <c r="I106" s="59">
        <f>IF(COUNTIF(MASUK[Kode Barang],REKAP[[#This Row],[ID]])=0,0,COUNTIF(MASUK[Kode Barang],REKAP[[#This Row],[ID]]))</f>
        <v>0</v>
      </c>
      <c r="J106" s="59">
        <f>IF(COUNTIF(MASUK8[Kode Barang],REKAP[[#This Row],[ID]])=0,0,COUNTIF(MASUK8[Kode Barang],REKAP[[#This Row],[ID]]))</f>
        <v>1</v>
      </c>
      <c r="K106" s="60">
        <f>REKAP[[#This Row],[Trx In]]+REKAP[[#This Row],[Trx Out]]</f>
        <v>1</v>
      </c>
      <c r="L106" s="55">
        <v>38</v>
      </c>
      <c r="M106" s="74">
        <f>SUMIF(MASUK!$C:$C,REKAP[[#This Row],[ID]],MASUK!$H:$H)</f>
        <v>0</v>
      </c>
      <c r="N106" s="74">
        <f>SUMIF(KELUAR!$C:$C,REKAP[[#This Row],[ID]],KELUAR!$H:$H)</f>
        <v>1</v>
      </c>
      <c r="O106" s="74">
        <f>REKAP[[#This Row],[Stok Awal]]+REKAP[[#This Row],[Masuk]]-REKAP[[#This Row],[Keluar]]</f>
        <v>37</v>
      </c>
      <c r="P106" s="55">
        <v>37</v>
      </c>
      <c r="Q106" s="62">
        <f>REKAP[[#This Row],[Harga Satuan]]*REKAP[[#This Row],[Stok Akhir]]</f>
        <v>85100</v>
      </c>
      <c r="R106" s="61">
        <f>IF(REKAP[[#This Row],[Stok Aktual]]&lt;&gt;"",REKAP[[#This Row],[Stok Aktual]]-REKAP[[#This Row],[Stok Akhir]],0)</f>
        <v>0</v>
      </c>
      <c r="S106" s="132"/>
      <c r="T106" s="137">
        <f>IF(REKAP[[#This Row],[Selisih]]&lt;=-1,REKAP[[#This Row],[Harga Satuan]]*REKAP[[#This Row],[Selisih]],0)</f>
        <v>0</v>
      </c>
    </row>
    <row r="107" spans="1:20" x14ac:dyDescent="0.25">
      <c r="A107" s="55" t="s">
        <v>299</v>
      </c>
      <c r="B107" s="55" t="s">
        <v>3326</v>
      </c>
      <c r="C107" s="55" t="s">
        <v>3349</v>
      </c>
      <c r="D107" s="56" t="s">
        <v>65</v>
      </c>
      <c r="E107" s="57" t="s">
        <v>3347</v>
      </c>
      <c r="F107" s="75" t="s">
        <v>251</v>
      </c>
      <c r="G107" s="55"/>
      <c r="H107" s="58">
        <v>2000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32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32</v>
      </c>
      <c r="P107" s="55"/>
      <c r="Q107" s="62">
        <f>REKAP[[#This Row],[Harga Satuan]]*REKAP[[#This Row],[Stok Akhir]]</f>
        <v>64000</v>
      </c>
      <c r="R107" s="61">
        <f>IF(REKAP[[#This Row],[Stok Aktual]]&lt;&gt;"",REKAP[[#This Row],[Stok Aktual]]-REKAP[[#This Row],[Stok Akhir]],0)</f>
        <v>0</v>
      </c>
      <c r="S107" s="132"/>
      <c r="T107" s="137">
        <f>IF(REKAP[[#This Row],[Selisih]]&lt;=-1,REKAP[[#This Row],[Harga Satuan]]*REKAP[[#This Row],[Selisih]],0)</f>
        <v>0</v>
      </c>
    </row>
    <row r="108" spans="1:20" x14ac:dyDescent="0.25">
      <c r="A108" s="55" t="s">
        <v>300</v>
      </c>
      <c r="B108" s="55" t="s">
        <v>3326</v>
      </c>
      <c r="C108" s="55" t="s">
        <v>3349</v>
      </c>
      <c r="D108" s="56" t="s">
        <v>66</v>
      </c>
      <c r="E108" s="57" t="s">
        <v>3347</v>
      </c>
      <c r="F108" s="75" t="s">
        <v>251</v>
      </c>
      <c r="G108" s="55"/>
      <c r="H108" s="58">
        <v>2060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28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28</v>
      </c>
      <c r="P108" s="55"/>
      <c r="Q108" s="62">
        <f>REKAP[[#This Row],[Harga Satuan]]*REKAP[[#This Row],[Stok Akhir]]</f>
        <v>57680</v>
      </c>
      <c r="R108" s="61">
        <f>IF(REKAP[[#This Row],[Stok Aktual]]&lt;&gt;"",REKAP[[#This Row],[Stok Aktual]]-REKAP[[#This Row],[Stok Akhir]],0)</f>
        <v>0</v>
      </c>
      <c r="S108" s="132"/>
      <c r="T108" s="137">
        <f>IF(REKAP[[#This Row],[Selisih]]&lt;=-1,REKAP[[#This Row],[Harga Satuan]]*REKAP[[#This Row],[Selisih]],0)</f>
        <v>0</v>
      </c>
    </row>
    <row r="109" spans="1:20" x14ac:dyDescent="0.25">
      <c r="A109" s="55" t="s">
        <v>301</v>
      </c>
      <c r="B109" s="55" t="s">
        <v>3326</v>
      </c>
      <c r="C109" s="55" t="s">
        <v>3349</v>
      </c>
      <c r="D109" s="56" t="s">
        <v>67</v>
      </c>
      <c r="E109" s="57" t="s">
        <v>3347</v>
      </c>
      <c r="F109" s="75" t="s">
        <v>251</v>
      </c>
      <c r="G109" s="55" t="s">
        <v>10</v>
      </c>
      <c r="H109" s="58">
        <v>3000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11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11</v>
      </c>
      <c r="P109" s="55"/>
      <c r="Q109" s="62">
        <f>REKAP[[#This Row],[Harga Satuan]]*REKAP[[#This Row],[Stok Akhir]]</f>
        <v>33000</v>
      </c>
      <c r="R109" s="61">
        <f>IF(REKAP[[#This Row],[Stok Aktual]]&lt;&gt;"",REKAP[[#This Row],[Stok Aktual]]-REKAP[[#This Row],[Stok Akhir]],0)</f>
        <v>0</v>
      </c>
      <c r="S109" s="132"/>
      <c r="T109" s="137">
        <f>IF(REKAP[[#This Row],[Selisih]]&lt;=-1,REKAP[[#This Row],[Harga Satuan]]*REKAP[[#This Row],[Selisih]],0)</f>
        <v>0</v>
      </c>
    </row>
    <row r="110" spans="1:20" x14ac:dyDescent="0.25">
      <c r="A110" s="55" t="s">
        <v>302</v>
      </c>
      <c r="B110" s="55" t="s">
        <v>3326</v>
      </c>
      <c r="C110" s="55" t="s">
        <v>3349</v>
      </c>
      <c r="D110" s="56" t="s">
        <v>68</v>
      </c>
      <c r="E110" s="57" t="s">
        <v>3347</v>
      </c>
      <c r="F110" s="75" t="s">
        <v>251</v>
      </c>
      <c r="G110" s="55"/>
      <c r="H110" s="58">
        <v>5450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7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7</v>
      </c>
      <c r="P110" s="55"/>
      <c r="Q110" s="62">
        <f>REKAP[[#This Row],[Harga Satuan]]*REKAP[[#This Row],[Stok Akhir]]</f>
        <v>38150</v>
      </c>
      <c r="R110" s="61">
        <f>IF(REKAP[[#This Row],[Stok Aktual]]&lt;&gt;"",REKAP[[#This Row],[Stok Aktual]]-REKAP[[#This Row],[Stok Akhir]],0)</f>
        <v>0</v>
      </c>
      <c r="S110" s="132"/>
      <c r="T110" s="137">
        <f>IF(REKAP[[#This Row],[Selisih]]&lt;=-1,REKAP[[#This Row],[Harga Satuan]]*REKAP[[#This Row],[Selisih]],0)</f>
        <v>0</v>
      </c>
    </row>
    <row r="111" spans="1:20" x14ac:dyDescent="0.25">
      <c r="A111" s="55" t="s">
        <v>303</v>
      </c>
      <c r="B111" s="55" t="s">
        <v>3326</v>
      </c>
      <c r="C111" s="55" t="s">
        <v>3349</v>
      </c>
      <c r="D111" s="56" t="s">
        <v>69</v>
      </c>
      <c r="E111" s="57" t="s">
        <v>3347</v>
      </c>
      <c r="F111" s="75" t="s">
        <v>251</v>
      </c>
      <c r="G111" s="55"/>
      <c r="H111" s="58">
        <v>9000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12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12</v>
      </c>
      <c r="P111" s="55"/>
      <c r="Q111" s="62">
        <f>REKAP[[#This Row],[Harga Satuan]]*REKAP[[#This Row],[Stok Akhir]]</f>
        <v>108000</v>
      </c>
      <c r="R111" s="61">
        <f>IF(REKAP[[#This Row],[Stok Aktual]]&lt;&gt;"",REKAP[[#This Row],[Stok Aktual]]-REKAP[[#This Row],[Stok Akhir]],0)</f>
        <v>0</v>
      </c>
      <c r="S111" s="132"/>
      <c r="T111" s="137">
        <f>IF(REKAP[[#This Row],[Selisih]]&lt;=-1,REKAP[[#This Row],[Harga Satuan]]*REKAP[[#This Row],[Selisih]],0)</f>
        <v>0</v>
      </c>
    </row>
    <row r="112" spans="1:20" x14ac:dyDescent="0.25">
      <c r="A112" s="55" t="s">
        <v>304</v>
      </c>
      <c r="B112" s="55" t="s">
        <v>3326</v>
      </c>
      <c r="C112" s="55" t="s">
        <v>3349</v>
      </c>
      <c r="D112" s="56" t="s">
        <v>70</v>
      </c>
      <c r="E112" s="57" t="s">
        <v>3347</v>
      </c>
      <c r="F112" s="75" t="s">
        <v>251</v>
      </c>
      <c r="G112" s="55" t="s">
        <v>10</v>
      </c>
      <c r="H112" s="58">
        <v>8000</v>
      </c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4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4</v>
      </c>
      <c r="P112" s="55"/>
      <c r="Q112" s="62">
        <f>REKAP[[#This Row],[Harga Satuan]]*REKAP[[#This Row],[Stok Akhir]]</f>
        <v>32000</v>
      </c>
      <c r="R112" s="61">
        <f>IF(REKAP[[#This Row],[Stok Aktual]]&lt;&gt;"",REKAP[[#This Row],[Stok Aktual]]-REKAP[[#This Row],[Stok Akhir]],0)</f>
        <v>0</v>
      </c>
      <c r="S112" s="132"/>
      <c r="T112" s="137">
        <f>IF(REKAP[[#This Row],[Selisih]]&lt;=-1,REKAP[[#This Row],[Harga Satuan]]*REKAP[[#This Row],[Selisih]],0)</f>
        <v>0</v>
      </c>
    </row>
    <row r="113" spans="1:20" x14ac:dyDescent="0.25">
      <c r="A113" s="55" t="s">
        <v>305</v>
      </c>
      <c r="B113" s="55" t="s">
        <v>3326</v>
      </c>
      <c r="C113" s="55" t="s">
        <v>3349</v>
      </c>
      <c r="D113" s="56" t="s">
        <v>71</v>
      </c>
      <c r="E113" s="57" t="s">
        <v>3347</v>
      </c>
      <c r="F113" s="75" t="s">
        <v>251</v>
      </c>
      <c r="G113" s="55"/>
      <c r="H113" s="58">
        <v>1200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15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15</v>
      </c>
      <c r="P113" s="55"/>
      <c r="Q113" s="62">
        <f>REKAP[[#This Row],[Harga Satuan]]*REKAP[[#This Row],[Stok Akhir]]</f>
        <v>18000</v>
      </c>
      <c r="R113" s="61">
        <f>IF(REKAP[[#This Row],[Stok Aktual]]&lt;&gt;"",REKAP[[#This Row],[Stok Aktual]]-REKAP[[#This Row],[Stok Akhir]],0)</f>
        <v>0</v>
      </c>
      <c r="S113" s="132"/>
      <c r="T113" s="137">
        <f>IF(REKAP[[#This Row],[Selisih]]&lt;=-1,REKAP[[#This Row],[Harga Satuan]]*REKAP[[#This Row],[Selisih]],0)</f>
        <v>0</v>
      </c>
    </row>
    <row r="114" spans="1:20" x14ac:dyDescent="0.25">
      <c r="A114" s="55" t="s">
        <v>306</v>
      </c>
      <c r="B114" s="55" t="s">
        <v>3326</v>
      </c>
      <c r="C114" s="55" t="s">
        <v>3349</v>
      </c>
      <c r="D114" s="56" t="s">
        <v>72</v>
      </c>
      <c r="E114" s="57" t="s">
        <v>3347</v>
      </c>
      <c r="F114" s="75" t="s">
        <v>251</v>
      </c>
      <c r="G114" s="55"/>
      <c r="H114" s="58">
        <v>1000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37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37</v>
      </c>
      <c r="P114" s="55"/>
      <c r="Q114" s="62">
        <f>REKAP[[#This Row],[Harga Satuan]]*REKAP[[#This Row],[Stok Akhir]]</f>
        <v>37000</v>
      </c>
      <c r="R114" s="61">
        <f>IF(REKAP[[#This Row],[Stok Aktual]]&lt;&gt;"",REKAP[[#This Row],[Stok Aktual]]-REKAP[[#This Row],[Stok Akhir]],0)</f>
        <v>0</v>
      </c>
      <c r="S114" s="132"/>
      <c r="T114" s="137">
        <f>IF(REKAP[[#This Row],[Selisih]]&lt;=-1,REKAP[[#This Row],[Harga Satuan]]*REKAP[[#This Row],[Selisih]],0)</f>
        <v>0</v>
      </c>
    </row>
    <row r="115" spans="1:20" x14ac:dyDescent="0.25">
      <c r="A115" s="55" t="s">
        <v>307</v>
      </c>
      <c r="B115" s="55" t="s">
        <v>3326</v>
      </c>
      <c r="C115" s="55" t="s">
        <v>3349</v>
      </c>
      <c r="D115" s="56" t="s">
        <v>73</v>
      </c>
      <c r="E115" s="57" t="s">
        <v>3347</v>
      </c>
      <c r="F115" s="75" t="s">
        <v>251</v>
      </c>
      <c r="G115" s="55" t="s">
        <v>10</v>
      </c>
      <c r="H115" s="58">
        <v>1667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3</v>
      </c>
      <c r="K115" s="60">
        <f>REKAP[[#This Row],[Trx In]]+REKAP[[#This Row],[Trx Out]]</f>
        <v>3</v>
      </c>
      <c r="L115" s="55">
        <v>35</v>
      </c>
      <c r="M115" s="74">
        <f>SUMIF(MASUK!$C:$C,REKAP[[#This Row],[ID]],MASUK!$H:$H)</f>
        <v>0</v>
      </c>
      <c r="N115" s="74">
        <f>SUMIF(KELUAR!$C:$C,REKAP[[#This Row],[ID]],KELUAR!$H:$H)</f>
        <v>18</v>
      </c>
      <c r="O115" s="74">
        <f>REKAP[[#This Row],[Stok Awal]]+REKAP[[#This Row],[Masuk]]-REKAP[[#This Row],[Keluar]]</f>
        <v>17</v>
      </c>
      <c r="P115" s="55">
        <v>17</v>
      </c>
      <c r="Q115" s="62">
        <f>REKAP[[#This Row],[Harga Satuan]]*REKAP[[#This Row],[Stok Akhir]]</f>
        <v>28339</v>
      </c>
      <c r="R115" s="61">
        <f>IF(REKAP[[#This Row],[Stok Aktual]]&lt;&gt;"",REKAP[[#This Row],[Stok Aktual]]-REKAP[[#This Row],[Stok Akhir]],0)</f>
        <v>0</v>
      </c>
      <c r="S115" s="132"/>
      <c r="T115" s="137">
        <f>IF(REKAP[[#This Row],[Selisih]]&lt;=-1,REKAP[[#This Row],[Harga Satuan]]*REKAP[[#This Row],[Selisih]],0)</f>
        <v>0</v>
      </c>
    </row>
    <row r="116" spans="1:20" x14ac:dyDescent="0.25">
      <c r="A116" s="55" t="s">
        <v>308</v>
      </c>
      <c r="B116" s="55" t="s">
        <v>3326</v>
      </c>
      <c r="C116" s="55" t="s">
        <v>3349</v>
      </c>
      <c r="D116" s="56" t="s">
        <v>74</v>
      </c>
      <c r="E116" s="57" t="s">
        <v>3347</v>
      </c>
      <c r="F116" s="75" t="s">
        <v>251</v>
      </c>
      <c r="G116" s="55"/>
      <c r="H116" s="58">
        <v>1300</v>
      </c>
      <c r="I116" s="59">
        <f>IF(COUNTIF(MASUK[Kode Barang],REKAP[[#This Row],[ID]])=0,0,COUNTIF(MASUK[Kode Barang],REKAP[[#This Row],[ID]]))</f>
        <v>3</v>
      </c>
      <c r="J116" s="59">
        <f>IF(COUNTIF(MASUK8[Kode Barang],REKAP[[#This Row],[ID]])=0,0,COUNTIF(MASUK8[Kode Barang],REKAP[[#This Row],[ID]]))</f>
        <v>5</v>
      </c>
      <c r="K116" s="60">
        <f>REKAP[[#This Row],[Trx In]]+REKAP[[#This Row],[Trx Out]]</f>
        <v>8</v>
      </c>
      <c r="L116" s="55">
        <v>35</v>
      </c>
      <c r="M116" s="74">
        <f>SUMIF(MASUK!$C:$C,REKAP[[#This Row],[ID]],MASUK!$H:$H)</f>
        <v>120</v>
      </c>
      <c r="N116" s="74">
        <f>SUMIF(KELUAR!$C:$C,REKAP[[#This Row],[ID]],KELUAR!$H:$H)</f>
        <v>102</v>
      </c>
      <c r="O116" s="74">
        <f>REKAP[[#This Row],[Stok Awal]]+REKAP[[#This Row],[Masuk]]-REKAP[[#This Row],[Keluar]]</f>
        <v>53</v>
      </c>
      <c r="P116" s="55">
        <v>53</v>
      </c>
      <c r="Q116" s="62">
        <f>REKAP[[#This Row],[Harga Satuan]]*REKAP[[#This Row],[Stok Akhir]]</f>
        <v>68900</v>
      </c>
      <c r="R116" s="61">
        <f>IF(REKAP[[#This Row],[Stok Aktual]]&lt;&gt;"",REKAP[[#This Row],[Stok Aktual]]-REKAP[[#This Row],[Stok Akhir]],0)</f>
        <v>0</v>
      </c>
      <c r="S116" s="132"/>
      <c r="T116" s="137">
        <f>IF(REKAP[[#This Row],[Selisih]]&lt;=-1,REKAP[[#This Row],[Harga Satuan]]*REKAP[[#This Row],[Selisih]],0)</f>
        <v>0</v>
      </c>
    </row>
    <row r="117" spans="1:20" x14ac:dyDescent="0.25">
      <c r="A117" s="55" t="s">
        <v>309</v>
      </c>
      <c r="B117" s="55" t="s">
        <v>3326</v>
      </c>
      <c r="C117" s="55" t="s">
        <v>3349</v>
      </c>
      <c r="D117" s="56" t="s">
        <v>75</v>
      </c>
      <c r="E117" s="57" t="s">
        <v>3347</v>
      </c>
      <c r="F117" s="75" t="s">
        <v>251</v>
      </c>
      <c r="G117" s="55" t="s">
        <v>10</v>
      </c>
      <c r="H117" s="58">
        <v>1500</v>
      </c>
      <c r="I117" s="59">
        <f>IF(COUNTIF(MASUK[Kode Barang],REKAP[[#This Row],[ID]])=0,0,COUNTIF(MASUK[Kode Barang],REKAP[[#This Row],[ID]]))</f>
        <v>2</v>
      </c>
      <c r="J117" s="59">
        <f>IF(COUNTIF(MASUK8[Kode Barang],REKAP[[#This Row],[ID]])=0,0,COUNTIF(MASUK8[Kode Barang],REKAP[[#This Row],[ID]]))</f>
        <v>2</v>
      </c>
      <c r="K117" s="60">
        <f>REKAP[[#This Row],[Trx In]]+REKAP[[#This Row],[Trx Out]]</f>
        <v>4</v>
      </c>
      <c r="L117" s="55">
        <v>15</v>
      </c>
      <c r="M117" s="74">
        <f>SUMIF(MASUK!$C:$C,REKAP[[#This Row],[ID]],MASUK!$H:$H)</f>
        <v>20</v>
      </c>
      <c r="N117" s="74">
        <f>SUMIF(KELUAR!$C:$C,REKAP[[#This Row],[ID]],KELUAR!$H:$H)</f>
        <v>20</v>
      </c>
      <c r="O117" s="74">
        <f>REKAP[[#This Row],[Stok Awal]]+REKAP[[#This Row],[Masuk]]-REKAP[[#This Row],[Keluar]]</f>
        <v>15</v>
      </c>
      <c r="P117" s="55">
        <v>15</v>
      </c>
      <c r="Q117" s="62">
        <f>REKAP[[#This Row],[Harga Satuan]]*REKAP[[#This Row],[Stok Akhir]]</f>
        <v>22500</v>
      </c>
      <c r="R117" s="61">
        <f>IF(REKAP[[#This Row],[Stok Aktual]]&lt;&gt;"",REKAP[[#This Row],[Stok Aktual]]-REKAP[[#This Row],[Stok Akhir]],0)</f>
        <v>0</v>
      </c>
      <c r="S117" s="132"/>
      <c r="T117" s="137">
        <f>IF(REKAP[[#This Row],[Selisih]]&lt;=-1,REKAP[[#This Row],[Harga Satuan]]*REKAP[[#This Row],[Selisih]],0)</f>
        <v>0</v>
      </c>
    </row>
    <row r="118" spans="1:20" x14ac:dyDescent="0.25">
      <c r="A118" s="55" t="s">
        <v>310</v>
      </c>
      <c r="B118" s="55" t="s">
        <v>3326</v>
      </c>
      <c r="C118" s="55" t="s">
        <v>3349</v>
      </c>
      <c r="D118" s="56" t="s">
        <v>76</v>
      </c>
      <c r="E118" s="57" t="s">
        <v>3347</v>
      </c>
      <c r="F118" s="75" t="s">
        <v>251</v>
      </c>
      <c r="G118" s="55" t="s">
        <v>10</v>
      </c>
      <c r="H118" s="58">
        <v>2000</v>
      </c>
      <c r="I118" s="59">
        <f>IF(COUNTIF(MASUK[Kode Barang],REKAP[[#This Row],[ID]])=0,0,COUNTIF(MASUK[Kode Barang],REKAP[[#This Row],[ID]]))</f>
        <v>3</v>
      </c>
      <c r="J118" s="59">
        <f>IF(COUNTIF(MASUK8[Kode Barang],REKAP[[#This Row],[ID]])=0,0,COUNTIF(MASUK8[Kode Barang],REKAP[[#This Row],[ID]]))</f>
        <v>4</v>
      </c>
      <c r="K118" s="60">
        <f>REKAP[[#This Row],[Trx In]]+REKAP[[#This Row],[Trx Out]]</f>
        <v>7</v>
      </c>
      <c r="L118" s="55">
        <v>30</v>
      </c>
      <c r="M118" s="74">
        <f>SUMIF(MASUK!$C:$C,REKAP[[#This Row],[ID]],MASUK!$H:$H)</f>
        <v>34</v>
      </c>
      <c r="N118" s="74">
        <f>SUMIF(KELUAR!$C:$C,REKAP[[#This Row],[ID]],KELUAR!$H:$H)</f>
        <v>49</v>
      </c>
      <c r="O118" s="74">
        <f>REKAP[[#This Row],[Stok Awal]]+REKAP[[#This Row],[Masuk]]-REKAP[[#This Row],[Keluar]]</f>
        <v>15</v>
      </c>
      <c r="P118" s="55">
        <v>15</v>
      </c>
      <c r="Q118" s="62">
        <f>REKAP[[#This Row],[Harga Satuan]]*REKAP[[#This Row],[Stok Akhir]]</f>
        <v>30000</v>
      </c>
      <c r="R118" s="61">
        <f>IF(REKAP[[#This Row],[Stok Aktual]]&lt;&gt;"",REKAP[[#This Row],[Stok Aktual]]-REKAP[[#This Row],[Stok Akhir]],0)</f>
        <v>0</v>
      </c>
      <c r="S118" s="139"/>
      <c r="T118" s="137">
        <f>IF(REKAP[[#This Row],[Selisih]]&lt;=-1,REKAP[[#This Row],[Harga Satuan]]*REKAP[[#This Row],[Selisih]],0)</f>
        <v>0</v>
      </c>
    </row>
    <row r="119" spans="1:20" x14ac:dyDescent="0.25">
      <c r="A119" s="55" t="s">
        <v>311</v>
      </c>
      <c r="B119" s="55" t="s">
        <v>3326</v>
      </c>
      <c r="C119" s="55" t="s">
        <v>3349</v>
      </c>
      <c r="D119" s="56" t="s">
        <v>77</v>
      </c>
      <c r="E119" s="57" t="s">
        <v>3347</v>
      </c>
      <c r="F119" s="75" t="s">
        <v>251</v>
      </c>
      <c r="G119" s="55" t="s">
        <v>10</v>
      </c>
      <c r="H119" s="58">
        <v>2000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2</v>
      </c>
      <c r="K119" s="60">
        <f>REKAP[[#This Row],[Trx In]]+REKAP[[#This Row],[Trx Out]]</f>
        <v>2</v>
      </c>
      <c r="L119" s="55">
        <v>15</v>
      </c>
      <c r="M119" s="74">
        <f>SUMIF(MASUK!$C:$C,REKAP[[#This Row],[ID]],MASUK!$H:$H)</f>
        <v>0</v>
      </c>
      <c r="N119" s="74">
        <f>SUMIF(KELUAR!$C:$C,REKAP[[#This Row],[ID]],KELUAR!$H:$H)</f>
        <v>10</v>
      </c>
      <c r="O119" s="74">
        <f>REKAP[[#This Row],[Stok Awal]]+REKAP[[#This Row],[Masuk]]-REKAP[[#This Row],[Keluar]]</f>
        <v>5</v>
      </c>
      <c r="P119" s="55">
        <v>5</v>
      </c>
      <c r="Q119" s="62">
        <f>REKAP[[#This Row],[Harga Satuan]]*REKAP[[#This Row],[Stok Akhir]]</f>
        <v>10000</v>
      </c>
      <c r="R119" s="61">
        <f>IF(REKAP[[#This Row],[Stok Aktual]]&lt;&gt;"",REKAP[[#This Row],[Stok Aktual]]-REKAP[[#This Row],[Stok Akhir]],0)</f>
        <v>0</v>
      </c>
      <c r="S119" s="132"/>
      <c r="T119" s="137">
        <f>IF(REKAP[[#This Row],[Selisih]]&lt;=-1,REKAP[[#This Row],[Harga Satuan]]*REKAP[[#This Row],[Selisih]],0)</f>
        <v>0</v>
      </c>
    </row>
    <row r="120" spans="1:20" x14ac:dyDescent="0.25">
      <c r="A120" s="55" t="s">
        <v>312</v>
      </c>
      <c r="B120" s="55" t="s">
        <v>3326</v>
      </c>
      <c r="C120" s="55" t="s">
        <v>3349</v>
      </c>
      <c r="D120" s="56" t="s">
        <v>78</v>
      </c>
      <c r="E120" s="57" t="s">
        <v>3347</v>
      </c>
      <c r="F120" s="75" t="s">
        <v>251</v>
      </c>
      <c r="G120" s="55" t="s">
        <v>242</v>
      </c>
      <c r="H120" s="58">
        <v>2000</v>
      </c>
      <c r="I120" s="59">
        <f>IF(COUNTIF(MASUK[Kode Barang],REKAP[[#This Row],[ID]])=0,0,COUNTIF(MASUK[Kode Barang],REKAP[[#This Row],[ID]]))</f>
        <v>1</v>
      </c>
      <c r="J120" s="59">
        <f>IF(COUNTIF(MASUK8[Kode Barang],REKAP[[#This Row],[ID]])=0,0,COUNTIF(MASUK8[Kode Barang],REKAP[[#This Row],[ID]]))</f>
        <v>1</v>
      </c>
      <c r="K120" s="60">
        <f>REKAP[[#This Row],[Trx In]]+REKAP[[#This Row],[Trx Out]]</f>
        <v>2</v>
      </c>
      <c r="L120" s="55">
        <v>12</v>
      </c>
      <c r="M120" s="74">
        <f>SUMIF(MASUK!$C:$C,REKAP[[#This Row],[ID]],MASUK!$H:$H)</f>
        <v>8</v>
      </c>
      <c r="N120" s="74">
        <f>SUMIF(KELUAR!$C:$C,REKAP[[#This Row],[ID]],KELUAR!$H:$H)</f>
        <v>8</v>
      </c>
      <c r="O120" s="74">
        <f>REKAP[[#This Row],[Stok Awal]]+REKAP[[#This Row],[Masuk]]-REKAP[[#This Row],[Keluar]]</f>
        <v>12</v>
      </c>
      <c r="P120" s="55">
        <v>12</v>
      </c>
      <c r="Q120" s="62">
        <f>REKAP[[#This Row],[Harga Satuan]]*REKAP[[#This Row],[Stok Akhir]]</f>
        <v>24000</v>
      </c>
      <c r="R120" s="61">
        <f>IF(REKAP[[#This Row],[Stok Aktual]]&lt;&gt;"",REKAP[[#This Row],[Stok Aktual]]-REKAP[[#This Row],[Stok Akhir]],0)</f>
        <v>0</v>
      </c>
      <c r="S120" s="132"/>
      <c r="T120" s="137">
        <f>IF(REKAP[[#This Row],[Selisih]]&lt;=-1,REKAP[[#This Row],[Harga Satuan]]*REKAP[[#This Row],[Selisih]],0)</f>
        <v>0</v>
      </c>
    </row>
    <row r="121" spans="1:20" x14ac:dyDescent="0.25">
      <c r="A121" s="55" t="s">
        <v>313</v>
      </c>
      <c r="B121" s="55" t="s">
        <v>3326</v>
      </c>
      <c r="C121" s="55" t="s">
        <v>3349</v>
      </c>
      <c r="D121" s="56" t="s">
        <v>79</v>
      </c>
      <c r="E121" s="57" t="s">
        <v>3347</v>
      </c>
      <c r="F121" s="75" t="s">
        <v>251</v>
      </c>
      <c r="G121" s="55" t="s">
        <v>10</v>
      </c>
      <c r="H121" s="58">
        <v>1800</v>
      </c>
      <c r="I121" s="59">
        <f>IF(COUNTIF(MASUK[Kode Barang],REKAP[[#This Row],[ID]])=0,0,COUNTIF(MASUK[Kode Barang],REKAP[[#This Row],[ID]]))</f>
        <v>1</v>
      </c>
      <c r="J121" s="59">
        <f>IF(COUNTIF(MASUK8[Kode Barang],REKAP[[#This Row],[ID]])=0,0,COUNTIF(MASUK8[Kode Barang],REKAP[[#This Row],[ID]]))</f>
        <v>1</v>
      </c>
      <c r="K121" s="60">
        <f>REKAP[[#This Row],[Trx In]]+REKAP[[#This Row],[Trx Out]]</f>
        <v>2</v>
      </c>
      <c r="L121" s="55">
        <v>15</v>
      </c>
      <c r="M121" s="74">
        <f>SUMIF(MASUK!$C:$C,REKAP[[#This Row],[ID]],MASUK!$H:$H)</f>
        <v>15</v>
      </c>
      <c r="N121" s="74">
        <f>SUMIF(KELUAR!$C:$C,REKAP[[#This Row],[ID]],KELUAR!$H:$H)</f>
        <v>8</v>
      </c>
      <c r="O121" s="74">
        <f>REKAP[[#This Row],[Stok Awal]]+REKAP[[#This Row],[Masuk]]-REKAP[[#This Row],[Keluar]]</f>
        <v>22</v>
      </c>
      <c r="P121" s="55">
        <v>22</v>
      </c>
      <c r="Q121" s="62">
        <f>REKAP[[#This Row],[Harga Satuan]]*REKAP[[#This Row],[Stok Akhir]]</f>
        <v>39600</v>
      </c>
      <c r="R121" s="61">
        <f>IF(REKAP[[#This Row],[Stok Aktual]]&lt;&gt;"",REKAP[[#This Row],[Stok Aktual]]-REKAP[[#This Row],[Stok Akhir]],0)</f>
        <v>0</v>
      </c>
      <c r="S121" s="132"/>
      <c r="T121" s="137">
        <f>IF(REKAP[[#This Row],[Selisih]]&lt;=-1,REKAP[[#This Row],[Harga Satuan]]*REKAP[[#This Row],[Selisih]],0)</f>
        <v>0</v>
      </c>
    </row>
    <row r="122" spans="1:20" x14ac:dyDescent="0.25">
      <c r="A122" s="55" t="s">
        <v>314</v>
      </c>
      <c r="B122" s="55" t="s">
        <v>3326</v>
      </c>
      <c r="C122" s="55" t="s">
        <v>3349</v>
      </c>
      <c r="D122" s="56" t="s">
        <v>80</v>
      </c>
      <c r="E122" s="57" t="s">
        <v>3347</v>
      </c>
      <c r="F122" s="75" t="s">
        <v>251</v>
      </c>
      <c r="G122" s="55" t="s">
        <v>10</v>
      </c>
      <c r="H122" s="58">
        <v>2500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19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19</v>
      </c>
      <c r="P122" s="55"/>
      <c r="Q122" s="62">
        <f>REKAP[[#This Row],[Harga Satuan]]*REKAP[[#This Row],[Stok Akhir]]</f>
        <v>47500</v>
      </c>
      <c r="R122" s="61">
        <f>IF(REKAP[[#This Row],[Stok Aktual]]&lt;&gt;"",REKAP[[#This Row],[Stok Aktual]]-REKAP[[#This Row],[Stok Akhir]],0)</f>
        <v>0</v>
      </c>
      <c r="S122" s="132"/>
      <c r="T122" s="137">
        <f>IF(REKAP[[#This Row],[Selisih]]&lt;=-1,REKAP[[#This Row],[Harga Satuan]]*REKAP[[#This Row],[Selisih]],0)</f>
        <v>0</v>
      </c>
    </row>
    <row r="123" spans="1:20" x14ac:dyDescent="0.25">
      <c r="A123" s="55" t="s">
        <v>315</v>
      </c>
      <c r="B123" s="55" t="s">
        <v>3326</v>
      </c>
      <c r="C123" s="55" t="s">
        <v>3349</v>
      </c>
      <c r="D123" s="56" t="s">
        <v>81</v>
      </c>
      <c r="E123" s="57" t="s">
        <v>3347</v>
      </c>
      <c r="F123" s="75" t="s">
        <v>251</v>
      </c>
      <c r="G123" s="55" t="s">
        <v>10</v>
      </c>
      <c r="H123" s="58">
        <v>3000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20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20</v>
      </c>
      <c r="P123" s="55"/>
      <c r="Q123" s="62">
        <f>REKAP[[#This Row],[Harga Satuan]]*REKAP[[#This Row],[Stok Akhir]]</f>
        <v>60000</v>
      </c>
      <c r="R123" s="61">
        <f>IF(REKAP[[#This Row],[Stok Aktual]]&lt;&gt;"",REKAP[[#This Row],[Stok Aktual]]-REKAP[[#This Row],[Stok Akhir]],0)</f>
        <v>0</v>
      </c>
      <c r="S123" s="132"/>
      <c r="T123" s="137">
        <f>IF(REKAP[[#This Row],[Selisih]]&lt;=-1,REKAP[[#This Row],[Harga Satuan]]*REKAP[[#This Row],[Selisih]],0)</f>
        <v>0</v>
      </c>
    </row>
    <row r="124" spans="1:20" x14ac:dyDescent="0.25">
      <c r="A124" s="55" t="s">
        <v>316</v>
      </c>
      <c r="B124" s="55" t="s">
        <v>3326</v>
      </c>
      <c r="C124" s="55" t="s">
        <v>3349</v>
      </c>
      <c r="D124" s="56" t="s">
        <v>82</v>
      </c>
      <c r="E124" s="57" t="s">
        <v>3347</v>
      </c>
      <c r="F124" s="75" t="s">
        <v>251</v>
      </c>
      <c r="G124" s="55"/>
      <c r="H124" s="58">
        <v>2350</v>
      </c>
      <c r="I124" s="59">
        <f>IF(COUNTIF(MASUK[Kode Barang],REKAP[[#This Row],[ID]])=0,0,COUNTIF(MASUK[Kode Barang],REKAP[[#This Row],[ID]]))</f>
        <v>2</v>
      </c>
      <c r="J124" s="59">
        <f>IF(COUNTIF(MASUK8[Kode Barang],REKAP[[#This Row],[ID]])=0,0,COUNTIF(MASUK8[Kode Barang],REKAP[[#This Row],[ID]]))</f>
        <v>2</v>
      </c>
      <c r="K124" s="60">
        <f>REKAP[[#This Row],[Trx In]]+REKAP[[#This Row],[Trx Out]]</f>
        <v>4</v>
      </c>
      <c r="L124" s="55">
        <v>9</v>
      </c>
      <c r="M124" s="74">
        <f>SUMIF(MASUK!$C:$C,REKAP[[#This Row],[ID]],MASUK!$H:$H)</f>
        <v>58</v>
      </c>
      <c r="N124" s="74">
        <f>SUMIF(KELUAR!$C:$C,REKAP[[#This Row],[ID]],KELUAR!$H:$H)</f>
        <v>28</v>
      </c>
      <c r="O124" s="74">
        <f>REKAP[[#This Row],[Stok Awal]]+REKAP[[#This Row],[Masuk]]-REKAP[[#This Row],[Keluar]]</f>
        <v>39</v>
      </c>
      <c r="P124" s="55">
        <v>39</v>
      </c>
      <c r="Q124" s="62">
        <f>REKAP[[#This Row],[Harga Satuan]]*REKAP[[#This Row],[Stok Akhir]]</f>
        <v>91650</v>
      </c>
      <c r="R124" s="61">
        <f>IF(REKAP[[#This Row],[Stok Aktual]]&lt;&gt;"",REKAP[[#This Row],[Stok Aktual]]-REKAP[[#This Row],[Stok Akhir]],0)</f>
        <v>0</v>
      </c>
      <c r="S124" s="132"/>
      <c r="T124" s="137">
        <f>IF(REKAP[[#This Row],[Selisih]]&lt;=-1,REKAP[[#This Row],[Harga Satuan]]*REKAP[[#This Row],[Selisih]],0)</f>
        <v>0</v>
      </c>
    </row>
    <row r="125" spans="1:20" x14ac:dyDescent="0.25">
      <c r="A125" s="55" t="s">
        <v>317</v>
      </c>
      <c r="B125" s="55" t="s">
        <v>3326</v>
      </c>
      <c r="C125" s="55" t="s">
        <v>3349</v>
      </c>
      <c r="D125" s="56" t="s">
        <v>83</v>
      </c>
      <c r="E125" s="57" t="s">
        <v>3347</v>
      </c>
      <c r="F125" s="75" t="s">
        <v>251</v>
      </c>
      <c r="G125" s="55" t="s">
        <v>10</v>
      </c>
      <c r="H125" s="58">
        <v>3000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15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15</v>
      </c>
      <c r="P125" s="55"/>
      <c r="Q125" s="62">
        <f>REKAP[[#This Row],[Harga Satuan]]*REKAP[[#This Row],[Stok Akhir]]</f>
        <v>45000</v>
      </c>
      <c r="R125" s="61">
        <f>IF(REKAP[[#This Row],[Stok Aktual]]&lt;&gt;"",REKAP[[#This Row],[Stok Aktual]]-REKAP[[#This Row],[Stok Akhir]],0)</f>
        <v>0</v>
      </c>
      <c r="S125" s="132"/>
      <c r="T125" s="137">
        <f>IF(REKAP[[#This Row],[Selisih]]&lt;=-1,REKAP[[#This Row],[Harga Satuan]]*REKAP[[#This Row],[Selisih]],0)</f>
        <v>0</v>
      </c>
    </row>
    <row r="126" spans="1:20" x14ac:dyDescent="0.25">
      <c r="A126" s="55" t="s">
        <v>318</v>
      </c>
      <c r="B126" s="55" t="s">
        <v>3326</v>
      </c>
      <c r="C126" s="55" t="s">
        <v>3349</v>
      </c>
      <c r="D126" s="56" t="s">
        <v>84</v>
      </c>
      <c r="E126" s="57" t="s">
        <v>3347</v>
      </c>
      <c r="F126" s="75" t="s">
        <v>251</v>
      </c>
      <c r="G126" s="55"/>
      <c r="H126" s="58">
        <v>2600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1</v>
      </c>
      <c r="K126" s="60">
        <f>REKAP[[#This Row],[Trx In]]+REKAP[[#This Row],[Trx Out]]</f>
        <v>1</v>
      </c>
      <c r="L126" s="55">
        <v>13</v>
      </c>
      <c r="M126" s="74">
        <f>SUMIF(MASUK!$C:$C,REKAP[[#This Row],[ID]],MASUK!$H:$H)</f>
        <v>0</v>
      </c>
      <c r="N126" s="74">
        <f>SUMIF(KELUAR!$C:$C,REKAP[[#This Row],[ID]],KELUAR!$H:$H)</f>
        <v>2</v>
      </c>
      <c r="O126" s="74">
        <f>REKAP[[#This Row],[Stok Awal]]+REKAP[[#This Row],[Masuk]]-REKAP[[#This Row],[Keluar]]</f>
        <v>11</v>
      </c>
      <c r="P126" s="55">
        <v>11</v>
      </c>
      <c r="Q126" s="62">
        <f>REKAP[[#This Row],[Harga Satuan]]*REKAP[[#This Row],[Stok Akhir]]</f>
        <v>28600</v>
      </c>
      <c r="R126" s="61">
        <f>IF(REKAP[[#This Row],[Stok Aktual]]&lt;&gt;"",REKAP[[#This Row],[Stok Aktual]]-REKAP[[#This Row],[Stok Akhir]],0)</f>
        <v>0</v>
      </c>
      <c r="S126" s="132"/>
      <c r="T126" s="137">
        <f>IF(REKAP[[#This Row],[Selisih]]&lt;=-1,REKAP[[#This Row],[Harga Satuan]]*REKAP[[#This Row],[Selisih]],0)</f>
        <v>0</v>
      </c>
    </row>
    <row r="127" spans="1:20" x14ac:dyDescent="0.25">
      <c r="A127" s="55" t="s">
        <v>319</v>
      </c>
      <c r="B127" s="55" t="s">
        <v>3326</v>
      </c>
      <c r="C127" s="55" t="s">
        <v>3349</v>
      </c>
      <c r="D127" s="56" t="s">
        <v>85</v>
      </c>
      <c r="E127" s="57" t="s">
        <v>3347</v>
      </c>
      <c r="F127" s="75" t="s">
        <v>251</v>
      </c>
      <c r="G127" s="55"/>
      <c r="H127" s="58">
        <v>2800</v>
      </c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1</v>
      </c>
      <c r="K127" s="60">
        <f>REKAP[[#This Row],[Trx In]]+REKAP[[#This Row],[Trx Out]]</f>
        <v>1</v>
      </c>
      <c r="L127" s="55">
        <v>22</v>
      </c>
      <c r="M127" s="74">
        <f>SUMIF(MASUK!$C:$C,REKAP[[#This Row],[ID]],MASUK!$H:$H)</f>
        <v>0</v>
      </c>
      <c r="N127" s="74">
        <f>SUMIF(KELUAR!$C:$C,REKAP[[#This Row],[ID]],KELUAR!$H:$H)</f>
        <v>8</v>
      </c>
      <c r="O127" s="74">
        <f>REKAP[[#This Row],[Stok Awal]]+REKAP[[#This Row],[Masuk]]-REKAP[[#This Row],[Keluar]]</f>
        <v>14</v>
      </c>
      <c r="P127" s="55">
        <v>14</v>
      </c>
      <c r="Q127" s="62">
        <f>REKAP[[#This Row],[Harga Satuan]]*REKAP[[#This Row],[Stok Akhir]]</f>
        <v>39200</v>
      </c>
      <c r="R127" s="61">
        <f>IF(REKAP[[#This Row],[Stok Aktual]]&lt;&gt;"",REKAP[[#This Row],[Stok Aktual]]-REKAP[[#This Row],[Stok Akhir]],0)</f>
        <v>0</v>
      </c>
      <c r="S127" s="132"/>
      <c r="T127" s="137">
        <f>IF(REKAP[[#This Row],[Selisih]]&lt;=-1,REKAP[[#This Row],[Harga Satuan]]*REKAP[[#This Row],[Selisih]],0)</f>
        <v>0</v>
      </c>
    </row>
    <row r="128" spans="1:20" x14ac:dyDescent="0.25">
      <c r="A128" s="55" t="s">
        <v>320</v>
      </c>
      <c r="B128" s="55" t="s">
        <v>3326</v>
      </c>
      <c r="C128" s="55" t="s">
        <v>3349</v>
      </c>
      <c r="D128" s="56" t="s">
        <v>86</v>
      </c>
      <c r="E128" s="57" t="s">
        <v>3347</v>
      </c>
      <c r="F128" s="75" t="s">
        <v>251</v>
      </c>
      <c r="G128" s="55"/>
      <c r="H128" s="58">
        <v>2900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49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49</v>
      </c>
      <c r="P128" s="55"/>
      <c r="Q128" s="62">
        <f>REKAP[[#This Row],[Harga Satuan]]*REKAP[[#This Row],[Stok Akhir]]</f>
        <v>142100</v>
      </c>
      <c r="R128" s="61">
        <f>IF(REKAP[[#This Row],[Stok Aktual]]&lt;&gt;"",REKAP[[#This Row],[Stok Aktual]]-REKAP[[#This Row],[Stok Akhir]],0)</f>
        <v>0</v>
      </c>
      <c r="S128" s="132"/>
      <c r="T128" s="137">
        <f>IF(REKAP[[#This Row],[Selisih]]&lt;=-1,REKAP[[#This Row],[Harga Satuan]]*REKAP[[#This Row],[Selisih]],0)</f>
        <v>0</v>
      </c>
    </row>
    <row r="129" spans="1:20" x14ac:dyDescent="0.25">
      <c r="A129" s="55" t="s">
        <v>321</v>
      </c>
      <c r="B129" s="55" t="s">
        <v>3326</v>
      </c>
      <c r="C129" s="55" t="s">
        <v>3349</v>
      </c>
      <c r="D129" s="56" t="s">
        <v>87</v>
      </c>
      <c r="E129" s="57" t="s">
        <v>3347</v>
      </c>
      <c r="F129" s="75" t="s">
        <v>251</v>
      </c>
      <c r="G129" s="55"/>
      <c r="H129" s="58">
        <v>3564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22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22</v>
      </c>
      <c r="P129" s="55"/>
      <c r="Q129" s="62">
        <f>REKAP[[#This Row],[Harga Satuan]]*REKAP[[#This Row],[Stok Akhir]]</f>
        <v>78408</v>
      </c>
      <c r="R129" s="61">
        <f>IF(REKAP[[#This Row],[Stok Aktual]]&lt;&gt;"",REKAP[[#This Row],[Stok Aktual]]-REKAP[[#This Row],[Stok Akhir]],0)</f>
        <v>0</v>
      </c>
      <c r="S129" s="132"/>
      <c r="T129" s="137">
        <f>IF(REKAP[[#This Row],[Selisih]]&lt;=-1,REKAP[[#This Row],[Harga Satuan]]*REKAP[[#This Row],[Selisih]],0)</f>
        <v>0</v>
      </c>
    </row>
    <row r="130" spans="1:20" x14ac:dyDescent="0.25">
      <c r="A130" s="55" t="s">
        <v>322</v>
      </c>
      <c r="B130" s="55" t="s">
        <v>3326</v>
      </c>
      <c r="C130" s="55" t="s">
        <v>3349</v>
      </c>
      <c r="D130" s="56" t="s">
        <v>88</v>
      </c>
      <c r="E130" s="57" t="s">
        <v>3347</v>
      </c>
      <c r="F130" s="75" t="s">
        <v>251</v>
      </c>
      <c r="G130" s="55"/>
      <c r="H130" s="58">
        <v>4044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4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4</v>
      </c>
      <c r="P130" s="55"/>
      <c r="Q130" s="62">
        <f>REKAP[[#This Row],[Harga Satuan]]*REKAP[[#This Row],[Stok Akhir]]</f>
        <v>16176</v>
      </c>
      <c r="R130" s="61">
        <f>IF(REKAP[[#This Row],[Stok Aktual]]&lt;&gt;"",REKAP[[#This Row],[Stok Aktual]]-REKAP[[#This Row],[Stok Akhir]],0)</f>
        <v>0</v>
      </c>
      <c r="S130" s="132"/>
      <c r="T130" s="137">
        <f>IF(REKAP[[#This Row],[Selisih]]&lt;=-1,REKAP[[#This Row],[Harga Satuan]]*REKAP[[#This Row],[Selisih]],0)</f>
        <v>0</v>
      </c>
    </row>
    <row r="131" spans="1:20" x14ac:dyDescent="0.25">
      <c r="A131" s="55" t="s">
        <v>323</v>
      </c>
      <c r="B131" s="55" t="s">
        <v>3326</v>
      </c>
      <c r="C131" s="55" t="s">
        <v>3349</v>
      </c>
      <c r="D131" s="56" t="s">
        <v>89</v>
      </c>
      <c r="E131" s="57" t="s">
        <v>3347</v>
      </c>
      <c r="F131" s="75" t="s">
        <v>251</v>
      </c>
      <c r="G131" s="55"/>
      <c r="H131" s="58">
        <v>4000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0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0</v>
      </c>
      <c r="P131" s="55"/>
      <c r="Q131" s="62">
        <f>REKAP[[#This Row],[Harga Satuan]]*REKAP[[#This Row],[Stok Akhir]]</f>
        <v>0</v>
      </c>
      <c r="R131" s="61">
        <f>IF(REKAP[[#This Row],[Stok Aktual]]&lt;&gt;"",REKAP[[#This Row],[Stok Aktual]]-REKAP[[#This Row],[Stok Akhir]],0)</f>
        <v>0</v>
      </c>
      <c r="S131" s="132"/>
      <c r="T131" s="137">
        <f>IF(REKAP[[#This Row],[Selisih]]&lt;=-1,REKAP[[#This Row],[Harga Satuan]]*REKAP[[#This Row],[Selisih]],0)</f>
        <v>0</v>
      </c>
    </row>
    <row r="132" spans="1:20" x14ac:dyDescent="0.25">
      <c r="A132" s="55" t="s">
        <v>324</v>
      </c>
      <c r="B132" s="55" t="s">
        <v>3326</v>
      </c>
      <c r="C132" s="55" t="s">
        <v>3349</v>
      </c>
      <c r="D132" s="56" t="s">
        <v>90</v>
      </c>
      <c r="E132" s="57" t="s">
        <v>3347</v>
      </c>
      <c r="F132" s="75" t="s">
        <v>251</v>
      </c>
      <c r="G132" s="55"/>
      <c r="H132" s="58">
        <v>7020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1</v>
      </c>
      <c r="K132" s="60">
        <f>REKAP[[#This Row],[Trx In]]+REKAP[[#This Row],[Trx Out]]</f>
        <v>1</v>
      </c>
      <c r="L132" s="55">
        <v>4</v>
      </c>
      <c r="M132" s="74">
        <f>SUMIF(MASUK!$C:$C,REKAP[[#This Row],[ID]],MASUK!$H:$H)</f>
        <v>0</v>
      </c>
      <c r="N132" s="74">
        <f>SUMIF(KELUAR!$C:$C,REKAP[[#This Row],[ID]],KELUAR!$H:$H)</f>
        <v>2</v>
      </c>
      <c r="O132" s="74">
        <f>REKAP[[#This Row],[Stok Awal]]+REKAP[[#This Row],[Masuk]]-REKAP[[#This Row],[Keluar]]</f>
        <v>2</v>
      </c>
      <c r="P132" s="55">
        <v>2</v>
      </c>
      <c r="Q132" s="62">
        <f>REKAP[[#This Row],[Harga Satuan]]*REKAP[[#This Row],[Stok Akhir]]</f>
        <v>14040</v>
      </c>
      <c r="R132" s="61">
        <f>IF(REKAP[[#This Row],[Stok Aktual]]&lt;&gt;"",REKAP[[#This Row],[Stok Aktual]]-REKAP[[#This Row],[Stok Akhir]],0)</f>
        <v>0</v>
      </c>
      <c r="S132" s="132"/>
      <c r="T132" s="137">
        <f>IF(REKAP[[#This Row],[Selisih]]&lt;=-1,REKAP[[#This Row],[Harga Satuan]]*REKAP[[#This Row],[Selisih]],0)</f>
        <v>0</v>
      </c>
    </row>
    <row r="133" spans="1:20" x14ac:dyDescent="0.25">
      <c r="A133" s="55" t="s">
        <v>325</v>
      </c>
      <c r="B133" s="55" t="s">
        <v>3326</v>
      </c>
      <c r="C133" s="55" t="s">
        <v>3349</v>
      </c>
      <c r="D133" s="56" t="s">
        <v>91</v>
      </c>
      <c r="E133" s="57" t="s">
        <v>3347</v>
      </c>
      <c r="F133" s="75" t="s">
        <v>251</v>
      </c>
      <c r="G133" s="55" t="s">
        <v>10</v>
      </c>
      <c r="H133" s="58">
        <v>6200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13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13</v>
      </c>
      <c r="P133" s="55"/>
      <c r="Q133" s="62">
        <f>REKAP[[#This Row],[Harga Satuan]]*REKAP[[#This Row],[Stok Akhir]]</f>
        <v>80600</v>
      </c>
      <c r="R133" s="61">
        <f>IF(REKAP[[#This Row],[Stok Aktual]]&lt;&gt;"",REKAP[[#This Row],[Stok Aktual]]-REKAP[[#This Row],[Stok Akhir]],0)</f>
        <v>0</v>
      </c>
      <c r="S133" s="132"/>
      <c r="T133" s="137">
        <f>IF(REKAP[[#This Row],[Selisih]]&lt;=-1,REKAP[[#This Row],[Harga Satuan]]*REKAP[[#This Row],[Selisih]],0)</f>
        <v>0</v>
      </c>
    </row>
    <row r="134" spans="1:20" x14ac:dyDescent="0.25">
      <c r="A134" s="55" t="s">
        <v>326</v>
      </c>
      <c r="B134" s="55" t="s">
        <v>3326</v>
      </c>
      <c r="C134" s="55" t="s">
        <v>3349</v>
      </c>
      <c r="D134" s="56" t="s">
        <v>92</v>
      </c>
      <c r="E134" s="57" t="s">
        <v>3347</v>
      </c>
      <c r="F134" s="75" t="s">
        <v>251</v>
      </c>
      <c r="G134" s="55"/>
      <c r="H134" s="58">
        <v>8085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11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11</v>
      </c>
      <c r="P134" s="55"/>
      <c r="Q134" s="62">
        <f>REKAP[[#This Row],[Harga Satuan]]*REKAP[[#This Row],[Stok Akhir]]</f>
        <v>88935</v>
      </c>
      <c r="R134" s="61">
        <f>IF(REKAP[[#This Row],[Stok Aktual]]&lt;&gt;"",REKAP[[#This Row],[Stok Aktual]]-REKAP[[#This Row],[Stok Akhir]],0)</f>
        <v>0</v>
      </c>
      <c r="S134" s="132"/>
      <c r="T134" s="137">
        <f>IF(REKAP[[#This Row],[Selisih]]&lt;=-1,REKAP[[#This Row],[Harga Satuan]]*REKAP[[#This Row],[Selisih]],0)</f>
        <v>0</v>
      </c>
    </row>
    <row r="135" spans="1:20" x14ac:dyDescent="0.25">
      <c r="A135" s="55" t="s">
        <v>327</v>
      </c>
      <c r="B135" s="55" t="s">
        <v>3326</v>
      </c>
      <c r="C135" s="55" t="s">
        <v>3349</v>
      </c>
      <c r="D135" s="56" t="s">
        <v>93</v>
      </c>
      <c r="E135" s="57" t="s">
        <v>3347</v>
      </c>
      <c r="F135" s="75" t="s">
        <v>251</v>
      </c>
      <c r="G135" s="55"/>
      <c r="H135" s="58">
        <v>900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7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7</v>
      </c>
      <c r="P135" s="55"/>
      <c r="Q135" s="62">
        <f>REKAP[[#This Row],[Harga Satuan]]*REKAP[[#This Row],[Stok Akhir]]</f>
        <v>6300</v>
      </c>
      <c r="R135" s="61">
        <f>IF(REKAP[[#This Row],[Stok Aktual]]&lt;&gt;"",REKAP[[#This Row],[Stok Aktual]]-REKAP[[#This Row],[Stok Akhir]],0)</f>
        <v>0</v>
      </c>
      <c r="S135" s="132"/>
      <c r="T135" s="137">
        <f>IF(REKAP[[#This Row],[Selisih]]&lt;=-1,REKAP[[#This Row],[Harga Satuan]]*REKAP[[#This Row],[Selisih]],0)</f>
        <v>0</v>
      </c>
    </row>
    <row r="136" spans="1:20" x14ac:dyDescent="0.25">
      <c r="A136" s="55" t="s">
        <v>328</v>
      </c>
      <c r="B136" s="55" t="s">
        <v>3326</v>
      </c>
      <c r="C136" s="55" t="s">
        <v>3349</v>
      </c>
      <c r="D136" s="56" t="s">
        <v>94</v>
      </c>
      <c r="E136" s="57" t="s">
        <v>3347</v>
      </c>
      <c r="F136" s="75" t="s">
        <v>251</v>
      </c>
      <c r="G136" s="55"/>
      <c r="H136" s="58">
        <v>15890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10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10</v>
      </c>
      <c r="P136" s="55"/>
      <c r="Q136" s="62">
        <f>REKAP[[#This Row],[Harga Satuan]]*REKAP[[#This Row],[Stok Akhir]]</f>
        <v>158900</v>
      </c>
      <c r="R136" s="61">
        <f>IF(REKAP[[#This Row],[Stok Aktual]]&lt;&gt;"",REKAP[[#This Row],[Stok Aktual]]-REKAP[[#This Row],[Stok Akhir]],0)</f>
        <v>0</v>
      </c>
      <c r="S136" s="132"/>
      <c r="T136" s="137">
        <f>IF(REKAP[[#This Row],[Selisih]]&lt;=-1,REKAP[[#This Row],[Harga Satuan]]*REKAP[[#This Row],[Selisih]],0)</f>
        <v>0</v>
      </c>
    </row>
    <row r="137" spans="1:20" x14ac:dyDescent="0.25">
      <c r="A137" s="55" t="s">
        <v>329</v>
      </c>
      <c r="B137" s="55" t="s">
        <v>3326</v>
      </c>
      <c r="C137" s="55" t="s">
        <v>3349</v>
      </c>
      <c r="D137" s="56" t="s">
        <v>95</v>
      </c>
      <c r="E137" s="57" t="s">
        <v>3347</v>
      </c>
      <c r="F137" s="75" t="s">
        <v>251</v>
      </c>
      <c r="G137" s="55"/>
      <c r="H137" s="58">
        <v>1800</v>
      </c>
      <c r="I137" s="59">
        <f>IF(COUNTIF(MASUK[Kode Barang],REKAP[[#This Row],[ID]])=0,0,COUNTIF(MASUK[Kode Barang],REKAP[[#This Row],[ID]]))</f>
        <v>1</v>
      </c>
      <c r="J137" s="59">
        <f>IF(COUNTIF(MASUK8[Kode Barang],REKAP[[#This Row],[ID]])=0,0,COUNTIF(MASUK8[Kode Barang],REKAP[[#This Row],[ID]]))</f>
        <v>2</v>
      </c>
      <c r="K137" s="60">
        <f>REKAP[[#This Row],[Trx In]]+REKAP[[#This Row],[Trx Out]]</f>
        <v>3</v>
      </c>
      <c r="L137" s="55">
        <v>35</v>
      </c>
      <c r="M137" s="74">
        <f>SUMIF(MASUK!$C:$C,REKAP[[#This Row],[ID]],MASUK!$H:$H)</f>
        <v>16</v>
      </c>
      <c r="N137" s="74">
        <f>SUMIF(KELUAR!$C:$C,REKAP[[#This Row],[ID]],KELUAR!$H:$H)</f>
        <v>22</v>
      </c>
      <c r="O137" s="74">
        <f>REKAP[[#This Row],[Stok Awal]]+REKAP[[#This Row],[Masuk]]-REKAP[[#This Row],[Keluar]]</f>
        <v>29</v>
      </c>
      <c r="P137" s="55">
        <v>29</v>
      </c>
      <c r="Q137" s="62">
        <f>REKAP[[#This Row],[Harga Satuan]]*REKAP[[#This Row],[Stok Akhir]]</f>
        <v>52200</v>
      </c>
      <c r="R137" s="61">
        <f>IF(REKAP[[#This Row],[Stok Aktual]]&lt;&gt;"",REKAP[[#This Row],[Stok Aktual]]-REKAP[[#This Row],[Stok Akhir]],0)</f>
        <v>0</v>
      </c>
      <c r="S137" s="132"/>
      <c r="T137" s="137">
        <f>IF(REKAP[[#This Row],[Selisih]]&lt;=-1,REKAP[[#This Row],[Harga Satuan]]*REKAP[[#This Row],[Selisih]],0)</f>
        <v>0</v>
      </c>
    </row>
    <row r="138" spans="1:20" x14ac:dyDescent="0.25">
      <c r="A138" s="55" t="s">
        <v>330</v>
      </c>
      <c r="B138" s="55" t="s">
        <v>3326</v>
      </c>
      <c r="C138" s="55" t="s">
        <v>3349</v>
      </c>
      <c r="D138" s="56" t="s">
        <v>96</v>
      </c>
      <c r="E138" s="57" t="s">
        <v>3347</v>
      </c>
      <c r="F138" s="75" t="s">
        <v>251</v>
      </c>
      <c r="G138" s="55" t="s">
        <v>10</v>
      </c>
      <c r="H138" s="58">
        <v>2000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15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15</v>
      </c>
      <c r="P138" s="55"/>
      <c r="Q138" s="62">
        <f>REKAP[[#This Row],[Harga Satuan]]*REKAP[[#This Row],[Stok Akhir]]</f>
        <v>30000</v>
      </c>
      <c r="R138" s="61">
        <f>IF(REKAP[[#This Row],[Stok Aktual]]&lt;&gt;"",REKAP[[#This Row],[Stok Aktual]]-REKAP[[#This Row],[Stok Akhir]],0)</f>
        <v>0</v>
      </c>
      <c r="S138" s="132"/>
      <c r="T138" s="137">
        <f>IF(REKAP[[#This Row],[Selisih]]&lt;=-1,REKAP[[#This Row],[Harga Satuan]]*REKAP[[#This Row],[Selisih]],0)</f>
        <v>0</v>
      </c>
    </row>
    <row r="139" spans="1:20" x14ac:dyDescent="0.25">
      <c r="A139" s="55" t="s">
        <v>331</v>
      </c>
      <c r="B139" s="55" t="s">
        <v>3326</v>
      </c>
      <c r="C139" s="55" t="s">
        <v>3349</v>
      </c>
      <c r="D139" s="56" t="s">
        <v>97</v>
      </c>
      <c r="E139" s="57" t="s">
        <v>3347</v>
      </c>
      <c r="F139" s="75" t="s">
        <v>251</v>
      </c>
      <c r="G139" s="55" t="s">
        <v>10</v>
      </c>
      <c r="H139" s="58">
        <v>2000</v>
      </c>
      <c r="I139" s="59">
        <f>IF(COUNTIF(MASUK[Kode Barang],REKAP[[#This Row],[ID]])=0,0,COUNTIF(MASUK[Kode Barang],REKAP[[#This Row],[ID]]))</f>
        <v>3</v>
      </c>
      <c r="J139" s="59">
        <f>IF(COUNTIF(MASUK8[Kode Barang],REKAP[[#This Row],[ID]])=0,0,COUNTIF(MASUK8[Kode Barang],REKAP[[#This Row],[ID]]))</f>
        <v>3</v>
      </c>
      <c r="K139" s="60">
        <f>REKAP[[#This Row],[Trx In]]+REKAP[[#This Row],[Trx Out]]</f>
        <v>6</v>
      </c>
      <c r="L139" s="55">
        <v>7</v>
      </c>
      <c r="M139" s="74">
        <f>SUMIF(MASUK!$C:$C,REKAP[[#This Row],[ID]],MASUK!$H:$H)</f>
        <v>119</v>
      </c>
      <c r="N139" s="74">
        <f>SUMIF(KELUAR!$C:$C,REKAP[[#This Row],[ID]],KELUAR!$H:$H)</f>
        <v>82</v>
      </c>
      <c r="O139" s="74">
        <f>REKAP[[#This Row],[Stok Awal]]+REKAP[[#This Row],[Masuk]]-REKAP[[#This Row],[Keluar]]</f>
        <v>44</v>
      </c>
      <c r="P139" s="55">
        <v>44</v>
      </c>
      <c r="Q139" s="62">
        <f>REKAP[[#This Row],[Harga Satuan]]*REKAP[[#This Row],[Stok Akhir]]</f>
        <v>88000</v>
      </c>
      <c r="R139" s="61">
        <f>IF(REKAP[[#This Row],[Stok Aktual]]&lt;&gt;"",REKAP[[#This Row],[Stok Aktual]]-REKAP[[#This Row],[Stok Akhir]],0)</f>
        <v>0</v>
      </c>
      <c r="S139" s="132"/>
      <c r="T139" s="137">
        <f>IF(REKAP[[#This Row],[Selisih]]&lt;=-1,REKAP[[#This Row],[Harga Satuan]]*REKAP[[#This Row],[Selisih]],0)</f>
        <v>0</v>
      </c>
    </row>
    <row r="140" spans="1:20" x14ac:dyDescent="0.25">
      <c r="A140" s="55" t="s">
        <v>332</v>
      </c>
      <c r="B140" s="55" t="s">
        <v>3326</v>
      </c>
      <c r="C140" s="55" t="s">
        <v>3349</v>
      </c>
      <c r="D140" s="56" t="s">
        <v>98</v>
      </c>
      <c r="E140" s="57" t="s">
        <v>3347</v>
      </c>
      <c r="F140" s="75" t="s">
        <v>251</v>
      </c>
      <c r="G140" s="55" t="s">
        <v>10</v>
      </c>
      <c r="H140" s="58">
        <v>2200</v>
      </c>
      <c r="I140" s="59">
        <f>IF(COUNTIF(MASUK[Kode Barang],REKAP[[#This Row],[ID]])=0,0,COUNTIF(MASUK[Kode Barang],REKAP[[#This Row],[ID]]))</f>
        <v>1</v>
      </c>
      <c r="J140" s="59">
        <f>IF(COUNTIF(MASUK8[Kode Barang],REKAP[[#This Row],[ID]])=0,0,COUNTIF(MASUK8[Kode Barang],REKAP[[#This Row],[ID]]))</f>
        <v>3</v>
      </c>
      <c r="K140" s="60">
        <f>REKAP[[#This Row],[Trx In]]+REKAP[[#This Row],[Trx Out]]</f>
        <v>4</v>
      </c>
      <c r="L140" s="55">
        <v>15</v>
      </c>
      <c r="M140" s="74">
        <f>SUMIF(MASUK!$C:$C,REKAP[[#This Row],[ID]],MASUK!$H:$H)</f>
        <v>22</v>
      </c>
      <c r="N140" s="74">
        <f>SUMIF(KELUAR!$C:$C,REKAP[[#This Row],[ID]],KELUAR!$H:$H)</f>
        <v>16</v>
      </c>
      <c r="O140" s="74">
        <f>REKAP[[#This Row],[Stok Awal]]+REKAP[[#This Row],[Masuk]]-REKAP[[#This Row],[Keluar]]</f>
        <v>21</v>
      </c>
      <c r="P140" s="55">
        <v>21</v>
      </c>
      <c r="Q140" s="62">
        <f>REKAP[[#This Row],[Harga Satuan]]*REKAP[[#This Row],[Stok Akhir]]</f>
        <v>46200</v>
      </c>
      <c r="R140" s="61">
        <f>IF(REKAP[[#This Row],[Stok Aktual]]&lt;&gt;"",REKAP[[#This Row],[Stok Aktual]]-REKAP[[#This Row],[Stok Akhir]],0)</f>
        <v>0</v>
      </c>
      <c r="S140" s="132"/>
      <c r="T140" s="137">
        <f>IF(REKAP[[#This Row],[Selisih]]&lt;=-1,REKAP[[#This Row],[Harga Satuan]]*REKAP[[#This Row],[Selisih]],0)</f>
        <v>0</v>
      </c>
    </row>
    <row r="141" spans="1:20" x14ac:dyDescent="0.25">
      <c r="A141" s="55" t="s">
        <v>333</v>
      </c>
      <c r="B141" s="55" t="s">
        <v>3326</v>
      </c>
      <c r="C141" s="55" t="s">
        <v>3349</v>
      </c>
      <c r="D141" s="56" t="s">
        <v>99</v>
      </c>
      <c r="E141" s="57" t="s">
        <v>3347</v>
      </c>
      <c r="F141" s="75" t="s">
        <v>251</v>
      </c>
      <c r="G141" s="55" t="s">
        <v>10</v>
      </c>
      <c r="H141" s="58">
        <v>2500</v>
      </c>
      <c r="I141" s="59">
        <f>IF(COUNTIF(MASUK[Kode Barang],REKAP[[#This Row],[ID]])=0,0,COUNTIF(MASUK[Kode Barang],REKAP[[#This Row],[ID]]))</f>
        <v>2</v>
      </c>
      <c r="J141" s="59">
        <f>IF(COUNTIF(MASUK8[Kode Barang],REKAP[[#This Row],[ID]])=0,0,COUNTIF(MASUK8[Kode Barang],REKAP[[#This Row],[ID]]))</f>
        <v>3</v>
      </c>
      <c r="K141" s="60">
        <f>REKAP[[#This Row],[Trx In]]+REKAP[[#This Row],[Trx Out]]</f>
        <v>5</v>
      </c>
      <c r="L141" s="55">
        <v>14</v>
      </c>
      <c r="M141" s="74">
        <f>SUMIF(MASUK!$C:$C,REKAP[[#This Row],[ID]],MASUK!$H:$H)</f>
        <v>42</v>
      </c>
      <c r="N141" s="74">
        <f>SUMIF(KELUAR!$C:$C,REKAP[[#This Row],[ID]],KELUAR!$H:$H)</f>
        <v>40</v>
      </c>
      <c r="O141" s="74">
        <f>REKAP[[#This Row],[Stok Awal]]+REKAP[[#This Row],[Masuk]]-REKAP[[#This Row],[Keluar]]</f>
        <v>16</v>
      </c>
      <c r="P141" s="55">
        <v>16</v>
      </c>
      <c r="Q141" s="62">
        <f>REKAP[[#This Row],[Harga Satuan]]*REKAP[[#This Row],[Stok Akhir]]</f>
        <v>40000</v>
      </c>
      <c r="R141" s="61">
        <f>IF(REKAP[[#This Row],[Stok Aktual]]&lt;&gt;"",REKAP[[#This Row],[Stok Aktual]]-REKAP[[#This Row],[Stok Akhir]],0)</f>
        <v>0</v>
      </c>
      <c r="S141" s="132"/>
      <c r="T141" s="137">
        <f>IF(REKAP[[#This Row],[Selisih]]&lt;=-1,REKAP[[#This Row],[Harga Satuan]]*REKAP[[#This Row],[Selisih]],0)</f>
        <v>0</v>
      </c>
    </row>
    <row r="142" spans="1:20" x14ac:dyDescent="0.25">
      <c r="A142" s="55" t="s">
        <v>334</v>
      </c>
      <c r="B142" s="55" t="s">
        <v>3326</v>
      </c>
      <c r="C142" s="55" t="s">
        <v>3349</v>
      </c>
      <c r="D142" s="56" t="s">
        <v>100</v>
      </c>
      <c r="E142" s="57" t="s">
        <v>3347</v>
      </c>
      <c r="F142" s="75" t="s">
        <v>251</v>
      </c>
      <c r="G142" s="55" t="s">
        <v>10</v>
      </c>
      <c r="H142" s="58">
        <v>3000</v>
      </c>
      <c r="I142" s="59">
        <f>IF(COUNTIF(MASUK[Kode Barang],REKAP[[#This Row],[ID]])=0,0,COUNTIF(MASUK[Kode Barang],REKAP[[#This Row],[ID]]))</f>
        <v>1</v>
      </c>
      <c r="J142" s="59">
        <f>IF(COUNTIF(MASUK8[Kode Barang],REKAP[[#This Row],[ID]])=0,0,COUNTIF(MASUK8[Kode Barang],REKAP[[#This Row],[ID]]))</f>
        <v>3</v>
      </c>
      <c r="K142" s="60">
        <f>REKAP[[#This Row],[Trx In]]+REKAP[[#This Row],[Trx Out]]</f>
        <v>4</v>
      </c>
      <c r="L142" s="55">
        <v>33</v>
      </c>
      <c r="M142" s="74">
        <f>SUMIF(MASUK!$C:$C,REKAP[[#This Row],[ID]],MASUK!$H:$H)</f>
        <v>12</v>
      </c>
      <c r="N142" s="74">
        <f>SUMIF(KELUAR!$C:$C,REKAP[[#This Row],[ID]],KELUAR!$H:$H)</f>
        <v>24</v>
      </c>
      <c r="O142" s="74">
        <f>REKAP[[#This Row],[Stok Awal]]+REKAP[[#This Row],[Masuk]]-REKAP[[#This Row],[Keluar]]</f>
        <v>21</v>
      </c>
      <c r="P142" s="55">
        <v>21</v>
      </c>
      <c r="Q142" s="62">
        <f>REKAP[[#This Row],[Harga Satuan]]*REKAP[[#This Row],[Stok Akhir]]</f>
        <v>63000</v>
      </c>
      <c r="R142" s="61">
        <f>IF(REKAP[[#This Row],[Stok Aktual]]&lt;&gt;"",REKAP[[#This Row],[Stok Aktual]]-REKAP[[#This Row],[Stok Akhir]],0)</f>
        <v>0</v>
      </c>
      <c r="S142" s="132"/>
      <c r="T142" s="137">
        <f>IF(REKAP[[#This Row],[Selisih]]&lt;=-1,REKAP[[#This Row],[Harga Satuan]]*REKAP[[#This Row],[Selisih]],0)</f>
        <v>0</v>
      </c>
    </row>
    <row r="143" spans="1:20" x14ac:dyDescent="0.25">
      <c r="A143" s="55" t="s">
        <v>335</v>
      </c>
      <c r="B143" s="55" t="s">
        <v>3326</v>
      </c>
      <c r="C143" s="55" t="s">
        <v>3349</v>
      </c>
      <c r="D143" s="56" t="s">
        <v>101</v>
      </c>
      <c r="E143" s="57" t="s">
        <v>3347</v>
      </c>
      <c r="F143" s="75" t="s">
        <v>251</v>
      </c>
      <c r="G143" s="55" t="s">
        <v>10</v>
      </c>
      <c r="H143" s="58">
        <v>3500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13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13</v>
      </c>
      <c r="P143" s="55"/>
      <c r="Q143" s="62">
        <f>REKAP[[#This Row],[Harga Satuan]]*REKAP[[#This Row],[Stok Akhir]]</f>
        <v>45500</v>
      </c>
      <c r="R143" s="61">
        <f>IF(REKAP[[#This Row],[Stok Aktual]]&lt;&gt;"",REKAP[[#This Row],[Stok Aktual]]-REKAP[[#This Row],[Stok Akhir]],0)</f>
        <v>0</v>
      </c>
      <c r="S143" s="132"/>
      <c r="T143" s="137">
        <f>IF(REKAP[[#This Row],[Selisih]]&lt;=-1,REKAP[[#This Row],[Harga Satuan]]*REKAP[[#This Row],[Selisih]],0)</f>
        <v>0</v>
      </c>
    </row>
    <row r="144" spans="1:20" x14ac:dyDescent="0.25">
      <c r="A144" s="55" t="s">
        <v>336</v>
      </c>
      <c r="B144" s="55" t="s">
        <v>3326</v>
      </c>
      <c r="C144" s="55" t="s">
        <v>3349</v>
      </c>
      <c r="D144" s="56" t="s">
        <v>102</v>
      </c>
      <c r="E144" s="57" t="s">
        <v>3347</v>
      </c>
      <c r="F144" s="75" t="s">
        <v>251</v>
      </c>
      <c r="G144" s="55"/>
      <c r="H144" s="58">
        <v>4000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15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15</v>
      </c>
      <c r="P144" s="55"/>
      <c r="Q144" s="62">
        <f>REKAP[[#This Row],[Harga Satuan]]*REKAP[[#This Row],[Stok Akhir]]</f>
        <v>60000</v>
      </c>
      <c r="R144" s="61">
        <f>IF(REKAP[[#This Row],[Stok Aktual]]&lt;&gt;"",REKAP[[#This Row],[Stok Aktual]]-REKAP[[#This Row],[Stok Akhir]],0)</f>
        <v>0</v>
      </c>
      <c r="S144" s="132"/>
      <c r="T144" s="137">
        <f>IF(REKAP[[#This Row],[Selisih]]&lt;=-1,REKAP[[#This Row],[Harga Satuan]]*REKAP[[#This Row],[Selisih]],0)</f>
        <v>0</v>
      </c>
    </row>
    <row r="145" spans="1:20" x14ac:dyDescent="0.25">
      <c r="A145" s="55" t="s">
        <v>337</v>
      </c>
      <c r="B145" s="55" t="s">
        <v>3326</v>
      </c>
      <c r="C145" s="55" t="s">
        <v>3349</v>
      </c>
      <c r="D145" s="56" t="s">
        <v>103</v>
      </c>
      <c r="E145" s="57" t="s">
        <v>3347</v>
      </c>
      <c r="F145" s="75" t="s">
        <v>251</v>
      </c>
      <c r="G145" s="55" t="s">
        <v>10</v>
      </c>
      <c r="H145" s="58">
        <v>3300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1</v>
      </c>
      <c r="K145" s="60">
        <f>REKAP[[#This Row],[Trx In]]+REKAP[[#This Row],[Trx Out]]</f>
        <v>1</v>
      </c>
      <c r="L145" s="55">
        <v>19</v>
      </c>
      <c r="M145" s="74">
        <f>SUMIF(MASUK!$C:$C,REKAP[[#This Row],[ID]],MASUK!$H:$H)</f>
        <v>0</v>
      </c>
      <c r="N145" s="74">
        <f>SUMIF(KELUAR!$C:$C,REKAP[[#This Row],[ID]],KELUAR!$H:$H)</f>
        <v>2</v>
      </c>
      <c r="O145" s="74">
        <f>REKAP[[#This Row],[Stok Awal]]+REKAP[[#This Row],[Masuk]]-REKAP[[#This Row],[Keluar]]</f>
        <v>17</v>
      </c>
      <c r="P145" s="55">
        <v>17</v>
      </c>
      <c r="Q145" s="62">
        <f>REKAP[[#This Row],[Harga Satuan]]*REKAP[[#This Row],[Stok Akhir]]</f>
        <v>56100</v>
      </c>
      <c r="R145" s="61">
        <f>IF(REKAP[[#This Row],[Stok Aktual]]&lt;&gt;"",REKAP[[#This Row],[Stok Aktual]]-REKAP[[#This Row],[Stok Akhir]],0)</f>
        <v>0</v>
      </c>
      <c r="S145" s="132"/>
      <c r="T145" s="137">
        <f>IF(REKAP[[#This Row],[Selisih]]&lt;=-1,REKAP[[#This Row],[Harga Satuan]]*REKAP[[#This Row],[Selisih]],0)</f>
        <v>0</v>
      </c>
    </row>
    <row r="146" spans="1:20" x14ac:dyDescent="0.25">
      <c r="A146" s="55" t="s">
        <v>338</v>
      </c>
      <c r="B146" s="55" t="s">
        <v>3326</v>
      </c>
      <c r="C146" s="55" t="s">
        <v>3349</v>
      </c>
      <c r="D146" s="56" t="s">
        <v>104</v>
      </c>
      <c r="E146" s="57" t="s">
        <v>3347</v>
      </c>
      <c r="F146" s="75" t="s">
        <v>251</v>
      </c>
      <c r="G146" s="55"/>
      <c r="H146" s="58">
        <v>3500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57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57</v>
      </c>
      <c r="P146" s="55"/>
      <c r="Q146" s="62">
        <f>REKAP[[#This Row],[Harga Satuan]]*REKAP[[#This Row],[Stok Akhir]]</f>
        <v>199500</v>
      </c>
      <c r="R146" s="61">
        <f>IF(REKAP[[#This Row],[Stok Aktual]]&lt;&gt;"",REKAP[[#This Row],[Stok Aktual]]-REKAP[[#This Row],[Stok Akhir]],0)</f>
        <v>0</v>
      </c>
      <c r="S146" s="132"/>
      <c r="T146" s="137">
        <f>IF(REKAP[[#This Row],[Selisih]]&lt;=-1,REKAP[[#This Row],[Harga Satuan]]*REKAP[[#This Row],[Selisih]],0)</f>
        <v>0</v>
      </c>
    </row>
    <row r="147" spans="1:20" x14ac:dyDescent="0.25">
      <c r="A147" s="55" t="s">
        <v>339</v>
      </c>
      <c r="B147" s="55" t="s">
        <v>3326</v>
      </c>
      <c r="C147" s="55" t="s">
        <v>3349</v>
      </c>
      <c r="D147" s="56" t="s">
        <v>105</v>
      </c>
      <c r="E147" s="57" t="s">
        <v>3347</v>
      </c>
      <c r="F147" s="75" t="s">
        <v>251</v>
      </c>
      <c r="G147" s="55"/>
      <c r="H147" s="58">
        <v>3600</v>
      </c>
      <c r="I147" s="59">
        <f>IF(COUNTIF(MASUK[Kode Barang],REKAP[[#This Row],[ID]])=0,0,COUNTIF(MASUK[Kode Barang],REKAP[[#This Row],[ID]]))</f>
        <v>1</v>
      </c>
      <c r="J147" s="59">
        <f>IF(COUNTIF(MASUK8[Kode Barang],REKAP[[#This Row],[ID]])=0,0,COUNTIF(MASUK8[Kode Barang],REKAP[[#This Row],[ID]]))</f>
        <v>3</v>
      </c>
      <c r="K147" s="60">
        <f>REKAP[[#This Row],[Trx In]]+REKAP[[#This Row],[Trx Out]]</f>
        <v>4</v>
      </c>
      <c r="L147" s="55">
        <v>15</v>
      </c>
      <c r="M147" s="74">
        <f>SUMIF(MASUK!$C:$C,REKAP[[#This Row],[ID]],MASUK!$H:$H)</f>
        <v>2</v>
      </c>
      <c r="N147" s="74">
        <f>SUMIF(KELUAR!$C:$C,REKAP[[#This Row],[ID]],KELUAR!$H:$H)</f>
        <v>16</v>
      </c>
      <c r="O147" s="74">
        <f>REKAP[[#This Row],[Stok Awal]]+REKAP[[#This Row],[Masuk]]-REKAP[[#This Row],[Keluar]]</f>
        <v>1</v>
      </c>
      <c r="P147" s="55">
        <v>1</v>
      </c>
      <c r="Q147" s="62">
        <f>REKAP[[#This Row],[Harga Satuan]]*REKAP[[#This Row],[Stok Akhir]]</f>
        <v>3600</v>
      </c>
      <c r="R147" s="61">
        <f>IF(REKAP[[#This Row],[Stok Aktual]]&lt;&gt;"",REKAP[[#This Row],[Stok Aktual]]-REKAP[[#This Row],[Stok Akhir]],0)</f>
        <v>0</v>
      </c>
      <c r="S147" s="132"/>
      <c r="T147" s="137">
        <f>IF(REKAP[[#This Row],[Selisih]]&lt;=-1,REKAP[[#This Row],[Harga Satuan]]*REKAP[[#This Row],[Selisih]],0)</f>
        <v>0</v>
      </c>
    </row>
    <row r="148" spans="1:20" x14ac:dyDescent="0.25">
      <c r="A148" s="55" t="s">
        <v>340</v>
      </c>
      <c r="B148" s="55" t="s">
        <v>3326</v>
      </c>
      <c r="C148" s="55" t="s">
        <v>3349</v>
      </c>
      <c r="D148" s="56" t="s">
        <v>106</v>
      </c>
      <c r="E148" s="57" t="s">
        <v>3347</v>
      </c>
      <c r="F148" s="75" t="s">
        <v>251</v>
      </c>
      <c r="G148" s="55" t="s">
        <v>10</v>
      </c>
      <c r="H148" s="58">
        <v>4000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21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21</v>
      </c>
      <c r="P148" s="55"/>
      <c r="Q148" s="62">
        <f>REKAP[[#This Row],[Harga Satuan]]*REKAP[[#This Row],[Stok Akhir]]</f>
        <v>84000</v>
      </c>
      <c r="R148" s="61">
        <f>IF(REKAP[[#This Row],[Stok Aktual]]&lt;&gt;"",REKAP[[#This Row],[Stok Aktual]]-REKAP[[#This Row],[Stok Akhir]],0)</f>
        <v>0</v>
      </c>
      <c r="S148" s="132"/>
      <c r="T148" s="137">
        <f>IF(REKAP[[#This Row],[Selisih]]&lt;=-1,REKAP[[#This Row],[Harga Satuan]]*REKAP[[#This Row],[Selisih]],0)</f>
        <v>0</v>
      </c>
    </row>
    <row r="149" spans="1:20" x14ac:dyDescent="0.25">
      <c r="A149" s="55" t="s">
        <v>341</v>
      </c>
      <c r="B149" s="55" t="s">
        <v>3326</v>
      </c>
      <c r="C149" s="55" t="s">
        <v>3349</v>
      </c>
      <c r="D149" s="56" t="s">
        <v>107</v>
      </c>
      <c r="E149" s="57" t="s">
        <v>3347</v>
      </c>
      <c r="F149" s="75" t="s">
        <v>251</v>
      </c>
      <c r="G149" s="55"/>
      <c r="H149" s="58">
        <v>4250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11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11</v>
      </c>
      <c r="P149" s="55"/>
      <c r="Q149" s="62">
        <f>REKAP[[#This Row],[Harga Satuan]]*REKAP[[#This Row],[Stok Akhir]]</f>
        <v>46750</v>
      </c>
      <c r="R149" s="61">
        <f>IF(REKAP[[#This Row],[Stok Aktual]]&lt;&gt;"",REKAP[[#This Row],[Stok Aktual]]-REKAP[[#This Row],[Stok Akhir]],0)</f>
        <v>0</v>
      </c>
      <c r="S149" s="132"/>
      <c r="T149" s="137">
        <f>IF(REKAP[[#This Row],[Selisih]]&lt;=-1,REKAP[[#This Row],[Harga Satuan]]*REKAP[[#This Row],[Selisih]],0)</f>
        <v>0</v>
      </c>
    </row>
    <row r="150" spans="1:20" x14ac:dyDescent="0.25">
      <c r="A150" s="55" t="s">
        <v>342</v>
      </c>
      <c r="B150" s="55" t="s">
        <v>3326</v>
      </c>
      <c r="C150" s="55" t="s">
        <v>3349</v>
      </c>
      <c r="D150" s="56" t="s">
        <v>108</v>
      </c>
      <c r="E150" s="57" t="s">
        <v>3347</v>
      </c>
      <c r="F150" s="75" t="s">
        <v>251</v>
      </c>
      <c r="G150" s="55"/>
      <c r="H150" s="58">
        <v>3400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1</v>
      </c>
      <c r="K150" s="60">
        <f>REKAP[[#This Row],[Trx In]]+REKAP[[#This Row],[Trx Out]]</f>
        <v>1</v>
      </c>
      <c r="L150" s="55">
        <v>29</v>
      </c>
      <c r="M150" s="74">
        <f>SUMIF(MASUK!$C:$C,REKAP[[#This Row],[ID]],MASUK!$H:$H)</f>
        <v>0</v>
      </c>
      <c r="N150" s="74">
        <f>SUMIF(KELUAR!$C:$C,REKAP[[#This Row],[ID]],KELUAR!$H:$H)</f>
        <v>4</v>
      </c>
      <c r="O150" s="74">
        <f>REKAP[[#This Row],[Stok Awal]]+REKAP[[#This Row],[Masuk]]-REKAP[[#This Row],[Keluar]]</f>
        <v>25</v>
      </c>
      <c r="P150" s="55">
        <v>25</v>
      </c>
      <c r="Q150" s="62">
        <f>REKAP[[#This Row],[Harga Satuan]]*REKAP[[#This Row],[Stok Akhir]]</f>
        <v>85000</v>
      </c>
      <c r="R150" s="61">
        <f>IF(REKAP[[#This Row],[Stok Aktual]]&lt;&gt;"",REKAP[[#This Row],[Stok Aktual]]-REKAP[[#This Row],[Stok Akhir]],0)</f>
        <v>0</v>
      </c>
      <c r="S150" s="132"/>
      <c r="T150" s="137">
        <f>IF(REKAP[[#This Row],[Selisih]]&lt;=-1,REKAP[[#This Row],[Harga Satuan]]*REKAP[[#This Row],[Selisih]],0)</f>
        <v>0</v>
      </c>
    </row>
    <row r="151" spans="1:20" x14ac:dyDescent="0.25">
      <c r="A151" s="55" t="s">
        <v>343</v>
      </c>
      <c r="B151" s="55" t="s">
        <v>3326</v>
      </c>
      <c r="C151" s="55" t="s">
        <v>3349</v>
      </c>
      <c r="D151" s="56" t="s">
        <v>109</v>
      </c>
      <c r="E151" s="57" t="s">
        <v>3347</v>
      </c>
      <c r="F151" s="75" t="s">
        <v>251</v>
      </c>
      <c r="G151" s="55"/>
      <c r="H151" s="58">
        <v>6864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34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34</v>
      </c>
      <c r="P151" s="55"/>
      <c r="Q151" s="62">
        <f>REKAP[[#This Row],[Harga Satuan]]*REKAP[[#This Row],[Stok Akhir]]</f>
        <v>233376</v>
      </c>
      <c r="R151" s="61">
        <f>IF(REKAP[[#This Row],[Stok Aktual]]&lt;&gt;"",REKAP[[#This Row],[Stok Aktual]]-REKAP[[#This Row],[Stok Akhir]],0)</f>
        <v>0</v>
      </c>
      <c r="S151" s="132"/>
      <c r="T151" s="137">
        <f>IF(REKAP[[#This Row],[Selisih]]&lt;=-1,REKAP[[#This Row],[Harga Satuan]]*REKAP[[#This Row],[Selisih]],0)</f>
        <v>0</v>
      </c>
    </row>
    <row r="152" spans="1:20" x14ac:dyDescent="0.25">
      <c r="A152" s="55" t="s">
        <v>344</v>
      </c>
      <c r="B152" s="55" t="s">
        <v>3326</v>
      </c>
      <c r="C152" s="55" t="s">
        <v>3349</v>
      </c>
      <c r="D152" s="56" t="s">
        <v>110</v>
      </c>
      <c r="E152" s="57" t="s">
        <v>3347</v>
      </c>
      <c r="F152" s="75" t="s">
        <v>251</v>
      </c>
      <c r="G152" s="55"/>
      <c r="H152" s="58">
        <v>4800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19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19</v>
      </c>
      <c r="P152" s="55"/>
      <c r="Q152" s="62">
        <f>REKAP[[#This Row],[Harga Satuan]]*REKAP[[#This Row],[Stok Akhir]]</f>
        <v>91200</v>
      </c>
      <c r="R152" s="61">
        <f>IF(REKAP[[#This Row],[Stok Aktual]]&lt;&gt;"",REKAP[[#This Row],[Stok Aktual]]-REKAP[[#This Row],[Stok Akhir]],0)</f>
        <v>0</v>
      </c>
      <c r="S152" s="132"/>
      <c r="T152" s="137">
        <f>IF(REKAP[[#This Row],[Selisih]]&lt;=-1,REKAP[[#This Row],[Harga Satuan]]*REKAP[[#This Row],[Selisih]],0)</f>
        <v>0</v>
      </c>
    </row>
    <row r="153" spans="1:20" x14ac:dyDescent="0.25">
      <c r="A153" s="55" t="s">
        <v>345</v>
      </c>
      <c r="B153" s="55" t="s">
        <v>3326</v>
      </c>
      <c r="C153" s="55" t="s">
        <v>3349</v>
      </c>
      <c r="D153" s="56" t="s">
        <v>111</v>
      </c>
      <c r="E153" s="57" t="s">
        <v>3347</v>
      </c>
      <c r="F153" s="75" t="s">
        <v>251</v>
      </c>
      <c r="G153" s="55" t="s">
        <v>10</v>
      </c>
      <c r="H153" s="58">
        <v>5800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12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12</v>
      </c>
      <c r="P153" s="55"/>
      <c r="Q153" s="62">
        <f>REKAP[[#This Row],[Harga Satuan]]*REKAP[[#This Row],[Stok Akhir]]</f>
        <v>69600</v>
      </c>
      <c r="R153" s="61">
        <f>IF(REKAP[[#This Row],[Stok Aktual]]&lt;&gt;"",REKAP[[#This Row],[Stok Aktual]]-REKAP[[#This Row],[Stok Akhir]],0)</f>
        <v>0</v>
      </c>
      <c r="S153" s="132"/>
      <c r="T153" s="137">
        <f>IF(REKAP[[#This Row],[Selisih]]&lt;=-1,REKAP[[#This Row],[Harga Satuan]]*REKAP[[#This Row],[Selisih]],0)</f>
        <v>0</v>
      </c>
    </row>
    <row r="154" spans="1:20" x14ac:dyDescent="0.25">
      <c r="A154" s="55" t="s">
        <v>346</v>
      </c>
      <c r="B154" s="55" t="s">
        <v>3326</v>
      </c>
      <c r="C154" s="55" t="s">
        <v>3349</v>
      </c>
      <c r="D154" s="56" t="s">
        <v>112</v>
      </c>
      <c r="E154" s="57" t="s">
        <v>3347</v>
      </c>
      <c r="F154" s="75" t="s">
        <v>251</v>
      </c>
      <c r="G154" s="55" t="s">
        <v>10</v>
      </c>
      <c r="H154" s="58">
        <v>6500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0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0</v>
      </c>
      <c r="P154" s="55"/>
      <c r="Q154" s="62">
        <f>REKAP[[#This Row],[Harga Satuan]]*REKAP[[#This Row],[Stok Akhir]]</f>
        <v>0</v>
      </c>
      <c r="R154" s="61">
        <f>IF(REKAP[[#This Row],[Stok Aktual]]&lt;&gt;"",REKAP[[#This Row],[Stok Aktual]]-REKAP[[#This Row],[Stok Akhir]],0)</f>
        <v>0</v>
      </c>
      <c r="S154" s="132"/>
      <c r="T154" s="137">
        <f>IF(REKAP[[#This Row],[Selisih]]&lt;=-1,REKAP[[#This Row],[Harga Satuan]]*REKAP[[#This Row],[Selisih]],0)</f>
        <v>0</v>
      </c>
    </row>
    <row r="155" spans="1:20" x14ac:dyDescent="0.25">
      <c r="A155" s="55" t="s">
        <v>347</v>
      </c>
      <c r="B155" s="55" t="s">
        <v>3326</v>
      </c>
      <c r="C155" s="55" t="s">
        <v>3349</v>
      </c>
      <c r="D155" s="56" t="s">
        <v>113</v>
      </c>
      <c r="E155" s="57" t="s">
        <v>3347</v>
      </c>
      <c r="F155" s="75" t="s">
        <v>251</v>
      </c>
      <c r="G155" s="55" t="s">
        <v>10</v>
      </c>
      <c r="H155" s="58">
        <v>9000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6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6</v>
      </c>
      <c r="P155" s="55"/>
      <c r="Q155" s="62">
        <f>REKAP[[#This Row],[Harga Satuan]]*REKAP[[#This Row],[Stok Akhir]]</f>
        <v>54000</v>
      </c>
      <c r="R155" s="61">
        <f>IF(REKAP[[#This Row],[Stok Aktual]]&lt;&gt;"",REKAP[[#This Row],[Stok Aktual]]-REKAP[[#This Row],[Stok Akhir]],0)</f>
        <v>0</v>
      </c>
      <c r="S155" s="132"/>
      <c r="T155" s="137">
        <f>IF(REKAP[[#This Row],[Selisih]]&lt;=-1,REKAP[[#This Row],[Harga Satuan]]*REKAP[[#This Row],[Selisih]],0)</f>
        <v>0</v>
      </c>
    </row>
    <row r="156" spans="1:20" x14ac:dyDescent="0.25">
      <c r="A156" s="55" t="s">
        <v>348</v>
      </c>
      <c r="B156" s="55" t="s">
        <v>3326</v>
      </c>
      <c r="C156" s="55" t="s">
        <v>3349</v>
      </c>
      <c r="D156" s="56" t="s">
        <v>114</v>
      </c>
      <c r="E156" s="57" t="s">
        <v>3347</v>
      </c>
      <c r="F156" s="75" t="s">
        <v>251</v>
      </c>
      <c r="G156" s="55" t="s">
        <v>10</v>
      </c>
      <c r="H156" s="58">
        <v>10000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20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20</v>
      </c>
      <c r="P156" s="55"/>
      <c r="Q156" s="62">
        <f>REKAP[[#This Row],[Harga Satuan]]*REKAP[[#This Row],[Stok Akhir]]</f>
        <v>200000</v>
      </c>
      <c r="R156" s="61">
        <f>IF(REKAP[[#This Row],[Stok Aktual]]&lt;&gt;"",REKAP[[#This Row],[Stok Aktual]]-REKAP[[#This Row],[Stok Akhir]],0)</f>
        <v>0</v>
      </c>
      <c r="S156" s="132"/>
      <c r="T156" s="137">
        <f>IF(REKAP[[#This Row],[Selisih]]&lt;=-1,REKAP[[#This Row],[Harga Satuan]]*REKAP[[#This Row],[Selisih]],0)</f>
        <v>0</v>
      </c>
    </row>
    <row r="157" spans="1:20" x14ac:dyDescent="0.25">
      <c r="A157" s="55" t="s">
        <v>349</v>
      </c>
      <c r="B157" s="55" t="s">
        <v>3326</v>
      </c>
      <c r="C157" s="55" t="s">
        <v>3349</v>
      </c>
      <c r="D157" s="56" t="s">
        <v>115</v>
      </c>
      <c r="E157" s="57" t="s">
        <v>3347</v>
      </c>
      <c r="F157" s="75" t="s">
        <v>251</v>
      </c>
      <c r="G157" s="55" t="s">
        <v>243</v>
      </c>
      <c r="H157" s="58">
        <v>9424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9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9</v>
      </c>
      <c r="P157" s="55"/>
      <c r="Q157" s="62">
        <f>REKAP[[#This Row],[Harga Satuan]]*REKAP[[#This Row],[Stok Akhir]]</f>
        <v>84816</v>
      </c>
      <c r="R157" s="61">
        <f>IF(REKAP[[#This Row],[Stok Aktual]]&lt;&gt;"",REKAP[[#This Row],[Stok Aktual]]-REKAP[[#This Row],[Stok Akhir]],0)</f>
        <v>0</v>
      </c>
      <c r="S157" s="132"/>
      <c r="T157" s="137">
        <f>IF(REKAP[[#This Row],[Selisih]]&lt;=-1,REKAP[[#This Row],[Harga Satuan]]*REKAP[[#This Row],[Selisih]],0)</f>
        <v>0</v>
      </c>
    </row>
    <row r="158" spans="1:20" x14ac:dyDescent="0.25">
      <c r="A158" s="55" t="s">
        <v>350</v>
      </c>
      <c r="B158" s="55" t="s">
        <v>3326</v>
      </c>
      <c r="C158" s="55" t="s">
        <v>3349</v>
      </c>
      <c r="D158" s="56" t="s">
        <v>116</v>
      </c>
      <c r="E158" s="57" t="s">
        <v>3347</v>
      </c>
      <c r="F158" s="75" t="s">
        <v>251</v>
      </c>
      <c r="G158" s="55" t="s">
        <v>243</v>
      </c>
      <c r="H158" s="58">
        <v>10054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6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6</v>
      </c>
      <c r="P158" s="55"/>
      <c r="Q158" s="62">
        <f>REKAP[[#This Row],[Harga Satuan]]*REKAP[[#This Row],[Stok Akhir]]</f>
        <v>60324</v>
      </c>
      <c r="R158" s="61">
        <f>IF(REKAP[[#This Row],[Stok Aktual]]&lt;&gt;"",REKAP[[#This Row],[Stok Aktual]]-REKAP[[#This Row],[Stok Akhir]],0)</f>
        <v>0</v>
      </c>
      <c r="S158" s="132"/>
      <c r="T158" s="137">
        <f>IF(REKAP[[#This Row],[Selisih]]&lt;=-1,REKAP[[#This Row],[Harga Satuan]]*REKAP[[#This Row],[Selisih]],0)</f>
        <v>0</v>
      </c>
    </row>
    <row r="159" spans="1:20" x14ac:dyDescent="0.25">
      <c r="A159" s="55" t="s">
        <v>351</v>
      </c>
      <c r="B159" s="55" t="s">
        <v>3326</v>
      </c>
      <c r="C159" s="55" t="s">
        <v>3349</v>
      </c>
      <c r="D159" s="56" t="s">
        <v>117</v>
      </c>
      <c r="E159" s="57" t="s">
        <v>3347</v>
      </c>
      <c r="F159" s="75" t="s">
        <v>251</v>
      </c>
      <c r="G159" s="55"/>
      <c r="H159" s="58">
        <v>10000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5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5</v>
      </c>
      <c r="P159" s="55"/>
      <c r="Q159" s="62">
        <f>REKAP[[#This Row],[Harga Satuan]]*REKAP[[#This Row],[Stok Akhir]]</f>
        <v>50000</v>
      </c>
      <c r="R159" s="61">
        <f>IF(REKAP[[#This Row],[Stok Aktual]]&lt;&gt;"",REKAP[[#This Row],[Stok Aktual]]-REKAP[[#This Row],[Stok Akhir]],0)</f>
        <v>0</v>
      </c>
      <c r="S159" s="132"/>
      <c r="T159" s="137">
        <f>IF(REKAP[[#This Row],[Selisih]]&lt;=-1,REKAP[[#This Row],[Harga Satuan]]*REKAP[[#This Row],[Selisih]],0)</f>
        <v>0</v>
      </c>
    </row>
    <row r="160" spans="1:20" x14ac:dyDescent="0.25">
      <c r="A160" s="55" t="s">
        <v>352</v>
      </c>
      <c r="B160" s="55" t="s">
        <v>3326</v>
      </c>
      <c r="C160" s="55" t="s">
        <v>3349</v>
      </c>
      <c r="D160" s="56" t="s">
        <v>118</v>
      </c>
      <c r="E160" s="57" t="s">
        <v>3347</v>
      </c>
      <c r="F160" s="75" t="s">
        <v>251</v>
      </c>
      <c r="G160" s="55"/>
      <c r="H160" s="58">
        <v>24122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6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6</v>
      </c>
      <c r="P160" s="55"/>
      <c r="Q160" s="62">
        <f>REKAP[[#This Row],[Harga Satuan]]*REKAP[[#This Row],[Stok Akhir]]</f>
        <v>144732</v>
      </c>
      <c r="R160" s="61">
        <f>IF(REKAP[[#This Row],[Stok Aktual]]&lt;&gt;"",REKAP[[#This Row],[Stok Aktual]]-REKAP[[#This Row],[Stok Akhir]],0)</f>
        <v>0</v>
      </c>
      <c r="S160" s="132"/>
      <c r="T160" s="137">
        <f>IF(REKAP[[#This Row],[Selisih]]&lt;=-1,REKAP[[#This Row],[Harga Satuan]]*REKAP[[#This Row],[Selisih]],0)</f>
        <v>0</v>
      </c>
    </row>
    <row r="161" spans="1:20" x14ac:dyDescent="0.25">
      <c r="A161" s="55" t="s">
        <v>353</v>
      </c>
      <c r="B161" s="55" t="s">
        <v>3326</v>
      </c>
      <c r="C161" s="55" t="s">
        <v>3349</v>
      </c>
      <c r="D161" s="56" t="s">
        <v>119</v>
      </c>
      <c r="E161" s="57" t="s">
        <v>3347</v>
      </c>
      <c r="F161" s="75" t="s">
        <v>251</v>
      </c>
      <c r="G161" s="55" t="s">
        <v>244</v>
      </c>
      <c r="H161" s="58">
        <v>30000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13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13</v>
      </c>
      <c r="P161" s="55"/>
      <c r="Q161" s="62">
        <f>REKAP[[#This Row],[Harga Satuan]]*REKAP[[#This Row],[Stok Akhir]]</f>
        <v>390000</v>
      </c>
      <c r="R161" s="61">
        <f>IF(REKAP[[#This Row],[Stok Aktual]]&lt;&gt;"",REKAP[[#This Row],[Stok Aktual]]-REKAP[[#This Row],[Stok Akhir]],0)</f>
        <v>0</v>
      </c>
      <c r="S161" s="132"/>
      <c r="T161" s="137">
        <f>IF(REKAP[[#This Row],[Selisih]]&lt;=-1,REKAP[[#This Row],[Harga Satuan]]*REKAP[[#This Row],[Selisih]],0)</f>
        <v>0</v>
      </c>
    </row>
    <row r="162" spans="1:20" x14ac:dyDescent="0.25">
      <c r="A162" s="55" t="s">
        <v>354</v>
      </c>
      <c r="B162" s="55" t="s">
        <v>3326</v>
      </c>
      <c r="C162" s="55" t="s">
        <v>3349</v>
      </c>
      <c r="D162" s="56" t="s">
        <v>120</v>
      </c>
      <c r="E162" s="57" t="s">
        <v>3347</v>
      </c>
      <c r="F162" s="75" t="s">
        <v>251</v>
      </c>
      <c r="G162" s="55"/>
      <c r="H162" s="58">
        <v>16380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2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2</v>
      </c>
      <c r="P162" s="55"/>
      <c r="Q162" s="62">
        <f>REKAP[[#This Row],[Harga Satuan]]*REKAP[[#This Row],[Stok Akhir]]</f>
        <v>32760</v>
      </c>
      <c r="R162" s="61">
        <f>IF(REKAP[[#This Row],[Stok Aktual]]&lt;&gt;"",REKAP[[#This Row],[Stok Aktual]]-REKAP[[#This Row],[Stok Akhir]],0)</f>
        <v>0</v>
      </c>
      <c r="S162" s="132"/>
      <c r="T162" s="137">
        <f>IF(REKAP[[#This Row],[Selisih]]&lt;=-1,REKAP[[#This Row],[Harga Satuan]]*REKAP[[#This Row],[Selisih]],0)</f>
        <v>0</v>
      </c>
    </row>
    <row r="163" spans="1:20" x14ac:dyDescent="0.25">
      <c r="A163" s="55" t="s">
        <v>355</v>
      </c>
      <c r="B163" s="55" t="s">
        <v>3326</v>
      </c>
      <c r="C163" s="55" t="s">
        <v>3349</v>
      </c>
      <c r="D163" s="56" t="s">
        <v>121</v>
      </c>
      <c r="E163" s="57" t="s">
        <v>3347</v>
      </c>
      <c r="F163" s="75" t="s">
        <v>251</v>
      </c>
      <c r="G163" s="55"/>
      <c r="H163" s="58">
        <v>45000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1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1</v>
      </c>
      <c r="P163" s="55"/>
      <c r="Q163" s="62">
        <f>REKAP[[#This Row],[Harga Satuan]]*REKAP[[#This Row],[Stok Akhir]]</f>
        <v>45000</v>
      </c>
      <c r="R163" s="61">
        <f>IF(REKAP[[#This Row],[Stok Aktual]]&lt;&gt;"",REKAP[[#This Row],[Stok Aktual]]-REKAP[[#This Row],[Stok Akhir]],0)</f>
        <v>0</v>
      </c>
      <c r="S163" s="132"/>
      <c r="T163" s="137">
        <f>IF(REKAP[[#This Row],[Selisih]]&lt;=-1,REKAP[[#This Row],[Harga Satuan]]*REKAP[[#This Row],[Selisih]],0)</f>
        <v>0</v>
      </c>
    </row>
    <row r="164" spans="1:20" x14ac:dyDescent="0.25">
      <c r="A164" s="55" t="s">
        <v>356</v>
      </c>
      <c r="B164" s="55" t="s">
        <v>3326</v>
      </c>
      <c r="C164" s="55" t="s">
        <v>3349</v>
      </c>
      <c r="D164" s="56" t="s">
        <v>122</v>
      </c>
      <c r="E164" s="57" t="s">
        <v>3347</v>
      </c>
      <c r="F164" s="75" t="s">
        <v>251</v>
      </c>
      <c r="G164" s="55"/>
      <c r="H164" s="58">
        <v>1700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40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40</v>
      </c>
      <c r="P164" s="55"/>
      <c r="Q164" s="62">
        <f>REKAP[[#This Row],[Harga Satuan]]*REKAP[[#This Row],[Stok Akhir]]</f>
        <v>68000</v>
      </c>
      <c r="R164" s="61">
        <f>IF(REKAP[[#This Row],[Stok Aktual]]&lt;&gt;"",REKAP[[#This Row],[Stok Aktual]]-REKAP[[#This Row],[Stok Akhir]],0)</f>
        <v>0</v>
      </c>
      <c r="S164" s="132"/>
      <c r="T164" s="137">
        <f>IF(REKAP[[#This Row],[Selisih]]&lt;=-1,REKAP[[#This Row],[Harga Satuan]]*REKAP[[#This Row],[Selisih]],0)</f>
        <v>0</v>
      </c>
    </row>
    <row r="165" spans="1:20" x14ac:dyDescent="0.25">
      <c r="A165" s="55" t="s">
        <v>357</v>
      </c>
      <c r="B165" s="55" t="s">
        <v>3326</v>
      </c>
      <c r="C165" s="55" t="s">
        <v>3349</v>
      </c>
      <c r="D165" s="56" t="s">
        <v>123</v>
      </c>
      <c r="E165" s="57" t="s">
        <v>3347</v>
      </c>
      <c r="F165" s="75" t="s">
        <v>251</v>
      </c>
      <c r="G165" s="55"/>
      <c r="H165" s="58">
        <v>2810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28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28</v>
      </c>
      <c r="P165" s="55"/>
      <c r="Q165" s="62">
        <f>REKAP[[#This Row],[Harga Satuan]]*REKAP[[#This Row],[Stok Akhir]]</f>
        <v>78680</v>
      </c>
      <c r="R165" s="61">
        <f>IF(REKAP[[#This Row],[Stok Aktual]]&lt;&gt;"",REKAP[[#This Row],[Stok Aktual]]-REKAP[[#This Row],[Stok Akhir]],0)</f>
        <v>0</v>
      </c>
      <c r="S165" s="132"/>
      <c r="T165" s="137">
        <f>IF(REKAP[[#This Row],[Selisih]]&lt;=-1,REKAP[[#This Row],[Harga Satuan]]*REKAP[[#This Row],[Selisih]],0)</f>
        <v>0</v>
      </c>
    </row>
    <row r="166" spans="1:20" x14ac:dyDescent="0.25">
      <c r="A166" s="55" t="s">
        <v>358</v>
      </c>
      <c r="B166" s="55" t="s">
        <v>3326</v>
      </c>
      <c r="C166" s="55" t="s">
        <v>3349</v>
      </c>
      <c r="D166" s="56" t="s">
        <v>124</v>
      </c>
      <c r="E166" s="57" t="s">
        <v>3347</v>
      </c>
      <c r="F166" s="75" t="s">
        <v>251</v>
      </c>
      <c r="G166" s="55"/>
      <c r="H166" s="58">
        <v>3100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2</v>
      </c>
      <c r="K166" s="60">
        <f>REKAP[[#This Row],[Trx In]]+REKAP[[#This Row],[Trx Out]]</f>
        <v>2</v>
      </c>
      <c r="L166" s="55">
        <v>24</v>
      </c>
      <c r="M166" s="74">
        <f>SUMIF(MASUK!$C:$C,REKAP[[#This Row],[ID]],MASUK!$H:$H)</f>
        <v>0</v>
      </c>
      <c r="N166" s="74">
        <f>SUMIF(KELUAR!$C:$C,REKAP[[#This Row],[ID]],KELUAR!$H:$H)</f>
        <v>20</v>
      </c>
      <c r="O166" s="74">
        <f>REKAP[[#This Row],[Stok Awal]]+REKAP[[#This Row],[Masuk]]-REKAP[[#This Row],[Keluar]]</f>
        <v>4</v>
      </c>
      <c r="P166" s="55">
        <v>5</v>
      </c>
      <c r="Q166" s="62">
        <f>REKAP[[#This Row],[Harga Satuan]]*REKAP[[#This Row],[Stok Akhir]]</f>
        <v>12400</v>
      </c>
      <c r="R166" s="61">
        <f>IF(REKAP[[#This Row],[Stok Aktual]]&lt;&gt;"",REKAP[[#This Row],[Stok Aktual]]-REKAP[[#This Row],[Stok Akhir]],0)</f>
        <v>1</v>
      </c>
      <c r="S166" s="132"/>
      <c r="T166" s="137">
        <f>IF(REKAP[[#This Row],[Selisih]]&lt;=-1,REKAP[[#This Row],[Harga Satuan]]*REKAP[[#This Row],[Selisih]],0)</f>
        <v>0</v>
      </c>
    </row>
    <row r="167" spans="1:20" x14ac:dyDescent="0.25">
      <c r="A167" s="55" t="s">
        <v>359</v>
      </c>
      <c r="B167" s="55" t="s">
        <v>3326</v>
      </c>
      <c r="C167" s="55" t="s">
        <v>3349</v>
      </c>
      <c r="D167" s="56" t="s">
        <v>125</v>
      </c>
      <c r="E167" s="57" t="s">
        <v>3347</v>
      </c>
      <c r="F167" s="75" t="s">
        <v>251</v>
      </c>
      <c r="G167" s="55" t="s">
        <v>10</v>
      </c>
      <c r="H167" s="58">
        <v>3200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2</v>
      </c>
      <c r="K167" s="60">
        <f>REKAP[[#This Row],[Trx In]]+REKAP[[#This Row],[Trx Out]]</f>
        <v>2</v>
      </c>
      <c r="L167" s="55">
        <v>37</v>
      </c>
      <c r="M167" s="74">
        <f>SUMIF(MASUK!$C:$C,REKAP[[#This Row],[ID]],MASUK!$H:$H)</f>
        <v>0</v>
      </c>
      <c r="N167" s="74">
        <f>SUMIF(KELUAR!$C:$C,REKAP[[#This Row],[ID]],KELUAR!$H:$H)</f>
        <v>16</v>
      </c>
      <c r="O167" s="74">
        <f>REKAP[[#This Row],[Stok Awal]]+REKAP[[#This Row],[Masuk]]-REKAP[[#This Row],[Keluar]]</f>
        <v>21</v>
      </c>
      <c r="P167" s="55">
        <v>21</v>
      </c>
      <c r="Q167" s="62">
        <f>REKAP[[#This Row],[Harga Satuan]]*REKAP[[#This Row],[Stok Akhir]]</f>
        <v>67200</v>
      </c>
      <c r="R167" s="61">
        <f>IF(REKAP[[#This Row],[Stok Aktual]]&lt;&gt;"",REKAP[[#This Row],[Stok Aktual]]-REKAP[[#This Row],[Stok Akhir]],0)</f>
        <v>0</v>
      </c>
      <c r="S167" s="132"/>
      <c r="T167" s="137">
        <f>IF(REKAP[[#This Row],[Selisih]]&lt;=-1,REKAP[[#This Row],[Harga Satuan]]*REKAP[[#This Row],[Selisih]],0)</f>
        <v>0</v>
      </c>
    </row>
    <row r="168" spans="1:20" x14ac:dyDescent="0.25">
      <c r="A168" s="55" t="s">
        <v>360</v>
      </c>
      <c r="B168" s="55" t="s">
        <v>3326</v>
      </c>
      <c r="C168" s="55" t="s">
        <v>3349</v>
      </c>
      <c r="D168" s="56" t="s">
        <v>126</v>
      </c>
      <c r="E168" s="57" t="s">
        <v>3347</v>
      </c>
      <c r="F168" s="75" t="s">
        <v>251</v>
      </c>
      <c r="G168" s="55"/>
      <c r="H168" s="58">
        <v>3750</v>
      </c>
      <c r="I168" s="59">
        <f>IF(COUNTIF(MASUK[Kode Barang],REKAP[[#This Row],[ID]])=0,0,COUNTIF(MASUK[Kode Barang],REKAP[[#This Row],[ID]]))</f>
        <v>1</v>
      </c>
      <c r="J168" s="59">
        <f>IF(COUNTIF(MASUK8[Kode Barang],REKAP[[#This Row],[ID]])=0,0,COUNTIF(MASUK8[Kode Barang],REKAP[[#This Row],[ID]]))</f>
        <v>3</v>
      </c>
      <c r="K168" s="60">
        <f>REKAP[[#This Row],[Trx In]]+REKAP[[#This Row],[Trx Out]]</f>
        <v>4</v>
      </c>
      <c r="L168" s="55">
        <v>21</v>
      </c>
      <c r="M168" s="74">
        <f>SUMIF(MASUK!$C:$C,REKAP[[#This Row],[ID]],MASUK!$H:$H)</f>
        <v>10</v>
      </c>
      <c r="N168" s="74">
        <f>SUMIF(KELUAR!$C:$C,REKAP[[#This Row],[ID]],KELUAR!$H:$H)</f>
        <v>24</v>
      </c>
      <c r="O168" s="74">
        <f>REKAP[[#This Row],[Stok Awal]]+REKAP[[#This Row],[Masuk]]-REKAP[[#This Row],[Keluar]]</f>
        <v>7</v>
      </c>
      <c r="P168" s="55">
        <v>7</v>
      </c>
      <c r="Q168" s="62">
        <f>REKAP[[#This Row],[Harga Satuan]]*REKAP[[#This Row],[Stok Akhir]]</f>
        <v>26250</v>
      </c>
      <c r="R168" s="61">
        <f>IF(REKAP[[#This Row],[Stok Aktual]]&lt;&gt;"",REKAP[[#This Row],[Stok Aktual]]-REKAP[[#This Row],[Stok Akhir]],0)</f>
        <v>0</v>
      </c>
      <c r="S168" s="132"/>
      <c r="T168" s="137">
        <f>IF(REKAP[[#This Row],[Selisih]]&lt;=-1,REKAP[[#This Row],[Harga Satuan]]*REKAP[[#This Row],[Selisih]],0)</f>
        <v>0</v>
      </c>
    </row>
    <row r="169" spans="1:20" x14ac:dyDescent="0.25">
      <c r="A169" s="55" t="s">
        <v>361</v>
      </c>
      <c r="B169" s="55" t="s">
        <v>3326</v>
      </c>
      <c r="C169" s="55" t="s">
        <v>3349</v>
      </c>
      <c r="D169" s="56" t="s">
        <v>127</v>
      </c>
      <c r="E169" s="57" t="s">
        <v>3347</v>
      </c>
      <c r="F169" s="75" t="s">
        <v>251</v>
      </c>
      <c r="G169" s="55"/>
      <c r="H169" s="58">
        <v>3900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15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15</v>
      </c>
      <c r="P169" s="55"/>
      <c r="Q169" s="62">
        <f>REKAP[[#This Row],[Harga Satuan]]*REKAP[[#This Row],[Stok Akhir]]</f>
        <v>58500</v>
      </c>
      <c r="R169" s="61">
        <f>IF(REKAP[[#This Row],[Stok Aktual]]&lt;&gt;"",REKAP[[#This Row],[Stok Aktual]]-REKAP[[#This Row],[Stok Akhir]],0)</f>
        <v>0</v>
      </c>
      <c r="S169" s="132"/>
      <c r="T169" s="137">
        <f>IF(REKAP[[#This Row],[Selisih]]&lt;=-1,REKAP[[#This Row],[Harga Satuan]]*REKAP[[#This Row],[Selisih]],0)</f>
        <v>0</v>
      </c>
    </row>
    <row r="170" spans="1:20" x14ac:dyDescent="0.25">
      <c r="A170" s="55" t="s">
        <v>362</v>
      </c>
      <c r="B170" s="55" t="s">
        <v>3326</v>
      </c>
      <c r="C170" s="55" t="s">
        <v>3349</v>
      </c>
      <c r="D170" s="56" t="s">
        <v>128</v>
      </c>
      <c r="E170" s="57" t="s">
        <v>3347</v>
      </c>
      <c r="F170" s="75" t="s">
        <v>251</v>
      </c>
      <c r="G170" s="55" t="s">
        <v>10</v>
      </c>
      <c r="H170" s="58">
        <v>5000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21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21</v>
      </c>
      <c r="P170" s="55"/>
      <c r="Q170" s="62">
        <f>REKAP[[#This Row],[Harga Satuan]]*REKAP[[#This Row],[Stok Akhir]]</f>
        <v>105000</v>
      </c>
      <c r="R170" s="61">
        <f>IF(REKAP[[#This Row],[Stok Aktual]]&lt;&gt;"",REKAP[[#This Row],[Stok Aktual]]-REKAP[[#This Row],[Stok Akhir]],0)</f>
        <v>0</v>
      </c>
      <c r="S170" s="132"/>
      <c r="T170" s="137">
        <f>IF(REKAP[[#This Row],[Selisih]]&lt;=-1,REKAP[[#This Row],[Harga Satuan]]*REKAP[[#This Row],[Selisih]],0)</f>
        <v>0</v>
      </c>
    </row>
    <row r="171" spans="1:20" x14ac:dyDescent="0.25">
      <c r="A171" s="55" t="s">
        <v>363</v>
      </c>
      <c r="B171" s="55" t="s">
        <v>3326</v>
      </c>
      <c r="C171" s="55" t="s">
        <v>3349</v>
      </c>
      <c r="D171" s="56" t="s">
        <v>129</v>
      </c>
      <c r="E171" s="57" t="s">
        <v>3347</v>
      </c>
      <c r="F171" s="75" t="s">
        <v>251</v>
      </c>
      <c r="G171" s="55"/>
      <c r="H171" s="58">
        <v>4000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39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39</v>
      </c>
      <c r="P171" s="55"/>
      <c r="Q171" s="62">
        <f>REKAP[[#This Row],[Harga Satuan]]*REKAP[[#This Row],[Stok Akhir]]</f>
        <v>156000</v>
      </c>
      <c r="R171" s="61">
        <f>IF(REKAP[[#This Row],[Stok Aktual]]&lt;&gt;"",REKAP[[#This Row],[Stok Aktual]]-REKAP[[#This Row],[Stok Akhir]],0)</f>
        <v>0</v>
      </c>
      <c r="S171" s="132"/>
      <c r="T171" s="137">
        <f>IF(REKAP[[#This Row],[Selisih]]&lt;=-1,REKAP[[#This Row],[Harga Satuan]]*REKAP[[#This Row],[Selisih]],0)</f>
        <v>0</v>
      </c>
    </row>
    <row r="172" spans="1:20" x14ac:dyDescent="0.25">
      <c r="A172" s="55" t="s">
        <v>364</v>
      </c>
      <c r="B172" s="55" t="s">
        <v>3326</v>
      </c>
      <c r="C172" s="55" t="s">
        <v>3349</v>
      </c>
      <c r="D172" s="56" t="s">
        <v>130</v>
      </c>
      <c r="E172" s="57" t="s">
        <v>3347</v>
      </c>
      <c r="F172" s="75" t="s">
        <v>251</v>
      </c>
      <c r="G172" s="55"/>
      <c r="H172" s="58">
        <v>480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1</v>
      </c>
      <c r="K172" s="60">
        <f>REKAP[[#This Row],[Trx In]]+REKAP[[#This Row],[Trx Out]]</f>
        <v>1</v>
      </c>
      <c r="L172" s="55">
        <v>30</v>
      </c>
      <c r="M172" s="74">
        <f>SUMIF(MASUK!$C:$C,REKAP[[#This Row],[ID]],MASUK!$H:$H)</f>
        <v>0</v>
      </c>
      <c r="N172" s="74">
        <f>SUMIF(KELUAR!$C:$C,REKAP[[#This Row],[ID]],KELUAR!$H:$H)</f>
        <v>4</v>
      </c>
      <c r="O172" s="74">
        <f>REKAP[[#This Row],[Stok Awal]]+REKAP[[#This Row],[Masuk]]-REKAP[[#This Row],[Keluar]]</f>
        <v>26</v>
      </c>
      <c r="P172" s="55">
        <v>26</v>
      </c>
      <c r="Q172" s="62">
        <f>REKAP[[#This Row],[Harga Satuan]]*REKAP[[#This Row],[Stok Akhir]]</f>
        <v>12480</v>
      </c>
      <c r="R172" s="61">
        <f>IF(REKAP[[#This Row],[Stok Aktual]]&lt;&gt;"",REKAP[[#This Row],[Stok Aktual]]-REKAP[[#This Row],[Stok Akhir]],0)</f>
        <v>0</v>
      </c>
      <c r="S172" s="132"/>
      <c r="T172" s="137">
        <f>IF(REKAP[[#This Row],[Selisih]]&lt;=-1,REKAP[[#This Row],[Harga Satuan]]*REKAP[[#This Row],[Selisih]],0)</f>
        <v>0</v>
      </c>
    </row>
    <row r="173" spans="1:20" x14ac:dyDescent="0.25">
      <c r="A173" s="55" t="s">
        <v>365</v>
      </c>
      <c r="B173" s="55" t="s">
        <v>3326</v>
      </c>
      <c r="C173" s="55" t="s">
        <v>3349</v>
      </c>
      <c r="D173" s="56" t="s">
        <v>131</v>
      </c>
      <c r="E173" s="57" t="s">
        <v>3347</v>
      </c>
      <c r="F173" s="75" t="s">
        <v>251</v>
      </c>
      <c r="G173" s="55"/>
      <c r="H173" s="58">
        <v>23958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45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45</v>
      </c>
      <c r="P173" s="55"/>
      <c r="Q173" s="62">
        <f>REKAP[[#This Row],[Harga Satuan]]*REKAP[[#This Row],[Stok Akhir]]</f>
        <v>1078110</v>
      </c>
      <c r="R173" s="61">
        <f>IF(REKAP[[#This Row],[Stok Aktual]]&lt;&gt;"",REKAP[[#This Row],[Stok Aktual]]-REKAP[[#This Row],[Stok Akhir]],0)</f>
        <v>0</v>
      </c>
      <c r="S173" s="132"/>
      <c r="T173" s="137">
        <f>IF(REKAP[[#This Row],[Selisih]]&lt;=-1,REKAP[[#This Row],[Harga Satuan]]*REKAP[[#This Row],[Selisih]],0)</f>
        <v>0</v>
      </c>
    </row>
    <row r="174" spans="1:20" x14ac:dyDescent="0.25">
      <c r="A174" s="55" t="s">
        <v>366</v>
      </c>
      <c r="B174" s="55" t="s">
        <v>3326</v>
      </c>
      <c r="C174" s="55" t="s">
        <v>3349</v>
      </c>
      <c r="D174" s="56" t="s">
        <v>132</v>
      </c>
      <c r="E174" s="57" t="s">
        <v>3347</v>
      </c>
      <c r="F174" s="75" t="s">
        <v>251</v>
      </c>
      <c r="G174" s="55"/>
      <c r="H174" s="58">
        <v>3350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28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28</v>
      </c>
      <c r="P174" s="55"/>
      <c r="Q174" s="62">
        <f>REKAP[[#This Row],[Harga Satuan]]*REKAP[[#This Row],[Stok Akhir]]</f>
        <v>93800</v>
      </c>
      <c r="R174" s="61">
        <f>IF(REKAP[[#This Row],[Stok Aktual]]&lt;&gt;"",REKAP[[#This Row],[Stok Aktual]]-REKAP[[#This Row],[Stok Akhir]],0)</f>
        <v>0</v>
      </c>
      <c r="S174" s="132"/>
      <c r="T174" s="137">
        <f>IF(REKAP[[#This Row],[Selisih]]&lt;=-1,REKAP[[#This Row],[Harga Satuan]]*REKAP[[#This Row],[Selisih]],0)</f>
        <v>0</v>
      </c>
    </row>
    <row r="175" spans="1:20" x14ac:dyDescent="0.25">
      <c r="A175" s="55" t="s">
        <v>367</v>
      </c>
      <c r="B175" s="55" t="s">
        <v>3326</v>
      </c>
      <c r="C175" s="55" t="s">
        <v>3349</v>
      </c>
      <c r="D175" s="56" t="s">
        <v>133</v>
      </c>
      <c r="E175" s="57" t="s">
        <v>3347</v>
      </c>
      <c r="F175" s="75" t="s">
        <v>251</v>
      </c>
      <c r="G175" s="55"/>
      <c r="H175" s="58">
        <v>5066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33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33</v>
      </c>
      <c r="P175" s="55"/>
      <c r="Q175" s="62">
        <f>REKAP[[#This Row],[Harga Satuan]]*REKAP[[#This Row],[Stok Akhir]]</f>
        <v>167178</v>
      </c>
      <c r="R175" s="61">
        <f>IF(REKAP[[#This Row],[Stok Aktual]]&lt;&gt;"",REKAP[[#This Row],[Stok Aktual]]-REKAP[[#This Row],[Stok Akhir]],0)</f>
        <v>0</v>
      </c>
      <c r="S175" s="132"/>
      <c r="T175" s="137">
        <f>IF(REKAP[[#This Row],[Selisih]]&lt;=-1,REKAP[[#This Row],[Harga Satuan]]*REKAP[[#This Row],[Selisih]],0)</f>
        <v>0</v>
      </c>
    </row>
    <row r="176" spans="1:20" x14ac:dyDescent="0.25">
      <c r="A176" s="55" t="s">
        <v>368</v>
      </c>
      <c r="B176" s="55" t="s">
        <v>3326</v>
      </c>
      <c r="C176" s="55" t="s">
        <v>3349</v>
      </c>
      <c r="D176" s="56" t="s">
        <v>134</v>
      </c>
      <c r="E176" s="57" t="s">
        <v>3347</v>
      </c>
      <c r="F176" s="75" t="s">
        <v>251</v>
      </c>
      <c r="G176" s="55" t="s">
        <v>10</v>
      </c>
      <c r="H176" s="58">
        <v>6400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13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13</v>
      </c>
      <c r="P176" s="55"/>
      <c r="Q176" s="62">
        <f>REKAP[[#This Row],[Harga Satuan]]*REKAP[[#This Row],[Stok Akhir]]</f>
        <v>83200</v>
      </c>
      <c r="R176" s="61">
        <f>IF(REKAP[[#This Row],[Stok Aktual]]&lt;&gt;"",REKAP[[#This Row],[Stok Aktual]]-REKAP[[#This Row],[Stok Akhir]],0)</f>
        <v>0</v>
      </c>
      <c r="S176" s="132"/>
      <c r="T176" s="137">
        <f>IF(REKAP[[#This Row],[Selisih]]&lt;=-1,REKAP[[#This Row],[Harga Satuan]]*REKAP[[#This Row],[Selisih]],0)</f>
        <v>0</v>
      </c>
    </row>
    <row r="177" spans="1:20" x14ac:dyDescent="0.25">
      <c r="A177" s="55" t="s">
        <v>369</v>
      </c>
      <c r="B177" s="55" t="s">
        <v>3326</v>
      </c>
      <c r="C177" s="55" t="s">
        <v>3349</v>
      </c>
      <c r="D177" s="56" t="s">
        <v>135</v>
      </c>
      <c r="E177" s="57" t="s">
        <v>3347</v>
      </c>
      <c r="F177" s="75" t="s">
        <v>251</v>
      </c>
      <c r="G177" s="55"/>
      <c r="H177" s="58">
        <v>8400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1</v>
      </c>
      <c r="K177" s="60">
        <f>REKAP[[#This Row],[Trx In]]+REKAP[[#This Row],[Trx Out]]</f>
        <v>1</v>
      </c>
      <c r="L177" s="55">
        <v>29</v>
      </c>
      <c r="M177" s="74">
        <f>SUMIF(MASUK!$C:$C,REKAP[[#This Row],[ID]],MASUK!$H:$H)</f>
        <v>0</v>
      </c>
      <c r="N177" s="74">
        <f>SUMIF(KELUAR!$C:$C,REKAP[[#This Row],[ID]],KELUAR!$H:$H)</f>
        <v>6</v>
      </c>
      <c r="O177" s="74">
        <f>REKAP[[#This Row],[Stok Awal]]+REKAP[[#This Row],[Masuk]]-REKAP[[#This Row],[Keluar]]</f>
        <v>23</v>
      </c>
      <c r="P177" s="55">
        <v>23</v>
      </c>
      <c r="Q177" s="62">
        <f>REKAP[[#This Row],[Harga Satuan]]*REKAP[[#This Row],[Stok Akhir]]</f>
        <v>193200</v>
      </c>
      <c r="R177" s="61">
        <f>IF(REKAP[[#This Row],[Stok Aktual]]&lt;&gt;"",REKAP[[#This Row],[Stok Aktual]]-REKAP[[#This Row],[Stok Akhir]],0)</f>
        <v>0</v>
      </c>
      <c r="S177" s="132"/>
      <c r="T177" s="137">
        <f>IF(REKAP[[#This Row],[Selisih]]&lt;=-1,REKAP[[#This Row],[Harga Satuan]]*REKAP[[#This Row],[Selisih]],0)</f>
        <v>0</v>
      </c>
    </row>
    <row r="178" spans="1:20" x14ac:dyDescent="0.25">
      <c r="A178" s="55" t="s">
        <v>370</v>
      </c>
      <c r="B178" s="55" t="s">
        <v>3326</v>
      </c>
      <c r="C178" s="55" t="s">
        <v>3349</v>
      </c>
      <c r="D178" s="56" t="s">
        <v>136</v>
      </c>
      <c r="E178" s="57" t="s">
        <v>3347</v>
      </c>
      <c r="F178" s="75" t="s">
        <v>251</v>
      </c>
      <c r="G178" s="55"/>
      <c r="H178" s="58">
        <v>7500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4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4</v>
      </c>
      <c r="P178" s="55"/>
      <c r="Q178" s="62">
        <f>REKAP[[#This Row],[Harga Satuan]]*REKAP[[#This Row],[Stok Akhir]]</f>
        <v>30000</v>
      </c>
      <c r="R178" s="61">
        <f>IF(REKAP[[#This Row],[Stok Aktual]]&lt;&gt;"",REKAP[[#This Row],[Stok Aktual]]-REKAP[[#This Row],[Stok Akhir]],0)</f>
        <v>0</v>
      </c>
      <c r="S178" s="132"/>
      <c r="T178" s="137">
        <f>IF(REKAP[[#This Row],[Selisih]]&lt;=-1,REKAP[[#This Row],[Harga Satuan]]*REKAP[[#This Row],[Selisih]],0)</f>
        <v>0</v>
      </c>
    </row>
    <row r="179" spans="1:20" x14ac:dyDescent="0.25">
      <c r="A179" s="55" t="s">
        <v>371</v>
      </c>
      <c r="B179" s="55" t="s">
        <v>3326</v>
      </c>
      <c r="C179" s="55" t="s">
        <v>3349</v>
      </c>
      <c r="D179" s="56" t="s">
        <v>137</v>
      </c>
      <c r="E179" s="57" t="s">
        <v>3347</v>
      </c>
      <c r="F179" s="75" t="s">
        <v>251</v>
      </c>
      <c r="G179" s="55"/>
      <c r="H179" s="58">
        <v>10000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4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4</v>
      </c>
      <c r="P179" s="55"/>
      <c r="Q179" s="62">
        <f>REKAP[[#This Row],[Harga Satuan]]*REKAP[[#This Row],[Stok Akhir]]</f>
        <v>40000</v>
      </c>
      <c r="R179" s="61">
        <f>IF(REKAP[[#This Row],[Stok Aktual]]&lt;&gt;"",REKAP[[#This Row],[Stok Aktual]]-REKAP[[#This Row],[Stok Akhir]],0)</f>
        <v>0</v>
      </c>
      <c r="S179" s="132"/>
      <c r="T179" s="137">
        <f>IF(REKAP[[#This Row],[Selisih]]&lt;=-1,REKAP[[#This Row],[Harga Satuan]]*REKAP[[#This Row],[Selisih]],0)</f>
        <v>0</v>
      </c>
    </row>
    <row r="180" spans="1:20" x14ac:dyDescent="0.25">
      <c r="A180" s="55" t="s">
        <v>372</v>
      </c>
      <c r="B180" s="55" t="s">
        <v>3326</v>
      </c>
      <c r="C180" s="55" t="s">
        <v>3349</v>
      </c>
      <c r="D180" s="56" t="s">
        <v>138</v>
      </c>
      <c r="E180" s="57" t="s">
        <v>3347</v>
      </c>
      <c r="F180" s="75" t="s">
        <v>251</v>
      </c>
      <c r="G180" s="55" t="s">
        <v>10</v>
      </c>
      <c r="H180" s="58">
        <v>13500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2</v>
      </c>
      <c r="K180" s="60">
        <f>REKAP[[#This Row],[Trx In]]+REKAP[[#This Row],[Trx Out]]</f>
        <v>2</v>
      </c>
      <c r="L180" s="55">
        <v>11</v>
      </c>
      <c r="M180" s="74">
        <f>SUMIF(MASUK!$C:$C,REKAP[[#This Row],[ID]],MASUK!$H:$H)</f>
        <v>0</v>
      </c>
      <c r="N180" s="74">
        <f>SUMIF(KELUAR!$C:$C,REKAP[[#This Row],[ID]],KELUAR!$H:$H)</f>
        <v>8</v>
      </c>
      <c r="O180" s="74">
        <f>REKAP[[#This Row],[Stok Awal]]+REKAP[[#This Row],[Masuk]]-REKAP[[#This Row],[Keluar]]</f>
        <v>3</v>
      </c>
      <c r="P180" s="55">
        <v>3</v>
      </c>
      <c r="Q180" s="62">
        <f>REKAP[[#This Row],[Harga Satuan]]*REKAP[[#This Row],[Stok Akhir]]</f>
        <v>40500</v>
      </c>
      <c r="R180" s="61">
        <f>IF(REKAP[[#This Row],[Stok Aktual]]&lt;&gt;"",REKAP[[#This Row],[Stok Aktual]]-REKAP[[#This Row],[Stok Akhir]],0)</f>
        <v>0</v>
      </c>
      <c r="S180" s="132"/>
      <c r="T180" s="137">
        <f>IF(REKAP[[#This Row],[Selisih]]&lt;=-1,REKAP[[#This Row],[Harga Satuan]]*REKAP[[#This Row],[Selisih]],0)</f>
        <v>0</v>
      </c>
    </row>
    <row r="181" spans="1:20" x14ac:dyDescent="0.25">
      <c r="A181" s="55" t="s">
        <v>373</v>
      </c>
      <c r="B181" s="55" t="s">
        <v>3326</v>
      </c>
      <c r="C181" s="55" t="s">
        <v>3349</v>
      </c>
      <c r="D181" s="56" t="s">
        <v>139</v>
      </c>
      <c r="E181" s="57" t="s">
        <v>3347</v>
      </c>
      <c r="F181" s="75" t="s">
        <v>251</v>
      </c>
      <c r="G181" s="55" t="s">
        <v>10</v>
      </c>
      <c r="H181" s="58">
        <v>12000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11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11</v>
      </c>
      <c r="P181" s="55"/>
      <c r="Q181" s="62">
        <f>REKAP[[#This Row],[Harga Satuan]]*REKAP[[#This Row],[Stok Akhir]]</f>
        <v>132000</v>
      </c>
      <c r="R181" s="61">
        <f>IF(REKAP[[#This Row],[Stok Aktual]]&lt;&gt;"",REKAP[[#This Row],[Stok Aktual]]-REKAP[[#This Row],[Stok Akhir]],0)</f>
        <v>0</v>
      </c>
      <c r="S181" s="132"/>
      <c r="T181" s="137">
        <f>IF(REKAP[[#This Row],[Selisih]]&lt;=-1,REKAP[[#This Row],[Harga Satuan]]*REKAP[[#This Row],[Selisih]],0)</f>
        <v>0</v>
      </c>
    </row>
    <row r="182" spans="1:20" x14ac:dyDescent="0.25">
      <c r="A182" s="55" t="s">
        <v>374</v>
      </c>
      <c r="B182" s="55" t="s">
        <v>3326</v>
      </c>
      <c r="C182" s="55" t="s">
        <v>3349</v>
      </c>
      <c r="D182" s="56" t="s">
        <v>140</v>
      </c>
      <c r="E182" s="57" t="s">
        <v>3347</v>
      </c>
      <c r="F182" s="75" t="s">
        <v>251</v>
      </c>
      <c r="G182" s="55"/>
      <c r="H182" s="58">
        <v>15000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9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9</v>
      </c>
      <c r="P182" s="55"/>
      <c r="Q182" s="62">
        <f>REKAP[[#This Row],[Harga Satuan]]*REKAP[[#This Row],[Stok Akhir]]</f>
        <v>135000</v>
      </c>
      <c r="R182" s="61">
        <f>IF(REKAP[[#This Row],[Stok Aktual]]&lt;&gt;"",REKAP[[#This Row],[Stok Aktual]]-REKAP[[#This Row],[Stok Akhir]],0)</f>
        <v>0</v>
      </c>
      <c r="S182" s="132"/>
      <c r="T182" s="137">
        <f>IF(REKAP[[#This Row],[Selisih]]&lt;=-1,REKAP[[#This Row],[Harga Satuan]]*REKAP[[#This Row],[Selisih]],0)</f>
        <v>0</v>
      </c>
    </row>
    <row r="183" spans="1:20" x14ac:dyDescent="0.25">
      <c r="A183" s="55" t="s">
        <v>375</v>
      </c>
      <c r="B183" s="55" t="s">
        <v>3326</v>
      </c>
      <c r="C183" s="55" t="s">
        <v>3349</v>
      </c>
      <c r="D183" s="56" t="s">
        <v>141</v>
      </c>
      <c r="E183" s="57" t="s">
        <v>3347</v>
      </c>
      <c r="F183" s="75" t="s">
        <v>251</v>
      </c>
      <c r="G183" s="55"/>
      <c r="H183" s="58">
        <v>23227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5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5</v>
      </c>
      <c r="P183" s="55"/>
      <c r="Q183" s="62">
        <f>REKAP[[#This Row],[Harga Satuan]]*REKAP[[#This Row],[Stok Akhir]]</f>
        <v>116135</v>
      </c>
      <c r="R183" s="61">
        <f>IF(REKAP[[#This Row],[Stok Aktual]]&lt;&gt;"",REKAP[[#This Row],[Stok Aktual]]-REKAP[[#This Row],[Stok Akhir]],0)</f>
        <v>0</v>
      </c>
      <c r="S183" s="132"/>
      <c r="T183" s="137">
        <f>IF(REKAP[[#This Row],[Selisih]]&lt;=-1,REKAP[[#This Row],[Harga Satuan]]*REKAP[[#This Row],[Selisih]],0)</f>
        <v>0</v>
      </c>
    </row>
    <row r="184" spans="1:20" x14ac:dyDescent="0.25">
      <c r="A184" s="55" t="s">
        <v>376</v>
      </c>
      <c r="B184" s="55" t="s">
        <v>3326</v>
      </c>
      <c r="C184" s="55" t="s">
        <v>3349</v>
      </c>
      <c r="D184" s="56" t="s">
        <v>142</v>
      </c>
      <c r="E184" s="57" t="s">
        <v>3347</v>
      </c>
      <c r="F184" s="75" t="s">
        <v>251</v>
      </c>
      <c r="G184" s="55" t="s">
        <v>10</v>
      </c>
      <c r="H184" s="58">
        <v>20000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1</v>
      </c>
      <c r="K184" s="60">
        <f>REKAP[[#This Row],[Trx In]]+REKAP[[#This Row],[Trx Out]]</f>
        <v>1</v>
      </c>
      <c r="L184" s="55">
        <v>6</v>
      </c>
      <c r="M184" s="74">
        <f>SUMIF(MASUK!$C:$C,REKAP[[#This Row],[ID]],MASUK!$H:$H)</f>
        <v>0</v>
      </c>
      <c r="N184" s="74">
        <f>SUMIF(KELUAR!$C:$C,REKAP[[#This Row],[ID]],KELUAR!$H:$H)</f>
        <v>2</v>
      </c>
      <c r="O184" s="74">
        <f>REKAP[[#This Row],[Stok Awal]]+REKAP[[#This Row],[Masuk]]-REKAP[[#This Row],[Keluar]]</f>
        <v>4</v>
      </c>
      <c r="P184" s="55">
        <v>4</v>
      </c>
      <c r="Q184" s="62">
        <f>REKAP[[#This Row],[Harga Satuan]]*REKAP[[#This Row],[Stok Akhir]]</f>
        <v>80000</v>
      </c>
      <c r="R184" s="61">
        <f>IF(REKAP[[#This Row],[Stok Aktual]]&lt;&gt;"",REKAP[[#This Row],[Stok Aktual]]-REKAP[[#This Row],[Stok Akhir]],0)</f>
        <v>0</v>
      </c>
      <c r="S184" s="132"/>
      <c r="T184" s="137">
        <f>IF(REKAP[[#This Row],[Selisih]]&lt;=-1,REKAP[[#This Row],[Harga Satuan]]*REKAP[[#This Row],[Selisih]],0)</f>
        <v>0</v>
      </c>
    </row>
    <row r="185" spans="1:20" x14ac:dyDescent="0.25">
      <c r="A185" s="55" t="s">
        <v>377</v>
      </c>
      <c r="B185" s="55" t="s">
        <v>3326</v>
      </c>
      <c r="C185" s="55" t="s">
        <v>3349</v>
      </c>
      <c r="D185" s="56" t="s">
        <v>143</v>
      </c>
      <c r="E185" s="57" t="s">
        <v>3347</v>
      </c>
      <c r="F185" s="75" t="s">
        <v>251</v>
      </c>
      <c r="G185" s="55" t="s">
        <v>245</v>
      </c>
      <c r="H185" s="58">
        <v>30000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10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10</v>
      </c>
      <c r="P185" s="55"/>
      <c r="Q185" s="62">
        <f>REKAP[[#This Row],[Harga Satuan]]*REKAP[[#This Row],[Stok Akhir]]</f>
        <v>300000</v>
      </c>
      <c r="R185" s="61">
        <f>IF(REKAP[[#This Row],[Stok Aktual]]&lt;&gt;"",REKAP[[#This Row],[Stok Aktual]]-REKAP[[#This Row],[Stok Akhir]],0)</f>
        <v>0</v>
      </c>
      <c r="S185" s="132"/>
      <c r="T185" s="137">
        <f>IF(REKAP[[#This Row],[Selisih]]&lt;=-1,REKAP[[#This Row],[Harga Satuan]]*REKAP[[#This Row],[Selisih]],0)</f>
        <v>0</v>
      </c>
    </row>
    <row r="186" spans="1:20" x14ac:dyDescent="0.25">
      <c r="A186" s="55" t="s">
        <v>378</v>
      </c>
      <c r="B186" s="55" t="s">
        <v>3326</v>
      </c>
      <c r="C186" s="55" t="s">
        <v>3349</v>
      </c>
      <c r="D186" s="56" t="s">
        <v>144</v>
      </c>
      <c r="E186" s="57" t="s">
        <v>3347</v>
      </c>
      <c r="F186" s="75" t="s">
        <v>251</v>
      </c>
      <c r="G186" s="55"/>
      <c r="H186" s="58">
        <v>40000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3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3</v>
      </c>
      <c r="P186" s="55"/>
      <c r="Q186" s="62">
        <f>REKAP[[#This Row],[Harga Satuan]]*REKAP[[#This Row],[Stok Akhir]]</f>
        <v>120000</v>
      </c>
      <c r="R186" s="61">
        <f>IF(REKAP[[#This Row],[Stok Aktual]]&lt;&gt;"",REKAP[[#This Row],[Stok Aktual]]-REKAP[[#This Row],[Stok Akhir]],0)</f>
        <v>0</v>
      </c>
      <c r="S186" s="132"/>
      <c r="T186" s="137">
        <f>IF(REKAP[[#This Row],[Selisih]]&lt;=-1,REKAP[[#This Row],[Harga Satuan]]*REKAP[[#This Row],[Selisih]],0)</f>
        <v>0</v>
      </c>
    </row>
    <row r="187" spans="1:20" x14ac:dyDescent="0.25">
      <c r="A187" s="55" t="s">
        <v>379</v>
      </c>
      <c r="B187" s="55" t="s">
        <v>3326</v>
      </c>
      <c r="C187" s="55" t="s">
        <v>3349</v>
      </c>
      <c r="D187" s="56" t="s">
        <v>145</v>
      </c>
      <c r="E187" s="57" t="s">
        <v>3347</v>
      </c>
      <c r="F187" s="75" t="s">
        <v>251</v>
      </c>
      <c r="G187" s="55"/>
      <c r="H187" s="58">
        <v>23888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1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1</v>
      </c>
      <c r="P187" s="55"/>
      <c r="Q187" s="62">
        <f>REKAP[[#This Row],[Harga Satuan]]*REKAP[[#This Row],[Stok Akhir]]</f>
        <v>23888</v>
      </c>
      <c r="R187" s="61">
        <f>IF(REKAP[[#This Row],[Stok Aktual]]&lt;&gt;"",REKAP[[#This Row],[Stok Aktual]]-REKAP[[#This Row],[Stok Akhir]],0)</f>
        <v>0</v>
      </c>
      <c r="S187" s="132"/>
      <c r="T187" s="137">
        <f>IF(REKAP[[#This Row],[Selisih]]&lt;=-1,REKAP[[#This Row],[Harga Satuan]]*REKAP[[#This Row],[Selisih]],0)</f>
        <v>0</v>
      </c>
    </row>
    <row r="188" spans="1:20" x14ac:dyDescent="0.25">
      <c r="A188" s="55" t="s">
        <v>380</v>
      </c>
      <c r="B188" s="55" t="s">
        <v>3326</v>
      </c>
      <c r="C188" s="55" t="s">
        <v>3349</v>
      </c>
      <c r="D188" s="56" t="s">
        <v>146</v>
      </c>
      <c r="E188" s="57" t="s">
        <v>3347</v>
      </c>
      <c r="F188" s="75" t="s">
        <v>251</v>
      </c>
      <c r="G188" s="55"/>
      <c r="H188" s="58">
        <v>5500</v>
      </c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19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19</v>
      </c>
      <c r="P188" s="55"/>
      <c r="Q188" s="62">
        <f>REKAP[[#This Row],[Harga Satuan]]*REKAP[[#This Row],[Stok Akhir]]</f>
        <v>104500</v>
      </c>
      <c r="R188" s="61">
        <f>IF(REKAP[[#This Row],[Stok Aktual]]&lt;&gt;"",REKAP[[#This Row],[Stok Aktual]]-REKAP[[#This Row],[Stok Akhir]],0)</f>
        <v>0</v>
      </c>
      <c r="S188" s="132"/>
      <c r="T188" s="137">
        <f>IF(REKAP[[#This Row],[Selisih]]&lt;=-1,REKAP[[#This Row],[Harga Satuan]]*REKAP[[#This Row],[Selisih]],0)</f>
        <v>0</v>
      </c>
    </row>
    <row r="189" spans="1:20" x14ac:dyDescent="0.25">
      <c r="A189" s="55" t="s">
        <v>381</v>
      </c>
      <c r="B189" s="55" t="s">
        <v>3326</v>
      </c>
      <c r="C189" s="55" t="s">
        <v>3349</v>
      </c>
      <c r="D189" s="56" t="s">
        <v>147</v>
      </c>
      <c r="E189" s="57" t="s">
        <v>3347</v>
      </c>
      <c r="F189" s="75" t="s">
        <v>251</v>
      </c>
      <c r="G189" s="55"/>
      <c r="H189" s="58">
        <v>4300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30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30</v>
      </c>
      <c r="P189" s="55"/>
      <c r="Q189" s="62">
        <f>REKAP[[#This Row],[Harga Satuan]]*REKAP[[#This Row],[Stok Akhir]]</f>
        <v>129000</v>
      </c>
      <c r="R189" s="61">
        <f>IF(REKAP[[#This Row],[Stok Aktual]]&lt;&gt;"",REKAP[[#This Row],[Stok Aktual]]-REKAP[[#This Row],[Stok Akhir]],0)</f>
        <v>0</v>
      </c>
      <c r="S189" s="132"/>
      <c r="T189" s="137">
        <f>IF(REKAP[[#This Row],[Selisih]]&lt;=-1,REKAP[[#This Row],[Harga Satuan]]*REKAP[[#This Row],[Selisih]],0)</f>
        <v>0</v>
      </c>
    </row>
    <row r="190" spans="1:20" x14ac:dyDescent="0.25">
      <c r="A190" s="55" t="s">
        <v>382</v>
      </c>
      <c r="B190" s="55" t="s">
        <v>3326</v>
      </c>
      <c r="C190" s="55" t="s">
        <v>3349</v>
      </c>
      <c r="D190" s="56" t="s">
        <v>148</v>
      </c>
      <c r="E190" s="57" t="s">
        <v>3347</v>
      </c>
      <c r="F190" s="75" t="s">
        <v>251</v>
      </c>
      <c r="G190" s="55"/>
      <c r="H190" s="58">
        <v>7410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38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38</v>
      </c>
      <c r="P190" s="55"/>
      <c r="Q190" s="62">
        <f>REKAP[[#This Row],[Harga Satuan]]*REKAP[[#This Row],[Stok Akhir]]</f>
        <v>281580</v>
      </c>
      <c r="R190" s="61">
        <f>IF(REKAP[[#This Row],[Stok Aktual]]&lt;&gt;"",REKAP[[#This Row],[Stok Aktual]]-REKAP[[#This Row],[Stok Akhir]],0)</f>
        <v>0</v>
      </c>
      <c r="S190" s="132"/>
      <c r="T190" s="137">
        <f>IF(REKAP[[#This Row],[Selisih]]&lt;=-1,REKAP[[#This Row],[Harga Satuan]]*REKAP[[#This Row],[Selisih]],0)</f>
        <v>0</v>
      </c>
    </row>
    <row r="191" spans="1:20" x14ac:dyDescent="0.25">
      <c r="A191" s="55" t="s">
        <v>383</v>
      </c>
      <c r="B191" s="55" t="s">
        <v>3326</v>
      </c>
      <c r="C191" s="55" t="s">
        <v>3349</v>
      </c>
      <c r="D191" s="56" t="s">
        <v>149</v>
      </c>
      <c r="E191" s="57" t="s">
        <v>3347</v>
      </c>
      <c r="F191" s="75" t="s">
        <v>251</v>
      </c>
      <c r="G191" s="55"/>
      <c r="H191" s="58">
        <v>3230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29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29</v>
      </c>
      <c r="P191" s="55"/>
      <c r="Q191" s="62">
        <f>REKAP[[#This Row],[Harga Satuan]]*REKAP[[#This Row],[Stok Akhir]]</f>
        <v>93670</v>
      </c>
      <c r="R191" s="61">
        <f>IF(REKAP[[#This Row],[Stok Aktual]]&lt;&gt;"",REKAP[[#This Row],[Stok Aktual]]-REKAP[[#This Row],[Stok Akhir]],0)</f>
        <v>0</v>
      </c>
      <c r="S191" s="132"/>
      <c r="T191" s="137">
        <f>IF(REKAP[[#This Row],[Selisih]]&lt;=-1,REKAP[[#This Row],[Harga Satuan]]*REKAP[[#This Row],[Selisih]],0)</f>
        <v>0</v>
      </c>
    </row>
    <row r="192" spans="1:20" x14ac:dyDescent="0.25">
      <c r="A192" s="55" t="s">
        <v>384</v>
      </c>
      <c r="B192" s="55" t="s">
        <v>3326</v>
      </c>
      <c r="C192" s="55" t="s">
        <v>3349</v>
      </c>
      <c r="D192" s="56" t="s">
        <v>150</v>
      </c>
      <c r="E192" s="57" t="s">
        <v>3347</v>
      </c>
      <c r="F192" s="75" t="s">
        <v>251</v>
      </c>
      <c r="G192" s="55"/>
      <c r="H192" s="58">
        <v>7000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20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20</v>
      </c>
      <c r="P192" s="55"/>
      <c r="Q192" s="62">
        <f>REKAP[[#This Row],[Harga Satuan]]*REKAP[[#This Row],[Stok Akhir]]</f>
        <v>140000</v>
      </c>
      <c r="R192" s="61">
        <f>IF(REKAP[[#This Row],[Stok Aktual]]&lt;&gt;"",REKAP[[#This Row],[Stok Aktual]]-REKAP[[#This Row],[Stok Akhir]],0)</f>
        <v>0</v>
      </c>
      <c r="S192" s="132"/>
      <c r="T192" s="137">
        <f>IF(REKAP[[#This Row],[Selisih]]&lt;=-1,REKAP[[#This Row],[Harga Satuan]]*REKAP[[#This Row],[Selisih]],0)</f>
        <v>0</v>
      </c>
    </row>
    <row r="193" spans="1:20" x14ac:dyDescent="0.25">
      <c r="A193" s="55" t="s">
        <v>385</v>
      </c>
      <c r="B193" s="55" t="s">
        <v>3326</v>
      </c>
      <c r="C193" s="55" t="s">
        <v>3349</v>
      </c>
      <c r="D193" s="56" t="s">
        <v>151</v>
      </c>
      <c r="E193" s="57" t="s">
        <v>3347</v>
      </c>
      <c r="F193" s="75" t="s">
        <v>251</v>
      </c>
      <c r="G193" s="55"/>
      <c r="H193" s="58">
        <v>9700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5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5</v>
      </c>
      <c r="P193" s="55"/>
      <c r="Q193" s="62">
        <f>REKAP[[#This Row],[Harga Satuan]]*REKAP[[#This Row],[Stok Akhir]]</f>
        <v>48500</v>
      </c>
      <c r="R193" s="61">
        <f>IF(REKAP[[#This Row],[Stok Aktual]]&lt;&gt;"",REKAP[[#This Row],[Stok Aktual]]-REKAP[[#This Row],[Stok Akhir]],0)</f>
        <v>0</v>
      </c>
      <c r="S193" s="132"/>
      <c r="T193" s="137">
        <f>IF(REKAP[[#This Row],[Selisih]]&lt;=-1,REKAP[[#This Row],[Harga Satuan]]*REKAP[[#This Row],[Selisih]],0)</f>
        <v>0</v>
      </c>
    </row>
    <row r="194" spans="1:20" x14ac:dyDescent="0.25">
      <c r="A194" s="55" t="s">
        <v>386</v>
      </c>
      <c r="B194" s="55" t="s">
        <v>3326</v>
      </c>
      <c r="C194" s="55" t="s">
        <v>3349</v>
      </c>
      <c r="D194" s="56" t="s">
        <v>152</v>
      </c>
      <c r="E194" s="57" t="s">
        <v>3347</v>
      </c>
      <c r="F194" s="75" t="s">
        <v>251</v>
      </c>
      <c r="G194" s="55"/>
      <c r="H194" s="58">
        <v>2379.96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23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23</v>
      </c>
      <c r="P194" s="55"/>
      <c r="Q194" s="62">
        <f>REKAP[[#This Row],[Harga Satuan]]*REKAP[[#This Row],[Stok Akhir]]</f>
        <v>54739.08</v>
      </c>
      <c r="R194" s="61">
        <f>IF(REKAP[[#This Row],[Stok Aktual]]&lt;&gt;"",REKAP[[#This Row],[Stok Aktual]]-REKAP[[#This Row],[Stok Akhir]],0)</f>
        <v>0</v>
      </c>
      <c r="S194" s="132"/>
      <c r="T194" s="137">
        <f>IF(REKAP[[#This Row],[Selisih]]&lt;=-1,REKAP[[#This Row],[Harga Satuan]]*REKAP[[#This Row],[Selisih]],0)</f>
        <v>0</v>
      </c>
    </row>
    <row r="195" spans="1:20" x14ac:dyDescent="0.25">
      <c r="A195" s="55" t="s">
        <v>387</v>
      </c>
      <c r="B195" s="55" t="s">
        <v>3326</v>
      </c>
      <c r="C195" s="55" t="s">
        <v>3349</v>
      </c>
      <c r="D195" s="56" t="s">
        <v>153</v>
      </c>
      <c r="E195" s="57" t="s">
        <v>3347</v>
      </c>
      <c r="F195" s="75" t="s">
        <v>251</v>
      </c>
      <c r="G195" s="55"/>
      <c r="H195" s="58">
        <v>5198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21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21</v>
      </c>
      <c r="P195" s="55"/>
      <c r="Q195" s="62">
        <f>REKAP[[#This Row],[Harga Satuan]]*REKAP[[#This Row],[Stok Akhir]]</f>
        <v>109158</v>
      </c>
      <c r="R195" s="61">
        <f>IF(REKAP[[#This Row],[Stok Aktual]]&lt;&gt;"",REKAP[[#This Row],[Stok Aktual]]-REKAP[[#This Row],[Stok Akhir]],0)</f>
        <v>0</v>
      </c>
      <c r="S195" s="132"/>
      <c r="T195" s="137">
        <f>IF(REKAP[[#This Row],[Selisih]]&lt;=-1,REKAP[[#This Row],[Harga Satuan]]*REKAP[[#This Row],[Selisih]],0)</f>
        <v>0</v>
      </c>
    </row>
    <row r="196" spans="1:20" x14ac:dyDescent="0.25">
      <c r="A196" s="55" t="s">
        <v>388</v>
      </c>
      <c r="B196" s="55" t="s">
        <v>3326</v>
      </c>
      <c r="C196" s="55" t="s">
        <v>3349</v>
      </c>
      <c r="D196" s="56" t="s">
        <v>154</v>
      </c>
      <c r="E196" s="57" t="s">
        <v>3347</v>
      </c>
      <c r="F196" s="75" t="s">
        <v>251</v>
      </c>
      <c r="G196" s="55"/>
      <c r="H196" s="58">
        <v>19819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3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3</v>
      </c>
      <c r="P196" s="55"/>
      <c r="Q196" s="62">
        <f>REKAP[[#This Row],[Harga Satuan]]*REKAP[[#This Row],[Stok Akhir]]</f>
        <v>59457</v>
      </c>
      <c r="R196" s="61">
        <f>IF(REKAP[[#This Row],[Stok Aktual]]&lt;&gt;"",REKAP[[#This Row],[Stok Aktual]]-REKAP[[#This Row],[Stok Akhir]],0)</f>
        <v>0</v>
      </c>
      <c r="S196" s="132"/>
      <c r="T196" s="137">
        <f>IF(REKAP[[#This Row],[Selisih]]&lt;=-1,REKAP[[#This Row],[Harga Satuan]]*REKAP[[#This Row],[Selisih]],0)</f>
        <v>0</v>
      </c>
    </row>
    <row r="197" spans="1:20" x14ac:dyDescent="0.25">
      <c r="A197" s="55" t="s">
        <v>389</v>
      </c>
      <c r="B197" s="55" t="s">
        <v>3326</v>
      </c>
      <c r="C197" s="55" t="s">
        <v>3349</v>
      </c>
      <c r="D197" s="56" t="s">
        <v>155</v>
      </c>
      <c r="E197" s="57" t="s">
        <v>3347</v>
      </c>
      <c r="F197" s="75" t="s">
        <v>251</v>
      </c>
      <c r="G197" s="55"/>
      <c r="H197" s="58">
        <v>6800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38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38</v>
      </c>
      <c r="P197" s="55"/>
      <c r="Q197" s="62">
        <f>REKAP[[#This Row],[Harga Satuan]]*REKAP[[#This Row],[Stok Akhir]]</f>
        <v>258400</v>
      </c>
      <c r="R197" s="61">
        <f>IF(REKAP[[#This Row],[Stok Aktual]]&lt;&gt;"",REKAP[[#This Row],[Stok Aktual]]-REKAP[[#This Row],[Stok Akhir]],0)</f>
        <v>0</v>
      </c>
      <c r="S197" s="132"/>
      <c r="T197" s="137">
        <f>IF(REKAP[[#This Row],[Selisih]]&lt;=-1,REKAP[[#This Row],[Harga Satuan]]*REKAP[[#This Row],[Selisih]],0)</f>
        <v>0</v>
      </c>
    </row>
    <row r="198" spans="1:20" x14ac:dyDescent="0.25">
      <c r="A198" s="55" t="s">
        <v>390</v>
      </c>
      <c r="B198" s="55" t="s">
        <v>3326</v>
      </c>
      <c r="C198" s="55" t="s">
        <v>3349</v>
      </c>
      <c r="D198" s="56" t="s">
        <v>156</v>
      </c>
      <c r="E198" s="57" t="s">
        <v>3347</v>
      </c>
      <c r="F198" s="75" t="s">
        <v>251</v>
      </c>
      <c r="G198" s="55"/>
      <c r="H198" s="58">
        <v>4000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22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22</v>
      </c>
      <c r="P198" s="55"/>
      <c r="Q198" s="62">
        <f>REKAP[[#This Row],[Harga Satuan]]*REKAP[[#This Row],[Stok Akhir]]</f>
        <v>88000</v>
      </c>
      <c r="R198" s="61">
        <f>IF(REKAP[[#This Row],[Stok Aktual]]&lt;&gt;"",REKAP[[#This Row],[Stok Aktual]]-REKAP[[#This Row],[Stok Akhir]],0)</f>
        <v>0</v>
      </c>
      <c r="S198" s="132"/>
      <c r="T198" s="137">
        <f>IF(REKAP[[#This Row],[Selisih]]&lt;=-1,REKAP[[#This Row],[Harga Satuan]]*REKAP[[#This Row],[Selisih]],0)</f>
        <v>0</v>
      </c>
    </row>
    <row r="199" spans="1:20" x14ac:dyDescent="0.25">
      <c r="A199" s="55" t="s">
        <v>391</v>
      </c>
      <c r="B199" s="55" t="s">
        <v>3326</v>
      </c>
      <c r="C199" s="55" t="s">
        <v>3349</v>
      </c>
      <c r="D199" s="56" t="s">
        <v>157</v>
      </c>
      <c r="E199" s="57" t="s">
        <v>3347</v>
      </c>
      <c r="F199" s="75" t="s">
        <v>251</v>
      </c>
      <c r="G199" s="55" t="s">
        <v>10</v>
      </c>
      <c r="H199" s="58">
        <v>6745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32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32</v>
      </c>
      <c r="P199" s="55"/>
      <c r="Q199" s="62">
        <f>REKAP[[#This Row],[Harga Satuan]]*REKAP[[#This Row],[Stok Akhir]]</f>
        <v>215840</v>
      </c>
      <c r="R199" s="61">
        <f>IF(REKAP[[#This Row],[Stok Aktual]]&lt;&gt;"",REKAP[[#This Row],[Stok Aktual]]-REKAP[[#This Row],[Stok Akhir]],0)</f>
        <v>0</v>
      </c>
      <c r="S199" s="132"/>
      <c r="T199" s="137">
        <f>IF(REKAP[[#This Row],[Selisih]]&lt;=-1,REKAP[[#This Row],[Harga Satuan]]*REKAP[[#This Row],[Selisih]],0)</f>
        <v>0</v>
      </c>
    </row>
    <row r="200" spans="1:20" x14ac:dyDescent="0.25">
      <c r="A200" s="55" t="s">
        <v>392</v>
      </c>
      <c r="B200" s="55" t="s">
        <v>3326</v>
      </c>
      <c r="C200" s="55" t="s">
        <v>3349</v>
      </c>
      <c r="D200" s="56" t="s">
        <v>158</v>
      </c>
      <c r="E200" s="57" t="s">
        <v>3347</v>
      </c>
      <c r="F200" s="75" t="s">
        <v>251</v>
      </c>
      <c r="G200" s="55"/>
      <c r="H200" s="58">
        <v>7500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16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16</v>
      </c>
      <c r="P200" s="55"/>
      <c r="Q200" s="62">
        <f>REKAP[[#This Row],[Harga Satuan]]*REKAP[[#This Row],[Stok Akhir]]</f>
        <v>120000</v>
      </c>
      <c r="R200" s="61">
        <f>IF(REKAP[[#This Row],[Stok Aktual]]&lt;&gt;"",REKAP[[#This Row],[Stok Aktual]]-REKAP[[#This Row],[Stok Akhir]],0)</f>
        <v>0</v>
      </c>
      <c r="S200" s="132"/>
      <c r="T200" s="137">
        <f>IF(REKAP[[#This Row],[Selisih]]&lt;=-1,REKAP[[#This Row],[Harga Satuan]]*REKAP[[#This Row],[Selisih]],0)</f>
        <v>0</v>
      </c>
    </row>
    <row r="201" spans="1:20" x14ac:dyDescent="0.25">
      <c r="A201" s="55" t="s">
        <v>393</v>
      </c>
      <c r="B201" s="55" t="s">
        <v>3326</v>
      </c>
      <c r="C201" s="55" t="s">
        <v>3349</v>
      </c>
      <c r="D201" s="56" t="s">
        <v>159</v>
      </c>
      <c r="E201" s="57" t="s">
        <v>3347</v>
      </c>
      <c r="F201" s="75" t="s">
        <v>251</v>
      </c>
      <c r="G201" s="55" t="s">
        <v>10</v>
      </c>
      <c r="H201" s="58">
        <v>8400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30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30</v>
      </c>
      <c r="P201" s="55"/>
      <c r="Q201" s="62">
        <f>REKAP[[#This Row],[Harga Satuan]]*REKAP[[#This Row],[Stok Akhir]]</f>
        <v>252000</v>
      </c>
      <c r="R201" s="61">
        <f>IF(REKAP[[#This Row],[Stok Aktual]]&lt;&gt;"",REKAP[[#This Row],[Stok Aktual]]-REKAP[[#This Row],[Stok Akhir]],0)</f>
        <v>0</v>
      </c>
      <c r="S201" s="132"/>
      <c r="T201" s="137">
        <f>IF(REKAP[[#This Row],[Selisih]]&lt;=-1,REKAP[[#This Row],[Harga Satuan]]*REKAP[[#This Row],[Selisih]],0)</f>
        <v>0</v>
      </c>
    </row>
    <row r="202" spans="1:20" x14ac:dyDescent="0.25">
      <c r="A202" s="55" t="s">
        <v>394</v>
      </c>
      <c r="B202" s="55" t="s">
        <v>3326</v>
      </c>
      <c r="C202" s="55" t="s">
        <v>3349</v>
      </c>
      <c r="D202" s="56" t="s">
        <v>160</v>
      </c>
      <c r="E202" s="57" t="s">
        <v>3347</v>
      </c>
      <c r="F202" s="75" t="s">
        <v>251</v>
      </c>
      <c r="G202" s="55"/>
      <c r="H202" s="58">
        <v>4515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1</v>
      </c>
      <c r="K202" s="60">
        <f>REKAP[[#This Row],[Trx In]]+REKAP[[#This Row],[Trx Out]]</f>
        <v>1</v>
      </c>
      <c r="L202" s="55">
        <v>12</v>
      </c>
      <c r="M202" s="74">
        <f>SUMIF(MASUK!$C:$C,REKAP[[#This Row],[ID]],MASUK!$H:$H)</f>
        <v>0</v>
      </c>
      <c r="N202" s="74">
        <f>SUMIF(KELUAR!$C:$C,REKAP[[#This Row],[ID]],KELUAR!$H:$H)</f>
        <v>4</v>
      </c>
      <c r="O202" s="74">
        <f>REKAP[[#This Row],[Stok Awal]]+REKAP[[#This Row],[Masuk]]-REKAP[[#This Row],[Keluar]]</f>
        <v>8</v>
      </c>
      <c r="P202" s="55">
        <v>8</v>
      </c>
      <c r="Q202" s="62">
        <f>REKAP[[#This Row],[Harga Satuan]]*REKAP[[#This Row],[Stok Akhir]]</f>
        <v>36120</v>
      </c>
      <c r="R202" s="61">
        <f>IF(REKAP[[#This Row],[Stok Aktual]]&lt;&gt;"",REKAP[[#This Row],[Stok Aktual]]-REKAP[[#This Row],[Stok Akhir]],0)</f>
        <v>0</v>
      </c>
      <c r="S202" s="132"/>
      <c r="T202" s="137">
        <f>IF(REKAP[[#This Row],[Selisih]]&lt;=-1,REKAP[[#This Row],[Harga Satuan]]*REKAP[[#This Row],[Selisih]],0)</f>
        <v>0</v>
      </c>
    </row>
    <row r="203" spans="1:20" x14ac:dyDescent="0.25">
      <c r="A203" s="55" t="s">
        <v>395</v>
      </c>
      <c r="B203" s="55" t="s">
        <v>3326</v>
      </c>
      <c r="C203" s="55" t="s">
        <v>3349</v>
      </c>
      <c r="D203" s="56" t="s">
        <v>161</v>
      </c>
      <c r="E203" s="57" t="s">
        <v>3347</v>
      </c>
      <c r="F203" s="75" t="s">
        <v>251</v>
      </c>
      <c r="G203" s="55"/>
      <c r="H203" s="58">
        <v>8900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16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16</v>
      </c>
      <c r="P203" s="55"/>
      <c r="Q203" s="62">
        <f>REKAP[[#This Row],[Harga Satuan]]*REKAP[[#This Row],[Stok Akhir]]</f>
        <v>142400</v>
      </c>
      <c r="R203" s="61">
        <f>IF(REKAP[[#This Row],[Stok Aktual]]&lt;&gt;"",REKAP[[#This Row],[Stok Aktual]]-REKAP[[#This Row],[Stok Akhir]],0)</f>
        <v>0</v>
      </c>
      <c r="S203" s="132"/>
      <c r="T203" s="137">
        <f>IF(REKAP[[#This Row],[Selisih]]&lt;=-1,REKAP[[#This Row],[Harga Satuan]]*REKAP[[#This Row],[Selisih]],0)</f>
        <v>0</v>
      </c>
    </row>
    <row r="204" spans="1:20" x14ac:dyDescent="0.25">
      <c r="A204" s="55" t="s">
        <v>396</v>
      </c>
      <c r="B204" s="55" t="s">
        <v>3326</v>
      </c>
      <c r="C204" s="55" t="s">
        <v>3349</v>
      </c>
      <c r="D204" s="56" t="s">
        <v>162</v>
      </c>
      <c r="E204" s="57" t="s">
        <v>3347</v>
      </c>
      <c r="F204" s="75" t="s">
        <v>251</v>
      </c>
      <c r="G204" s="55"/>
      <c r="H204" s="58">
        <v>13500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19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19</v>
      </c>
      <c r="P204" s="55"/>
      <c r="Q204" s="62">
        <f>REKAP[[#This Row],[Harga Satuan]]*REKAP[[#This Row],[Stok Akhir]]</f>
        <v>256500</v>
      </c>
      <c r="R204" s="61">
        <f>IF(REKAP[[#This Row],[Stok Aktual]]&lt;&gt;"",REKAP[[#This Row],[Stok Aktual]]-REKAP[[#This Row],[Stok Akhir]],0)</f>
        <v>0</v>
      </c>
      <c r="S204" s="132"/>
      <c r="T204" s="137">
        <f>IF(REKAP[[#This Row],[Selisih]]&lt;=-1,REKAP[[#This Row],[Harga Satuan]]*REKAP[[#This Row],[Selisih]],0)</f>
        <v>0</v>
      </c>
    </row>
    <row r="205" spans="1:20" x14ac:dyDescent="0.25">
      <c r="A205" s="55" t="s">
        <v>397</v>
      </c>
      <c r="B205" s="55" t="s">
        <v>3326</v>
      </c>
      <c r="C205" s="55" t="s">
        <v>3349</v>
      </c>
      <c r="D205" s="56" t="s">
        <v>163</v>
      </c>
      <c r="E205" s="57" t="s">
        <v>3347</v>
      </c>
      <c r="F205" s="75" t="s">
        <v>251</v>
      </c>
      <c r="G205" s="55" t="s">
        <v>10</v>
      </c>
      <c r="H205" s="58">
        <v>10500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20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20</v>
      </c>
      <c r="P205" s="55"/>
      <c r="Q205" s="62">
        <f>REKAP[[#This Row],[Harga Satuan]]*REKAP[[#This Row],[Stok Akhir]]</f>
        <v>210000</v>
      </c>
      <c r="R205" s="61">
        <f>IF(REKAP[[#This Row],[Stok Aktual]]&lt;&gt;"",REKAP[[#This Row],[Stok Aktual]]-REKAP[[#This Row],[Stok Akhir]],0)</f>
        <v>0</v>
      </c>
      <c r="S205" s="132"/>
      <c r="T205" s="137">
        <f>IF(REKAP[[#This Row],[Selisih]]&lt;=-1,REKAP[[#This Row],[Harga Satuan]]*REKAP[[#This Row],[Selisih]],0)</f>
        <v>0</v>
      </c>
    </row>
    <row r="206" spans="1:20" x14ac:dyDescent="0.25">
      <c r="A206" s="55" t="s">
        <v>398</v>
      </c>
      <c r="B206" s="55" t="s">
        <v>3326</v>
      </c>
      <c r="C206" s="55" t="s">
        <v>3349</v>
      </c>
      <c r="D206" s="56" t="s">
        <v>164</v>
      </c>
      <c r="E206" s="57" t="s">
        <v>3347</v>
      </c>
      <c r="F206" s="75" t="s">
        <v>251</v>
      </c>
      <c r="G206" s="55"/>
      <c r="H206" s="58">
        <v>11800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10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10</v>
      </c>
      <c r="P206" s="55"/>
      <c r="Q206" s="62">
        <f>REKAP[[#This Row],[Harga Satuan]]*REKAP[[#This Row],[Stok Akhir]]</f>
        <v>118000</v>
      </c>
      <c r="R206" s="61">
        <f>IF(REKAP[[#This Row],[Stok Aktual]]&lt;&gt;"",REKAP[[#This Row],[Stok Aktual]]-REKAP[[#This Row],[Stok Akhir]],0)</f>
        <v>0</v>
      </c>
      <c r="S206" s="132"/>
      <c r="T206" s="137">
        <f>IF(REKAP[[#This Row],[Selisih]]&lt;=-1,REKAP[[#This Row],[Harga Satuan]]*REKAP[[#This Row],[Selisih]],0)</f>
        <v>0</v>
      </c>
    </row>
    <row r="207" spans="1:20" x14ac:dyDescent="0.25">
      <c r="A207" s="55" t="s">
        <v>399</v>
      </c>
      <c r="B207" s="55" t="s">
        <v>3326</v>
      </c>
      <c r="C207" s="55" t="s">
        <v>3349</v>
      </c>
      <c r="D207" s="56" t="s">
        <v>165</v>
      </c>
      <c r="E207" s="57" t="s">
        <v>3347</v>
      </c>
      <c r="F207" s="75" t="s">
        <v>251</v>
      </c>
      <c r="G207" s="55"/>
      <c r="H207" s="58">
        <v>7000</v>
      </c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2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2</v>
      </c>
      <c r="P207" s="55"/>
      <c r="Q207" s="62">
        <f>REKAP[[#This Row],[Harga Satuan]]*REKAP[[#This Row],[Stok Akhir]]</f>
        <v>14000</v>
      </c>
      <c r="R207" s="61">
        <f>IF(REKAP[[#This Row],[Stok Aktual]]&lt;&gt;"",REKAP[[#This Row],[Stok Aktual]]-REKAP[[#This Row],[Stok Akhir]],0)</f>
        <v>0</v>
      </c>
      <c r="S207" s="132"/>
      <c r="T207" s="137">
        <f>IF(REKAP[[#This Row],[Selisih]]&lt;=-1,REKAP[[#This Row],[Harga Satuan]]*REKAP[[#This Row],[Selisih]],0)</f>
        <v>0</v>
      </c>
    </row>
    <row r="208" spans="1:20" x14ac:dyDescent="0.25">
      <c r="A208" s="55" t="s">
        <v>400</v>
      </c>
      <c r="B208" s="55" t="s">
        <v>3326</v>
      </c>
      <c r="C208" s="55" t="s">
        <v>3349</v>
      </c>
      <c r="D208" s="56" t="s">
        <v>166</v>
      </c>
      <c r="E208" s="57" t="s">
        <v>3347</v>
      </c>
      <c r="F208" s="75" t="s">
        <v>251</v>
      </c>
      <c r="G208" s="55"/>
      <c r="H208" s="58">
        <v>6270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11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11</v>
      </c>
      <c r="P208" s="55"/>
      <c r="Q208" s="62">
        <f>REKAP[[#This Row],[Harga Satuan]]*REKAP[[#This Row],[Stok Akhir]]</f>
        <v>68970</v>
      </c>
      <c r="R208" s="61">
        <f>IF(REKAP[[#This Row],[Stok Aktual]]&lt;&gt;"",REKAP[[#This Row],[Stok Aktual]]-REKAP[[#This Row],[Stok Akhir]],0)</f>
        <v>0</v>
      </c>
      <c r="S208" s="132"/>
      <c r="T208" s="137">
        <f>IF(REKAP[[#This Row],[Selisih]]&lt;=-1,REKAP[[#This Row],[Harga Satuan]]*REKAP[[#This Row],[Selisih]],0)</f>
        <v>0</v>
      </c>
    </row>
    <row r="209" spans="1:20" x14ac:dyDescent="0.25">
      <c r="A209" s="55" t="s">
        <v>401</v>
      </c>
      <c r="B209" s="55" t="s">
        <v>3326</v>
      </c>
      <c r="C209" s="55" t="s">
        <v>3349</v>
      </c>
      <c r="D209" s="56" t="s">
        <v>167</v>
      </c>
      <c r="E209" s="57" t="s">
        <v>3347</v>
      </c>
      <c r="F209" s="75" t="s">
        <v>251</v>
      </c>
      <c r="G209" s="55" t="s">
        <v>10</v>
      </c>
      <c r="H209" s="58">
        <v>14250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0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0</v>
      </c>
      <c r="P209" s="55"/>
      <c r="Q209" s="62">
        <f>REKAP[[#This Row],[Harga Satuan]]*REKAP[[#This Row],[Stok Akhir]]</f>
        <v>0</v>
      </c>
      <c r="R209" s="61">
        <f>IF(REKAP[[#This Row],[Stok Aktual]]&lt;&gt;"",REKAP[[#This Row],[Stok Aktual]]-REKAP[[#This Row],[Stok Akhir]],0)</f>
        <v>0</v>
      </c>
      <c r="S209" s="132"/>
      <c r="T209" s="137">
        <f>IF(REKAP[[#This Row],[Selisih]]&lt;=-1,REKAP[[#This Row],[Harga Satuan]]*REKAP[[#This Row],[Selisih]],0)</f>
        <v>0</v>
      </c>
    </row>
    <row r="210" spans="1:20" x14ac:dyDescent="0.25">
      <c r="A210" s="55" t="s">
        <v>402</v>
      </c>
      <c r="B210" s="55" t="s">
        <v>3326</v>
      </c>
      <c r="C210" s="55" t="s">
        <v>3349</v>
      </c>
      <c r="D210" s="56" t="s">
        <v>168</v>
      </c>
      <c r="E210" s="57" t="s">
        <v>3347</v>
      </c>
      <c r="F210" s="75" t="s">
        <v>251</v>
      </c>
      <c r="G210" s="55" t="s">
        <v>244</v>
      </c>
      <c r="H210" s="58">
        <v>20000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3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3</v>
      </c>
      <c r="P210" s="55"/>
      <c r="Q210" s="62">
        <f>REKAP[[#This Row],[Harga Satuan]]*REKAP[[#This Row],[Stok Akhir]]</f>
        <v>60000</v>
      </c>
      <c r="R210" s="61">
        <f>IF(REKAP[[#This Row],[Stok Aktual]]&lt;&gt;"",REKAP[[#This Row],[Stok Aktual]]-REKAP[[#This Row],[Stok Akhir]],0)</f>
        <v>0</v>
      </c>
      <c r="S210" s="132"/>
      <c r="T210" s="137">
        <f>IF(REKAP[[#This Row],[Selisih]]&lt;=-1,REKAP[[#This Row],[Harga Satuan]]*REKAP[[#This Row],[Selisih]],0)</f>
        <v>0</v>
      </c>
    </row>
    <row r="211" spans="1:20" x14ac:dyDescent="0.25">
      <c r="A211" s="55" t="s">
        <v>403</v>
      </c>
      <c r="B211" s="55" t="s">
        <v>3326</v>
      </c>
      <c r="C211" s="55" t="s">
        <v>3349</v>
      </c>
      <c r="D211" s="56" t="s">
        <v>169</v>
      </c>
      <c r="E211" s="57" t="s">
        <v>3347</v>
      </c>
      <c r="F211" s="75" t="s">
        <v>251</v>
      </c>
      <c r="G211" s="55"/>
      <c r="H211" s="58">
        <v>15000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>
        <f>IF(REKAP[[#This Row],[Stok Aktual]]&lt;&gt;"",REKAP[[#This Row],[Stok Aktual]]-REKAP[[#This Row],[Stok Akhir]],0)</f>
        <v>0</v>
      </c>
      <c r="S211" s="132"/>
      <c r="T211" s="137">
        <f>IF(REKAP[[#This Row],[Selisih]]&lt;=-1,REKAP[[#This Row],[Harga Satuan]]*REKAP[[#This Row],[Selisih]],0)</f>
        <v>0</v>
      </c>
    </row>
    <row r="212" spans="1:20" x14ac:dyDescent="0.25">
      <c r="A212" s="55" t="s">
        <v>404</v>
      </c>
      <c r="B212" s="55" t="s">
        <v>3326</v>
      </c>
      <c r="C212" s="55" t="s">
        <v>3349</v>
      </c>
      <c r="D212" s="56" t="s">
        <v>170</v>
      </c>
      <c r="E212" s="57" t="s">
        <v>3347</v>
      </c>
      <c r="F212" s="75" t="s">
        <v>251</v>
      </c>
      <c r="G212" s="55"/>
      <c r="H212" s="58">
        <v>11500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8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8</v>
      </c>
      <c r="P212" s="55"/>
      <c r="Q212" s="62">
        <f>REKAP[[#This Row],[Harga Satuan]]*REKAP[[#This Row],[Stok Akhir]]</f>
        <v>92000</v>
      </c>
      <c r="R212" s="61">
        <f>IF(REKAP[[#This Row],[Stok Aktual]]&lt;&gt;"",REKAP[[#This Row],[Stok Aktual]]-REKAP[[#This Row],[Stok Akhir]],0)</f>
        <v>0</v>
      </c>
      <c r="S212" s="132"/>
      <c r="T212" s="137">
        <f>IF(REKAP[[#This Row],[Selisih]]&lt;=-1,REKAP[[#This Row],[Harga Satuan]]*REKAP[[#This Row],[Selisih]],0)</f>
        <v>0</v>
      </c>
    </row>
    <row r="213" spans="1:20" x14ac:dyDescent="0.25">
      <c r="A213" s="55" t="s">
        <v>405</v>
      </c>
      <c r="B213" s="55" t="s">
        <v>3326</v>
      </c>
      <c r="C213" s="55" t="s">
        <v>3349</v>
      </c>
      <c r="D213" s="56" t="s">
        <v>171</v>
      </c>
      <c r="E213" s="57" t="s">
        <v>3347</v>
      </c>
      <c r="F213" s="75" t="s">
        <v>251</v>
      </c>
      <c r="G213" s="55"/>
      <c r="H213" s="58">
        <v>11500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4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4</v>
      </c>
      <c r="P213" s="55"/>
      <c r="Q213" s="62">
        <f>REKAP[[#This Row],[Harga Satuan]]*REKAP[[#This Row],[Stok Akhir]]</f>
        <v>46000</v>
      </c>
      <c r="R213" s="61">
        <f>IF(REKAP[[#This Row],[Stok Aktual]]&lt;&gt;"",REKAP[[#This Row],[Stok Aktual]]-REKAP[[#This Row],[Stok Akhir]],0)</f>
        <v>0</v>
      </c>
      <c r="S213" s="132"/>
      <c r="T213" s="137">
        <f>IF(REKAP[[#This Row],[Selisih]]&lt;=-1,REKAP[[#This Row],[Harga Satuan]]*REKAP[[#This Row],[Selisih]],0)</f>
        <v>0</v>
      </c>
    </row>
    <row r="214" spans="1:20" x14ac:dyDescent="0.25">
      <c r="A214" s="55" t="s">
        <v>406</v>
      </c>
      <c r="B214" s="55" t="s">
        <v>3326</v>
      </c>
      <c r="C214" s="55" t="s">
        <v>3349</v>
      </c>
      <c r="D214" s="56" t="s">
        <v>172</v>
      </c>
      <c r="E214" s="57" t="s">
        <v>3347</v>
      </c>
      <c r="F214" s="75" t="s">
        <v>251</v>
      </c>
      <c r="G214" s="55" t="s">
        <v>246</v>
      </c>
      <c r="H214" s="58">
        <v>28000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1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1</v>
      </c>
      <c r="P214" s="55"/>
      <c r="Q214" s="62">
        <f>REKAP[[#This Row],[Harga Satuan]]*REKAP[[#This Row],[Stok Akhir]]</f>
        <v>28000</v>
      </c>
      <c r="R214" s="61">
        <f>IF(REKAP[[#This Row],[Stok Aktual]]&lt;&gt;"",REKAP[[#This Row],[Stok Aktual]]-REKAP[[#This Row],[Stok Akhir]],0)</f>
        <v>0</v>
      </c>
      <c r="S214" s="132"/>
      <c r="T214" s="137">
        <f>IF(REKAP[[#This Row],[Selisih]]&lt;=-1,REKAP[[#This Row],[Harga Satuan]]*REKAP[[#This Row],[Selisih]],0)</f>
        <v>0</v>
      </c>
    </row>
    <row r="215" spans="1:20" x14ac:dyDescent="0.25">
      <c r="A215" s="55" t="s">
        <v>407</v>
      </c>
      <c r="B215" s="55" t="s">
        <v>3326</v>
      </c>
      <c r="C215" s="55" t="s">
        <v>3349</v>
      </c>
      <c r="D215" s="56" t="s">
        <v>173</v>
      </c>
      <c r="E215" s="57" t="s">
        <v>3347</v>
      </c>
      <c r="F215" s="75" t="s">
        <v>251</v>
      </c>
      <c r="G215" s="55" t="s">
        <v>246</v>
      </c>
      <c r="H215" s="58">
        <v>44000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4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4</v>
      </c>
      <c r="P215" s="55"/>
      <c r="Q215" s="62">
        <f>REKAP[[#This Row],[Harga Satuan]]*REKAP[[#This Row],[Stok Akhir]]</f>
        <v>176000</v>
      </c>
      <c r="R215" s="61">
        <f>IF(REKAP[[#This Row],[Stok Aktual]]&lt;&gt;"",REKAP[[#This Row],[Stok Aktual]]-REKAP[[#This Row],[Stok Akhir]],0)</f>
        <v>0</v>
      </c>
      <c r="S215" s="132"/>
      <c r="T215" s="137">
        <f>IF(REKAP[[#This Row],[Selisih]]&lt;=-1,REKAP[[#This Row],[Harga Satuan]]*REKAP[[#This Row],[Selisih]],0)</f>
        <v>0</v>
      </c>
    </row>
    <row r="216" spans="1:20" x14ac:dyDescent="0.25">
      <c r="A216" s="55" t="s">
        <v>408</v>
      </c>
      <c r="B216" s="55" t="s">
        <v>3326</v>
      </c>
      <c r="C216" s="55" t="s">
        <v>3349</v>
      </c>
      <c r="D216" s="56" t="s">
        <v>174</v>
      </c>
      <c r="E216" s="57" t="s">
        <v>3347</v>
      </c>
      <c r="F216" s="75" t="s">
        <v>251</v>
      </c>
      <c r="G216" s="55" t="s">
        <v>10</v>
      </c>
      <c r="H216" s="58">
        <v>75000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>
        <f>IF(REKAP[[#This Row],[Stok Aktual]]&lt;&gt;"",REKAP[[#This Row],[Stok Aktual]]-REKAP[[#This Row],[Stok Akhir]],0)</f>
        <v>0</v>
      </c>
      <c r="S216" s="132"/>
      <c r="T216" s="137">
        <f>IF(REKAP[[#This Row],[Selisih]]&lt;=-1,REKAP[[#This Row],[Harga Satuan]]*REKAP[[#This Row],[Selisih]],0)</f>
        <v>0</v>
      </c>
    </row>
    <row r="217" spans="1:20" x14ac:dyDescent="0.25">
      <c r="A217" s="55" t="s">
        <v>409</v>
      </c>
      <c r="B217" s="55" t="s">
        <v>3326</v>
      </c>
      <c r="C217" s="55" t="s">
        <v>3349</v>
      </c>
      <c r="D217" s="56" t="s">
        <v>175</v>
      </c>
      <c r="E217" s="57" t="s">
        <v>3347</v>
      </c>
      <c r="F217" s="75" t="s">
        <v>251</v>
      </c>
      <c r="G217" s="55"/>
      <c r="H217" s="58">
        <v>13459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0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0</v>
      </c>
      <c r="P217" s="55"/>
      <c r="Q217" s="62">
        <f>REKAP[[#This Row],[Harga Satuan]]*REKAP[[#This Row],[Stok Akhir]]</f>
        <v>0</v>
      </c>
      <c r="R217" s="61">
        <f>IF(REKAP[[#This Row],[Stok Aktual]]&lt;&gt;"",REKAP[[#This Row],[Stok Aktual]]-REKAP[[#This Row],[Stok Akhir]],0)</f>
        <v>0</v>
      </c>
      <c r="S217" s="132"/>
      <c r="T217" s="137">
        <f>IF(REKAP[[#This Row],[Selisih]]&lt;=-1,REKAP[[#This Row],[Harga Satuan]]*REKAP[[#This Row],[Selisih]],0)</f>
        <v>0</v>
      </c>
    </row>
    <row r="218" spans="1:20" x14ac:dyDescent="0.25">
      <c r="A218" s="55" t="s">
        <v>410</v>
      </c>
      <c r="B218" s="55" t="s">
        <v>3326</v>
      </c>
      <c r="C218" s="55" t="s">
        <v>3349</v>
      </c>
      <c r="D218" s="56" t="s">
        <v>176</v>
      </c>
      <c r="E218" s="57" t="s">
        <v>3347</v>
      </c>
      <c r="F218" s="75" t="s">
        <v>251</v>
      </c>
      <c r="G218" s="55"/>
      <c r="H218" s="58">
        <v>14000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>
        <f>IF(REKAP[[#This Row],[Stok Aktual]]&lt;&gt;"",REKAP[[#This Row],[Stok Aktual]]-REKAP[[#This Row],[Stok Akhir]],0)</f>
        <v>0</v>
      </c>
      <c r="S218" s="132"/>
      <c r="T218" s="137">
        <f>IF(REKAP[[#This Row],[Selisih]]&lt;=-1,REKAP[[#This Row],[Harga Satuan]]*REKAP[[#This Row],[Selisih]],0)</f>
        <v>0</v>
      </c>
    </row>
    <row r="219" spans="1:20" x14ac:dyDescent="0.25">
      <c r="A219" s="55" t="s">
        <v>411</v>
      </c>
      <c r="B219" s="55" t="s">
        <v>3326</v>
      </c>
      <c r="C219" s="55" t="s">
        <v>3349</v>
      </c>
      <c r="D219" s="56" t="s">
        <v>177</v>
      </c>
      <c r="E219" s="57" t="s">
        <v>3347</v>
      </c>
      <c r="F219" s="75" t="s">
        <v>251</v>
      </c>
      <c r="G219" s="55"/>
      <c r="H219" s="58">
        <v>5928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0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0</v>
      </c>
      <c r="P219" s="55"/>
      <c r="Q219" s="62">
        <f>REKAP[[#This Row],[Harga Satuan]]*REKAP[[#This Row],[Stok Akhir]]</f>
        <v>0</v>
      </c>
      <c r="R219" s="61">
        <f>IF(REKAP[[#This Row],[Stok Aktual]]&lt;&gt;"",REKAP[[#This Row],[Stok Aktual]]-REKAP[[#This Row],[Stok Akhir]],0)</f>
        <v>0</v>
      </c>
      <c r="S219" s="132"/>
      <c r="T219" s="137">
        <f>IF(REKAP[[#This Row],[Selisih]]&lt;=-1,REKAP[[#This Row],[Harga Satuan]]*REKAP[[#This Row],[Selisih]],0)</f>
        <v>0</v>
      </c>
    </row>
    <row r="220" spans="1:20" x14ac:dyDescent="0.25">
      <c r="A220" s="55" t="s">
        <v>412</v>
      </c>
      <c r="B220" s="55" t="s">
        <v>3326</v>
      </c>
      <c r="C220" s="55" t="s">
        <v>3349</v>
      </c>
      <c r="D220" s="56" t="s">
        <v>178</v>
      </c>
      <c r="E220" s="57" t="s">
        <v>3347</v>
      </c>
      <c r="F220" s="75" t="s">
        <v>251</v>
      </c>
      <c r="G220" s="55"/>
      <c r="H220" s="58">
        <v>5928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>
        <f>IF(REKAP[[#This Row],[Stok Aktual]]&lt;&gt;"",REKAP[[#This Row],[Stok Aktual]]-REKAP[[#This Row],[Stok Akhir]],0)</f>
        <v>0</v>
      </c>
      <c r="S220" s="132"/>
      <c r="T220" s="137">
        <f>IF(REKAP[[#This Row],[Selisih]]&lt;=-1,REKAP[[#This Row],[Harga Satuan]]*REKAP[[#This Row],[Selisih]],0)</f>
        <v>0</v>
      </c>
    </row>
    <row r="221" spans="1:20" x14ac:dyDescent="0.25">
      <c r="A221" s="55" t="s">
        <v>413</v>
      </c>
      <c r="B221" s="55" t="s">
        <v>3326</v>
      </c>
      <c r="C221" s="55" t="s">
        <v>3349</v>
      </c>
      <c r="D221" s="56" t="s">
        <v>179</v>
      </c>
      <c r="E221" s="57" t="s">
        <v>3347</v>
      </c>
      <c r="F221" s="75" t="s">
        <v>251</v>
      </c>
      <c r="G221" s="55"/>
      <c r="H221" s="58">
        <v>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>
        <f>IF(REKAP[[#This Row],[Stok Aktual]]&lt;&gt;"",REKAP[[#This Row],[Stok Aktual]]-REKAP[[#This Row],[Stok Akhir]],0)</f>
        <v>0</v>
      </c>
      <c r="S221" s="132"/>
      <c r="T221" s="137">
        <f>IF(REKAP[[#This Row],[Selisih]]&lt;=-1,REKAP[[#This Row],[Harga Satuan]]*REKAP[[#This Row],[Selisih]],0)</f>
        <v>0</v>
      </c>
    </row>
    <row r="222" spans="1:20" x14ac:dyDescent="0.25">
      <c r="A222" s="55" t="s">
        <v>414</v>
      </c>
      <c r="B222" s="55" t="s">
        <v>3326</v>
      </c>
      <c r="C222" s="55" t="s">
        <v>3349</v>
      </c>
      <c r="D222" s="56" t="s">
        <v>180</v>
      </c>
      <c r="E222" s="57" t="s">
        <v>3347</v>
      </c>
      <c r="F222" s="75" t="s">
        <v>251</v>
      </c>
      <c r="G222" s="55"/>
      <c r="H222" s="58">
        <v>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0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0</v>
      </c>
      <c r="P222" s="55"/>
      <c r="Q222" s="62">
        <f>REKAP[[#This Row],[Harga Satuan]]*REKAP[[#This Row],[Stok Akhir]]</f>
        <v>0</v>
      </c>
      <c r="R222" s="61">
        <f>IF(REKAP[[#This Row],[Stok Aktual]]&lt;&gt;"",REKAP[[#This Row],[Stok Aktual]]-REKAP[[#This Row],[Stok Akhir]],0)</f>
        <v>0</v>
      </c>
      <c r="S222" s="132"/>
      <c r="T222" s="137">
        <f>IF(REKAP[[#This Row],[Selisih]]&lt;=-1,REKAP[[#This Row],[Harga Satuan]]*REKAP[[#This Row],[Selisih]],0)</f>
        <v>0</v>
      </c>
    </row>
    <row r="223" spans="1:20" x14ac:dyDescent="0.25">
      <c r="A223" s="55" t="s">
        <v>415</v>
      </c>
      <c r="B223" s="55" t="s">
        <v>3326</v>
      </c>
      <c r="C223" s="55" t="s">
        <v>3349</v>
      </c>
      <c r="D223" s="56" t="s">
        <v>181</v>
      </c>
      <c r="E223" s="57" t="s">
        <v>3347</v>
      </c>
      <c r="F223" s="75" t="s">
        <v>251</v>
      </c>
      <c r="G223" s="55"/>
      <c r="H223" s="58">
        <v>36836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0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0</v>
      </c>
      <c r="P223" s="55"/>
      <c r="Q223" s="62">
        <f>REKAP[[#This Row],[Harga Satuan]]*REKAP[[#This Row],[Stok Akhir]]</f>
        <v>0</v>
      </c>
      <c r="R223" s="61">
        <f>IF(REKAP[[#This Row],[Stok Aktual]]&lt;&gt;"",REKAP[[#This Row],[Stok Aktual]]-REKAP[[#This Row],[Stok Akhir]],0)</f>
        <v>0</v>
      </c>
      <c r="S223" s="132"/>
      <c r="T223" s="137">
        <f>IF(REKAP[[#This Row],[Selisih]]&lt;=-1,REKAP[[#This Row],[Harga Satuan]]*REKAP[[#This Row],[Selisih]],0)</f>
        <v>0</v>
      </c>
    </row>
    <row r="224" spans="1:20" x14ac:dyDescent="0.25">
      <c r="A224" s="55" t="s">
        <v>416</v>
      </c>
      <c r="B224" s="55" t="s">
        <v>3326</v>
      </c>
      <c r="C224" s="55" t="s">
        <v>3349</v>
      </c>
      <c r="D224" s="56" t="s">
        <v>182</v>
      </c>
      <c r="E224" s="57" t="s">
        <v>3347</v>
      </c>
      <c r="F224" s="75" t="s">
        <v>251</v>
      </c>
      <c r="G224" s="55"/>
      <c r="H224" s="58">
        <v>75000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0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0</v>
      </c>
      <c r="P224" s="55"/>
      <c r="Q224" s="62">
        <f>REKAP[[#This Row],[Harga Satuan]]*REKAP[[#This Row],[Stok Akhir]]</f>
        <v>0</v>
      </c>
      <c r="R224" s="61">
        <f>IF(REKAP[[#This Row],[Stok Aktual]]&lt;&gt;"",REKAP[[#This Row],[Stok Aktual]]-REKAP[[#This Row],[Stok Akhir]],0)</f>
        <v>0</v>
      </c>
      <c r="S224" s="132"/>
      <c r="T224" s="137">
        <f>IF(REKAP[[#This Row],[Selisih]]&lt;=-1,REKAP[[#This Row],[Harga Satuan]]*REKAP[[#This Row],[Selisih]],0)</f>
        <v>0</v>
      </c>
    </row>
    <row r="225" spans="1:20" x14ac:dyDescent="0.25">
      <c r="A225" s="55" t="s">
        <v>417</v>
      </c>
      <c r="B225" s="55" t="s">
        <v>3326</v>
      </c>
      <c r="C225" s="55" t="s">
        <v>3349</v>
      </c>
      <c r="D225" s="56" t="s">
        <v>183</v>
      </c>
      <c r="E225" s="57" t="s">
        <v>3347</v>
      </c>
      <c r="F225" s="75" t="s">
        <v>251</v>
      </c>
      <c r="G225" s="55"/>
      <c r="H225" s="58">
        <v>0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0</v>
      </c>
      <c r="P225" s="55"/>
      <c r="Q225" s="62">
        <f>REKAP[[#This Row],[Harga Satuan]]*REKAP[[#This Row],[Stok Akhir]]</f>
        <v>0</v>
      </c>
      <c r="R225" s="61">
        <f>IF(REKAP[[#This Row],[Stok Aktual]]&lt;&gt;"",REKAP[[#This Row],[Stok Aktual]]-REKAP[[#This Row],[Stok Akhir]],0)</f>
        <v>0</v>
      </c>
      <c r="S225" s="132"/>
      <c r="T225" s="137">
        <f>IF(REKAP[[#This Row],[Selisih]]&lt;=-1,REKAP[[#This Row],[Harga Satuan]]*REKAP[[#This Row],[Selisih]],0)</f>
        <v>0</v>
      </c>
    </row>
    <row r="226" spans="1:20" x14ac:dyDescent="0.25">
      <c r="A226" s="55" t="s">
        <v>418</v>
      </c>
      <c r="B226" s="55" t="s">
        <v>3348</v>
      </c>
      <c r="C226" s="55" t="s">
        <v>3349</v>
      </c>
      <c r="D226" s="56" t="s">
        <v>3338</v>
      </c>
      <c r="E226" s="57" t="s">
        <v>3329</v>
      </c>
      <c r="F226" s="75" t="s">
        <v>251</v>
      </c>
      <c r="G226" s="55"/>
      <c r="H226" s="58">
        <v>353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62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62</v>
      </c>
      <c r="P226" s="55"/>
      <c r="Q226" s="62">
        <f>REKAP[[#This Row],[Harga Satuan]]*REKAP[[#This Row],[Stok Akhir]]</f>
        <v>21886</v>
      </c>
      <c r="R226" s="61">
        <f>IF(REKAP[[#This Row],[Stok Aktual]]&lt;&gt;"",REKAP[[#This Row],[Stok Aktual]]-REKAP[[#This Row],[Stok Akhir]],0)</f>
        <v>0</v>
      </c>
      <c r="S226" s="132"/>
      <c r="T226" s="137">
        <f>IF(REKAP[[#This Row],[Selisih]]&lt;=-1,REKAP[[#This Row],[Harga Satuan]]*REKAP[[#This Row],[Selisih]],0)</f>
        <v>0</v>
      </c>
    </row>
    <row r="227" spans="1:20" x14ac:dyDescent="0.25">
      <c r="A227" s="55" t="s">
        <v>419</v>
      </c>
      <c r="B227" s="55" t="s">
        <v>3348</v>
      </c>
      <c r="C227" s="55" t="s">
        <v>3349</v>
      </c>
      <c r="D227" s="56" t="s">
        <v>3339</v>
      </c>
      <c r="E227" s="57" t="s">
        <v>3329</v>
      </c>
      <c r="F227" s="75" t="s">
        <v>251</v>
      </c>
      <c r="G227" s="55"/>
      <c r="H227" s="58">
        <v>500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48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48</v>
      </c>
      <c r="P227" s="55"/>
      <c r="Q227" s="62">
        <f>REKAP[[#This Row],[Harga Satuan]]*REKAP[[#This Row],[Stok Akhir]]</f>
        <v>24000</v>
      </c>
      <c r="R227" s="61">
        <f>IF(REKAP[[#This Row],[Stok Aktual]]&lt;&gt;"",REKAP[[#This Row],[Stok Aktual]]-REKAP[[#This Row],[Stok Akhir]],0)</f>
        <v>0</v>
      </c>
      <c r="S227" s="132"/>
      <c r="T227" s="137">
        <f>IF(REKAP[[#This Row],[Selisih]]&lt;=-1,REKAP[[#This Row],[Harga Satuan]]*REKAP[[#This Row],[Selisih]],0)</f>
        <v>0</v>
      </c>
    </row>
    <row r="228" spans="1:20" x14ac:dyDescent="0.25">
      <c r="A228" s="55" t="s">
        <v>420</v>
      </c>
      <c r="B228" s="55" t="s">
        <v>3348</v>
      </c>
      <c r="C228" s="55" t="s">
        <v>3349</v>
      </c>
      <c r="D228" s="56" t="s">
        <v>3340</v>
      </c>
      <c r="E228" s="57" t="s">
        <v>3329</v>
      </c>
      <c r="F228" s="75" t="s">
        <v>251</v>
      </c>
      <c r="G228" s="55"/>
      <c r="H228" s="58">
        <v>600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21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21</v>
      </c>
      <c r="P228" s="55"/>
      <c r="Q228" s="62">
        <f>REKAP[[#This Row],[Harga Satuan]]*REKAP[[#This Row],[Stok Akhir]]</f>
        <v>12600</v>
      </c>
      <c r="R228" s="61">
        <f>IF(REKAP[[#This Row],[Stok Aktual]]&lt;&gt;"",REKAP[[#This Row],[Stok Aktual]]-REKAP[[#This Row],[Stok Akhir]],0)</f>
        <v>0</v>
      </c>
      <c r="S228" s="132"/>
      <c r="T228" s="137">
        <f>IF(REKAP[[#This Row],[Selisih]]&lt;=-1,REKAP[[#This Row],[Harga Satuan]]*REKAP[[#This Row],[Selisih]],0)</f>
        <v>0</v>
      </c>
    </row>
    <row r="229" spans="1:20" x14ac:dyDescent="0.25">
      <c r="A229" s="55" t="s">
        <v>421</v>
      </c>
      <c r="B229" s="55" t="s">
        <v>3348</v>
      </c>
      <c r="C229" s="55" t="s">
        <v>3349</v>
      </c>
      <c r="D229" s="56" t="s">
        <v>3341</v>
      </c>
      <c r="E229" s="57" t="s">
        <v>3329</v>
      </c>
      <c r="F229" s="75" t="s">
        <v>251</v>
      </c>
      <c r="G229" s="55"/>
      <c r="H229" s="58">
        <v>353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36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36</v>
      </c>
      <c r="P229" s="55"/>
      <c r="Q229" s="62">
        <f>REKAP[[#This Row],[Harga Satuan]]*REKAP[[#This Row],[Stok Akhir]]</f>
        <v>12708</v>
      </c>
      <c r="R229" s="61">
        <f>IF(REKAP[[#This Row],[Stok Aktual]]&lt;&gt;"",REKAP[[#This Row],[Stok Aktual]]-REKAP[[#This Row],[Stok Akhir]],0)</f>
        <v>0</v>
      </c>
      <c r="S229" s="132"/>
      <c r="T229" s="137">
        <f>IF(REKAP[[#This Row],[Selisih]]&lt;=-1,REKAP[[#This Row],[Harga Satuan]]*REKAP[[#This Row],[Selisih]],0)</f>
        <v>0</v>
      </c>
    </row>
    <row r="230" spans="1:20" x14ac:dyDescent="0.25">
      <c r="A230" s="55" t="s">
        <v>422</v>
      </c>
      <c r="B230" s="55" t="s">
        <v>3348</v>
      </c>
      <c r="C230" s="55" t="s">
        <v>3349</v>
      </c>
      <c r="D230" s="56" t="s">
        <v>3342</v>
      </c>
      <c r="E230" s="57" t="s">
        <v>3329</v>
      </c>
      <c r="F230" s="75" t="s">
        <v>251</v>
      </c>
      <c r="G230" s="55"/>
      <c r="H230" s="58">
        <v>500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9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9</v>
      </c>
      <c r="P230" s="55"/>
      <c r="Q230" s="62">
        <f>REKAP[[#This Row],[Harga Satuan]]*REKAP[[#This Row],[Stok Akhir]]</f>
        <v>4500</v>
      </c>
      <c r="R230" s="61">
        <f>IF(REKAP[[#This Row],[Stok Aktual]]&lt;&gt;"",REKAP[[#This Row],[Stok Aktual]]-REKAP[[#This Row],[Stok Akhir]],0)</f>
        <v>0</v>
      </c>
      <c r="S230" s="132"/>
      <c r="T230" s="137">
        <f>IF(REKAP[[#This Row],[Selisih]]&lt;=-1,REKAP[[#This Row],[Harga Satuan]]*REKAP[[#This Row],[Selisih]],0)</f>
        <v>0</v>
      </c>
    </row>
    <row r="231" spans="1:20" x14ac:dyDescent="0.25">
      <c r="A231" s="55" t="s">
        <v>423</v>
      </c>
      <c r="B231" s="55" t="s">
        <v>3348</v>
      </c>
      <c r="C231" s="55" t="s">
        <v>3349</v>
      </c>
      <c r="D231" s="56" t="s">
        <v>3343</v>
      </c>
      <c r="E231" s="57" t="s">
        <v>3329</v>
      </c>
      <c r="F231" s="75" t="s">
        <v>251</v>
      </c>
      <c r="G231" s="55"/>
      <c r="H231" s="58">
        <v>1000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0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0</v>
      </c>
      <c r="P231" s="55"/>
      <c r="Q231" s="62">
        <f>REKAP[[#This Row],[Harga Satuan]]*REKAP[[#This Row],[Stok Akhir]]</f>
        <v>0</v>
      </c>
      <c r="R231" s="61">
        <f>IF(REKAP[[#This Row],[Stok Aktual]]&lt;&gt;"",REKAP[[#This Row],[Stok Aktual]]-REKAP[[#This Row],[Stok Akhir]],0)</f>
        <v>0</v>
      </c>
      <c r="S231" s="132"/>
      <c r="T231" s="137">
        <f>IF(REKAP[[#This Row],[Selisih]]&lt;=-1,REKAP[[#This Row],[Harga Satuan]]*REKAP[[#This Row],[Selisih]],0)</f>
        <v>0</v>
      </c>
    </row>
    <row r="232" spans="1:20" x14ac:dyDescent="0.25">
      <c r="A232" s="55" t="s">
        <v>424</v>
      </c>
      <c r="B232" s="55" t="s">
        <v>3348</v>
      </c>
      <c r="C232" s="55" t="s">
        <v>3349</v>
      </c>
      <c r="D232" s="56" t="s">
        <v>3344</v>
      </c>
      <c r="E232" s="57" t="s">
        <v>3329</v>
      </c>
      <c r="F232" s="75" t="s">
        <v>251</v>
      </c>
      <c r="G232" s="55"/>
      <c r="H232" s="58">
        <v>450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32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32</v>
      </c>
      <c r="P232" s="55"/>
      <c r="Q232" s="62">
        <f>REKAP[[#This Row],[Harga Satuan]]*REKAP[[#This Row],[Stok Akhir]]</f>
        <v>14400</v>
      </c>
      <c r="R232" s="61">
        <f>IF(REKAP[[#This Row],[Stok Aktual]]&lt;&gt;"",REKAP[[#This Row],[Stok Aktual]]-REKAP[[#This Row],[Stok Akhir]],0)</f>
        <v>0</v>
      </c>
      <c r="S232" s="132"/>
      <c r="T232" s="137">
        <f>IF(REKAP[[#This Row],[Selisih]]&lt;=-1,REKAP[[#This Row],[Harga Satuan]]*REKAP[[#This Row],[Selisih]],0)</f>
        <v>0</v>
      </c>
    </row>
    <row r="233" spans="1:20" x14ac:dyDescent="0.25">
      <c r="A233" s="55" t="s">
        <v>425</v>
      </c>
      <c r="B233" s="55" t="s">
        <v>3348</v>
      </c>
      <c r="C233" s="55" t="s">
        <v>3349</v>
      </c>
      <c r="D233" s="56" t="s">
        <v>22</v>
      </c>
      <c r="E233" s="57" t="s">
        <v>3329</v>
      </c>
      <c r="F233" s="75" t="s">
        <v>251</v>
      </c>
      <c r="G233" s="55"/>
      <c r="H233" s="58">
        <v>700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11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11</v>
      </c>
      <c r="P233" s="55"/>
      <c r="Q233" s="62">
        <f>REKAP[[#This Row],[Harga Satuan]]*REKAP[[#This Row],[Stok Akhir]]</f>
        <v>7700</v>
      </c>
      <c r="R233" s="61">
        <f>IF(REKAP[[#This Row],[Stok Aktual]]&lt;&gt;"",REKAP[[#This Row],[Stok Aktual]]-REKAP[[#This Row],[Stok Akhir]],0)</f>
        <v>0</v>
      </c>
      <c r="S233" s="132"/>
      <c r="T233" s="137">
        <f>IF(REKAP[[#This Row],[Selisih]]&lt;=-1,REKAP[[#This Row],[Harga Satuan]]*REKAP[[#This Row],[Selisih]],0)</f>
        <v>0</v>
      </c>
    </row>
    <row r="234" spans="1:20" x14ac:dyDescent="0.25">
      <c r="A234" s="55" t="s">
        <v>426</v>
      </c>
      <c r="B234" s="55" t="s">
        <v>3348</v>
      </c>
      <c r="C234" s="55" t="s">
        <v>3349</v>
      </c>
      <c r="D234" s="56" t="s">
        <v>23</v>
      </c>
      <c r="E234" s="57" t="s">
        <v>3329</v>
      </c>
      <c r="F234" s="75" t="s">
        <v>251</v>
      </c>
      <c r="G234" s="55"/>
      <c r="H234" s="58">
        <v>650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56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56</v>
      </c>
      <c r="P234" s="55"/>
      <c r="Q234" s="62">
        <f>REKAP[[#This Row],[Harga Satuan]]*REKAP[[#This Row],[Stok Akhir]]</f>
        <v>36400</v>
      </c>
      <c r="R234" s="61">
        <f>IF(REKAP[[#This Row],[Stok Aktual]]&lt;&gt;"",REKAP[[#This Row],[Stok Aktual]]-REKAP[[#This Row],[Stok Akhir]],0)</f>
        <v>0</v>
      </c>
      <c r="S234" s="132"/>
      <c r="T234" s="137">
        <f>IF(REKAP[[#This Row],[Selisih]]&lt;=-1,REKAP[[#This Row],[Harga Satuan]]*REKAP[[#This Row],[Selisih]],0)</f>
        <v>0</v>
      </c>
    </row>
    <row r="235" spans="1:20" x14ac:dyDescent="0.25">
      <c r="A235" s="55" t="s">
        <v>427</v>
      </c>
      <c r="B235" s="55" t="s">
        <v>3348</v>
      </c>
      <c r="C235" s="55" t="s">
        <v>3349</v>
      </c>
      <c r="D235" s="56" t="s">
        <v>25</v>
      </c>
      <c r="E235" s="57" t="s">
        <v>3329</v>
      </c>
      <c r="F235" s="75" t="s">
        <v>251</v>
      </c>
      <c r="G235" s="55"/>
      <c r="H235" s="58">
        <v>1100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19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19</v>
      </c>
      <c r="P235" s="55"/>
      <c r="Q235" s="62">
        <f>REKAP[[#This Row],[Harga Satuan]]*REKAP[[#This Row],[Stok Akhir]]</f>
        <v>20900</v>
      </c>
      <c r="R235" s="61">
        <f>IF(REKAP[[#This Row],[Stok Aktual]]&lt;&gt;"",REKAP[[#This Row],[Stok Aktual]]-REKAP[[#This Row],[Stok Akhir]],0)</f>
        <v>0</v>
      </c>
      <c r="S235" s="132"/>
      <c r="T235" s="137">
        <f>IF(REKAP[[#This Row],[Selisih]]&lt;=-1,REKAP[[#This Row],[Harga Satuan]]*REKAP[[#This Row],[Selisih]],0)</f>
        <v>0</v>
      </c>
    </row>
    <row r="236" spans="1:20" x14ac:dyDescent="0.25">
      <c r="A236" s="55" t="s">
        <v>428</v>
      </c>
      <c r="B236" s="55" t="s">
        <v>3348</v>
      </c>
      <c r="C236" s="55" t="s">
        <v>3349</v>
      </c>
      <c r="D236" s="56" t="s">
        <v>3345</v>
      </c>
      <c r="E236" s="57" t="s">
        <v>3329</v>
      </c>
      <c r="F236" s="75" t="s">
        <v>251</v>
      </c>
      <c r="G236" s="55"/>
      <c r="H236" s="58">
        <v>1150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0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0</v>
      </c>
      <c r="P236" s="55"/>
      <c r="Q236" s="62">
        <f>REKAP[[#This Row],[Harga Satuan]]*REKAP[[#This Row],[Stok Akhir]]</f>
        <v>0</v>
      </c>
      <c r="R236" s="61">
        <f>IF(REKAP[[#This Row],[Stok Aktual]]&lt;&gt;"",REKAP[[#This Row],[Stok Aktual]]-REKAP[[#This Row],[Stok Akhir]],0)</f>
        <v>0</v>
      </c>
      <c r="S236" s="132"/>
      <c r="T236" s="137">
        <f>IF(REKAP[[#This Row],[Selisih]]&lt;=-1,REKAP[[#This Row],[Harga Satuan]]*REKAP[[#This Row],[Selisih]],0)</f>
        <v>0</v>
      </c>
    </row>
    <row r="237" spans="1:20" x14ac:dyDescent="0.25">
      <c r="A237" s="55" t="s">
        <v>429</v>
      </c>
      <c r="B237" s="55" t="s">
        <v>3348</v>
      </c>
      <c r="C237" s="55" t="s">
        <v>3349</v>
      </c>
      <c r="D237" s="56" t="s">
        <v>3346</v>
      </c>
      <c r="E237" s="57" t="s">
        <v>3329</v>
      </c>
      <c r="F237" s="75" t="s">
        <v>251</v>
      </c>
      <c r="G237" s="55"/>
      <c r="H237" s="58">
        <v>600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21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21</v>
      </c>
      <c r="P237" s="55"/>
      <c r="Q237" s="62">
        <f>REKAP[[#This Row],[Harga Satuan]]*REKAP[[#This Row],[Stok Akhir]]</f>
        <v>12600</v>
      </c>
      <c r="R237" s="61">
        <f>IF(REKAP[[#This Row],[Stok Aktual]]&lt;&gt;"",REKAP[[#This Row],[Stok Aktual]]-REKAP[[#This Row],[Stok Akhir]],0)</f>
        <v>0</v>
      </c>
      <c r="S237" s="132"/>
      <c r="T237" s="137">
        <f>IF(REKAP[[#This Row],[Selisih]]&lt;=-1,REKAP[[#This Row],[Harga Satuan]]*REKAP[[#This Row],[Selisih]],0)</f>
        <v>0</v>
      </c>
    </row>
    <row r="238" spans="1:20" x14ac:dyDescent="0.25">
      <c r="A238" s="55" t="s">
        <v>430</v>
      </c>
      <c r="B238" s="55" t="s">
        <v>3348</v>
      </c>
      <c r="C238" s="55" t="s">
        <v>3349</v>
      </c>
      <c r="D238" s="56" t="s">
        <v>33</v>
      </c>
      <c r="E238" s="57" t="s">
        <v>3329</v>
      </c>
      <c r="F238" s="75" t="s">
        <v>251</v>
      </c>
      <c r="G238" s="55"/>
      <c r="H238" s="58">
        <v>800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49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49</v>
      </c>
      <c r="P238" s="55"/>
      <c r="Q238" s="62">
        <f>REKAP[[#This Row],[Harga Satuan]]*REKAP[[#This Row],[Stok Akhir]]</f>
        <v>39200</v>
      </c>
      <c r="R238" s="61">
        <f>IF(REKAP[[#This Row],[Stok Aktual]]&lt;&gt;"",REKAP[[#This Row],[Stok Aktual]]-REKAP[[#This Row],[Stok Akhir]],0)</f>
        <v>0</v>
      </c>
      <c r="S238" s="132"/>
      <c r="T238" s="137">
        <f>IF(REKAP[[#This Row],[Selisih]]&lt;=-1,REKAP[[#This Row],[Harga Satuan]]*REKAP[[#This Row],[Selisih]],0)</f>
        <v>0</v>
      </c>
    </row>
    <row r="239" spans="1:20" x14ac:dyDescent="0.25">
      <c r="A239" s="55" t="s">
        <v>431</v>
      </c>
      <c r="B239" s="55" t="s">
        <v>3348</v>
      </c>
      <c r="C239" s="55" t="s">
        <v>3349</v>
      </c>
      <c r="D239" s="56" t="s">
        <v>31</v>
      </c>
      <c r="E239" s="57" t="s">
        <v>3329</v>
      </c>
      <c r="F239" s="75" t="s">
        <v>251</v>
      </c>
      <c r="G239" s="55"/>
      <c r="H239" s="58">
        <v>1000</v>
      </c>
      <c r="I239" s="59">
        <f>IF(COUNTIF(MASUK[Kode Barang],REKAP[[#This Row],[ID]])=0,0,COUNTIF(MASUK[Kode Barang],REKAP[[#This Row],[ID]]))</f>
        <v>0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0</v>
      </c>
      <c r="L239" s="55">
        <v>19</v>
      </c>
      <c r="M239" s="74">
        <f>SUMIF(MASUK!$C:$C,REKAP[[#This Row],[ID]],MASUK!$H:$H)</f>
        <v>0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19</v>
      </c>
      <c r="P239" s="55"/>
      <c r="Q239" s="62">
        <f>REKAP[[#This Row],[Harga Satuan]]*REKAP[[#This Row],[Stok Akhir]]</f>
        <v>19000</v>
      </c>
      <c r="R239" s="61">
        <f>IF(REKAP[[#This Row],[Stok Aktual]]&lt;&gt;"",REKAP[[#This Row],[Stok Aktual]]-REKAP[[#This Row],[Stok Akhir]],0)</f>
        <v>0</v>
      </c>
      <c r="S239" s="132"/>
      <c r="T239" s="137">
        <f>IF(REKAP[[#This Row],[Selisih]]&lt;=-1,REKAP[[#This Row],[Harga Satuan]]*REKAP[[#This Row],[Selisih]],0)</f>
        <v>0</v>
      </c>
    </row>
    <row r="240" spans="1:20" x14ac:dyDescent="0.25">
      <c r="A240" s="55" t="s">
        <v>432</v>
      </c>
      <c r="B240" s="55" t="s">
        <v>3348</v>
      </c>
      <c r="C240" s="55" t="s">
        <v>3349</v>
      </c>
      <c r="D240" s="56" t="s">
        <v>34</v>
      </c>
      <c r="E240" s="57" t="s">
        <v>3329</v>
      </c>
      <c r="F240" s="75" t="s">
        <v>251</v>
      </c>
      <c r="G240" s="55"/>
      <c r="H240" s="58">
        <v>1200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22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22</v>
      </c>
      <c r="P240" s="55"/>
      <c r="Q240" s="62">
        <f>REKAP[[#This Row],[Harga Satuan]]*REKAP[[#This Row],[Stok Akhir]]</f>
        <v>26400</v>
      </c>
      <c r="R240" s="61">
        <f>IF(REKAP[[#This Row],[Stok Aktual]]&lt;&gt;"",REKAP[[#This Row],[Stok Aktual]]-REKAP[[#This Row],[Stok Akhir]],0)</f>
        <v>0</v>
      </c>
      <c r="S240" s="132"/>
      <c r="T240" s="137">
        <f>IF(REKAP[[#This Row],[Selisih]]&lt;=-1,REKAP[[#This Row],[Harga Satuan]]*REKAP[[#This Row],[Selisih]],0)</f>
        <v>0</v>
      </c>
    </row>
    <row r="241" spans="1:20" x14ac:dyDescent="0.25">
      <c r="A241" s="55" t="s">
        <v>433</v>
      </c>
      <c r="B241" s="55" t="s">
        <v>3348</v>
      </c>
      <c r="C241" s="55" t="s">
        <v>3349</v>
      </c>
      <c r="D241" s="56" t="s">
        <v>35</v>
      </c>
      <c r="E241" s="57" t="s">
        <v>3329</v>
      </c>
      <c r="F241" s="75" t="s">
        <v>251</v>
      </c>
      <c r="G241" s="55"/>
      <c r="H241" s="58">
        <v>600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40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40</v>
      </c>
      <c r="P241" s="55"/>
      <c r="Q241" s="62">
        <f>REKAP[[#This Row],[Harga Satuan]]*REKAP[[#This Row],[Stok Akhir]]</f>
        <v>24000</v>
      </c>
      <c r="R241" s="61">
        <f>IF(REKAP[[#This Row],[Stok Aktual]]&lt;&gt;"",REKAP[[#This Row],[Stok Aktual]]-REKAP[[#This Row],[Stok Akhir]],0)</f>
        <v>0</v>
      </c>
      <c r="S241" s="132"/>
      <c r="T241" s="137">
        <f>IF(REKAP[[#This Row],[Selisih]]&lt;=-1,REKAP[[#This Row],[Harga Satuan]]*REKAP[[#This Row],[Selisih]],0)</f>
        <v>0</v>
      </c>
    </row>
    <row r="242" spans="1:20" x14ac:dyDescent="0.25">
      <c r="A242" s="55" t="s">
        <v>434</v>
      </c>
      <c r="B242" s="55" t="s">
        <v>3348</v>
      </c>
      <c r="C242" s="55" t="s">
        <v>3349</v>
      </c>
      <c r="D242" s="56" t="s">
        <v>36</v>
      </c>
      <c r="E242" s="57" t="s">
        <v>3329</v>
      </c>
      <c r="F242" s="75" t="s">
        <v>251</v>
      </c>
      <c r="G242" s="55" t="s">
        <v>10</v>
      </c>
      <c r="H242" s="58">
        <v>1800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17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17</v>
      </c>
      <c r="P242" s="55"/>
      <c r="Q242" s="62">
        <f>REKAP[[#This Row],[Harga Satuan]]*REKAP[[#This Row],[Stok Akhir]]</f>
        <v>30600</v>
      </c>
      <c r="R242" s="61">
        <f>IF(REKAP[[#This Row],[Stok Aktual]]&lt;&gt;"",REKAP[[#This Row],[Stok Aktual]]-REKAP[[#This Row],[Stok Akhir]],0)</f>
        <v>0</v>
      </c>
      <c r="S242" s="132"/>
      <c r="T242" s="137">
        <f>IF(REKAP[[#This Row],[Selisih]]&lt;=-1,REKAP[[#This Row],[Harga Satuan]]*REKAP[[#This Row],[Selisih]],0)</f>
        <v>0</v>
      </c>
    </row>
    <row r="243" spans="1:20" x14ac:dyDescent="0.25">
      <c r="A243" s="55" t="s">
        <v>435</v>
      </c>
      <c r="B243" s="55" t="s">
        <v>3348</v>
      </c>
      <c r="C243" s="55" t="s">
        <v>3349</v>
      </c>
      <c r="D243" s="56" t="s">
        <v>50</v>
      </c>
      <c r="E243" s="57" t="s">
        <v>3329</v>
      </c>
      <c r="F243" s="75" t="s">
        <v>251</v>
      </c>
      <c r="G243" s="55"/>
      <c r="H243" s="58">
        <v>908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44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44</v>
      </c>
      <c r="P243" s="55"/>
      <c r="Q243" s="62">
        <f>REKAP[[#This Row],[Harga Satuan]]*REKAP[[#This Row],[Stok Akhir]]</f>
        <v>39952</v>
      </c>
      <c r="R243" s="61">
        <f>IF(REKAP[[#This Row],[Stok Aktual]]&lt;&gt;"",REKAP[[#This Row],[Stok Aktual]]-REKAP[[#This Row],[Stok Akhir]],0)</f>
        <v>0</v>
      </c>
      <c r="S243" s="132"/>
      <c r="T243" s="137">
        <f>IF(REKAP[[#This Row],[Selisih]]&lt;=-1,REKAP[[#This Row],[Harga Satuan]]*REKAP[[#This Row],[Selisih]],0)</f>
        <v>0</v>
      </c>
    </row>
    <row r="244" spans="1:20" x14ac:dyDescent="0.25">
      <c r="A244" s="55" t="s">
        <v>436</v>
      </c>
      <c r="B244" s="55" t="s">
        <v>3348</v>
      </c>
      <c r="C244" s="55" t="s">
        <v>3349</v>
      </c>
      <c r="D244" s="56" t="s">
        <v>51</v>
      </c>
      <c r="E244" s="57" t="s">
        <v>3329</v>
      </c>
      <c r="F244" s="75" t="s">
        <v>251</v>
      </c>
      <c r="G244" s="55"/>
      <c r="H244" s="58">
        <v>1050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59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59</v>
      </c>
      <c r="P244" s="55"/>
      <c r="Q244" s="62">
        <f>REKAP[[#This Row],[Harga Satuan]]*REKAP[[#This Row],[Stok Akhir]]</f>
        <v>61950</v>
      </c>
      <c r="R244" s="61">
        <f>IF(REKAP[[#This Row],[Stok Aktual]]&lt;&gt;"",REKAP[[#This Row],[Stok Aktual]]-REKAP[[#This Row],[Stok Akhir]],0)</f>
        <v>0</v>
      </c>
      <c r="S244" s="132"/>
      <c r="T244" s="137">
        <f>IF(REKAP[[#This Row],[Selisih]]&lt;=-1,REKAP[[#This Row],[Harga Satuan]]*REKAP[[#This Row],[Selisih]],0)</f>
        <v>0</v>
      </c>
    </row>
    <row r="245" spans="1:20" x14ac:dyDescent="0.25">
      <c r="A245" s="55" t="s">
        <v>437</v>
      </c>
      <c r="B245" s="55" t="s">
        <v>3348</v>
      </c>
      <c r="C245" s="55" t="s">
        <v>3349</v>
      </c>
      <c r="D245" s="56" t="s">
        <v>52</v>
      </c>
      <c r="E245" s="57" t="s">
        <v>3329</v>
      </c>
      <c r="F245" s="75" t="s">
        <v>251</v>
      </c>
      <c r="G245" s="55"/>
      <c r="H245" s="58">
        <v>1600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19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19</v>
      </c>
      <c r="P245" s="55"/>
      <c r="Q245" s="62">
        <f>REKAP[[#This Row],[Harga Satuan]]*REKAP[[#This Row],[Stok Akhir]]</f>
        <v>30400</v>
      </c>
      <c r="R245" s="61">
        <f>IF(REKAP[[#This Row],[Stok Aktual]]&lt;&gt;"",REKAP[[#This Row],[Stok Aktual]]-REKAP[[#This Row],[Stok Akhir]],0)</f>
        <v>0</v>
      </c>
      <c r="S245" s="132"/>
      <c r="T245" s="137">
        <f>IF(REKAP[[#This Row],[Selisih]]&lt;=-1,REKAP[[#This Row],[Harga Satuan]]*REKAP[[#This Row],[Selisih]],0)</f>
        <v>0</v>
      </c>
    </row>
    <row r="246" spans="1:20" x14ac:dyDescent="0.25">
      <c r="A246" s="55" t="s">
        <v>438</v>
      </c>
      <c r="B246" s="55" t="s">
        <v>3348</v>
      </c>
      <c r="C246" s="55" t="s">
        <v>3349</v>
      </c>
      <c r="D246" s="56" t="s">
        <v>53</v>
      </c>
      <c r="E246" s="57" t="s">
        <v>3329</v>
      </c>
      <c r="F246" s="75" t="s">
        <v>251</v>
      </c>
      <c r="G246" s="55"/>
      <c r="H246" s="58">
        <v>600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96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96</v>
      </c>
      <c r="P246" s="55"/>
      <c r="Q246" s="62">
        <f>REKAP[[#This Row],[Harga Satuan]]*REKAP[[#This Row],[Stok Akhir]]</f>
        <v>57600</v>
      </c>
      <c r="R246" s="61">
        <f>IF(REKAP[[#This Row],[Stok Aktual]]&lt;&gt;"",REKAP[[#This Row],[Stok Aktual]]-REKAP[[#This Row],[Stok Akhir]],0)</f>
        <v>0</v>
      </c>
      <c r="S246" s="132"/>
      <c r="T246" s="137">
        <f>IF(REKAP[[#This Row],[Selisih]]&lt;=-1,REKAP[[#This Row],[Harga Satuan]]*REKAP[[#This Row],[Selisih]],0)</f>
        <v>0</v>
      </c>
    </row>
    <row r="247" spans="1:20" x14ac:dyDescent="0.25">
      <c r="A247" s="55" t="s">
        <v>439</v>
      </c>
      <c r="B247" s="55" t="s">
        <v>3348</v>
      </c>
      <c r="C247" s="55" t="s">
        <v>3349</v>
      </c>
      <c r="D247" s="56" t="s">
        <v>54</v>
      </c>
      <c r="E247" s="57" t="s">
        <v>3329</v>
      </c>
      <c r="F247" s="75" t="s">
        <v>251</v>
      </c>
      <c r="G247" s="55"/>
      <c r="H247" s="58">
        <v>1500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22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22</v>
      </c>
      <c r="P247" s="55"/>
      <c r="Q247" s="62">
        <f>REKAP[[#This Row],[Harga Satuan]]*REKAP[[#This Row],[Stok Akhir]]</f>
        <v>33000</v>
      </c>
      <c r="R247" s="61">
        <f>IF(REKAP[[#This Row],[Stok Aktual]]&lt;&gt;"",REKAP[[#This Row],[Stok Aktual]]-REKAP[[#This Row],[Stok Akhir]],0)</f>
        <v>0</v>
      </c>
      <c r="S247" s="132"/>
      <c r="T247" s="137">
        <f>IF(REKAP[[#This Row],[Selisih]]&lt;=-1,REKAP[[#This Row],[Harga Satuan]]*REKAP[[#This Row],[Selisih]],0)</f>
        <v>0</v>
      </c>
    </row>
    <row r="248" spans="1:20" x14ac:dyDescent="0.25">
      <c r="A248" s="55" t="s">
        <v>440</v>
      </c>
      <c r="B248" s="55" t="s">
        <v>3348</v>
      </c>
      <c r="C248" s="55" t="s">
        <v>3349</v>
      </c>
      <c r="D248" s="56" t="s">
        <v>56</v>
      </c>
      <c r="E248" s="57" t="s">
        <v>3329</v>
      </c>
      <c r="F248" s="75" t="s">
        <v>251</v>
      </c>
      <c r="G248" s="55"/>
      <c r="H248" s="58">
        <v>1900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17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17</v>
      </c>
      <c r="P248" s="55"/>
      <c r="Q248" s="62">
        <f>REKAP[[#This Row],[Harga Satuan]]*REKAP[[#This Row],[Stok Akhir]]</f>
        <v>32300</v>
      </c>
      <c r="R248" s="61">
        <f>IF(REKAP[[#This Row],[Stok Aktual]]&lt;&gt;"",REKAP[[#This Row],[Stok Aktual]]-REKAP[[#This Row],[Stok Akhir]],0)</f>
        <v>0</v>
      </c>
      <c r="S248" s="132"/>
      <c r="T248" s="137">
        <f>IF(REKAP[[#This Row],[Selisih]]&lt;=-1,REKAP[[#This Row],[Harga Satuan]]*REKAP[[#This Row],[Selisih]],0)</f>
        <v>0</v>
      </c>
    </row>
    <row r="249" spans="1:20" x14ac:dyDescent="0.25">
      <c r="A249" s="55" t="s">
        <v>441</v>
      </c>
      <c r="B249" s="55" t="s">
        <v>3348</v>
      </c>
      <c r="C249" s="55" t="s">
        <v>3349</v>
      </c>
      <c r="D249" s="56" t="s">
        <v>57</v>
      </c>
      <c r="E249" s="57" t="s">
        <v>3329</v>
      </c>
      <c r="F249" s="75" t="s">
        <v>251</v>
      </c>
      <c r="G249" s="55"/>
      <c r="H249" s="58">
        <v>2000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46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46</v>
      </c>
      <c r="P249" s="55"/>
      <c r="Q249" s="62">
        <f>REKAP[[#This Row],[Harga Satuan]]*REKAP[[#This Row],[Stok Akhir]]</f>
        <v>92000</v>
      </c>
      <c r="R249" s="61">
        <f>IF(REKAP[[#This Row],[Stok Aktual]]&lt;&gt;"",REKAP[[#This Row],[Stok Aktual]]-REKAP[[#This Row],[Stok Akhir]],0)</f>
        <v>0</v>
      </c>
      <c r="S249" s="132"/>
      <c r="T249" s="137">
        <f>IF(REKAP[[#This Row],[Selisih]]&lt;=-1,REKAP[[#This Row],[Harga Satuan]]*REKAP[[#This Row],[Selisih]],0)</f>
        <v>0</v>
      </c>
    </row>
    <row r="250" spans="1:20" x14ac:dyDescent="0.25">
      <c r="A250" s="55" t="s">
        <v>442</v>
      </c>
      <c r="B250" s="55" t="s">
        <v>3348</v>
      </c>
      <c r="C250" s="55" t="s">
        <v>3349</v>
      </c>
      <c r="D250" s="56" t="s">
        <v>73</v>
      </c>
      <c r="E250" s="57" t="s">
        <v>3329</v>
      </c>
      <c r="F250" s="75" t="s">
        <v>251</v>
      </c>
      <c r="G250" s="55"/>
      <c r="H250" s="58">
        <v>460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1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1</v>
      </c>
      <c r="P250" s="55"/>
      <c r="Q250" s="62">
        <f>REKAP[[#This Row],[Harga Satuan]]*REKAP[[#This Row],[Stok Akhir]]</f>
        <v>460</v>
      </c>
      <c r="R250" s="61">
        <f>IF(REKAP[[#This Row],[Stok Aktual]]&lt;&gt;"",REKAP[[#This Row],[Stok Aktual]]-REKAP[[#This Row],[Stok Akhir]],0)</f>
        <v>0</v>
      </c>
      <c r="S250" s="132"/>
      <c r="T250" s="137">
        <f>IF(REKAP[[#This Row],[Selisih]]&lt;=-1,REKAP[[#This Row],[Harga Satuan]]*REKAP[[#This Row],[Selisih]],0)</f>
        <v>0</v>
      </c>
    </row>
    <row r="251" spans="1:20" x14ac:dyDescent="0.25">
      <c r="A251" s="55" t="s">
        <v>443</v>
      </c>
      <c r="B251" s="55" t="s">
        <v>3348</v>
      </c>
      <c r="C251" s="55" t="s">
        <v>3349</v>
      </c>
      <c r="D251" s="56" t="s">
        <v>76</v>
      </c>
      <c r="E251" s="57" t="s">
        <v>3329</v>
      </c>
      <c r="F251" s="75" t="s">
        <v>251</v>
      </c>
      <c r="G251" s="55"/>
      <c r="H251" s="58">
        <v>1980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20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20</v>
      </c>
      <c r="P251" s="55"/>
      <c r="Q251" s="62">
        <f>REKAP[[#This Row],[Harga Satuan]]*REKAP[[#This Row],[Stok Akhir]]</f>
        <v>39600</v>
      </c>
      <c r="R251" s="61">
        <f>IF(REKAP[[#This Row],[Stok Aktual]]&lt;&gt;"",REKAP[[#This Row],[Stok Aktual]]-REKAP[[#This Row],[Stok Akhir]],0)</f>
        <v>0</v>
      </c>
      <c r="S251" s="132"/>
      <c r="T251" s="137">
        <f>IF(REKAP[[#This Row],[Selisih]]&lt;=-1,REKAP[[#This Row],[Harga Satuan]]*REKAP[[#This Row],[Selisih]],0)</f>
        <v>0</v>
      </c>
    </row>
    <row r="252" spans="1:20" x14ac:dyDescent="0.25">
      <c r="A252" s="55" t="s">
        <v>444</v>
      </c>
      <c r="B252" s="55" t="s">
        <v>3348</v>
      </c>
      <c r="C252" s="55" t="s">
        <v>3349</v>
      </c>
      <c r="D252" s="56" t="s">
        <v>84</v>
      </c>
      <c r="E252" s="57" t="s">
        <v>3329</v>
      </c>
      <c r="F252" s="75" t="s">
        <v>251</v>
      </c>
      <c r="G252" s="55"/>
      <c r="H252" s="58">
        <v>3560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15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15</v>
      </c>
      <c r="P252" s="55"/>
      <c r="Q252" s="62">
        <f>REKAP[[#This Row],[Harga Satuan]]*REKAP[[#This Row],[Stok Akhir]]</f>
        <v>53400</v>
      </c>
      <c r="R252" s="61">
        <f>IF(REKAP[[#This Row],[Stok Aktual]]&lt;&gt;"",REKAP[[#This Row],[Stok Aktual]]-REKAP[[#This Row],[Stok Akhir]],0)</f>
        <v>0</v>
      </c>
      <c r="S252" s="132"/>
      <c r="T252" s="137">
        <f>IF(REKAP[[#This Row],[Selisih]]&lt;=-1,REKAP[[#This Row],[Harga Satuan]]*REKAP[[#This Row],[Selisih]],0)</f>
        <v>0</v>
      </c>
    </row>
    <row r="253" spans="1:20" x14ac:dyDescent="0.25">
      <c r="A253" s="55" t="s">
        <v>445</v>
      </c>
      <c r="B253" s="55" t="s">
        <v>3328</v>
      </c>
      <c r="C253" s="55" t="s">
        <v>3350</v>
      </c>
      <c r="D253" s="56" t="s">
        <v>184</v>
      </c>
      <c r="E253" s="57" t="s">
        <v>3347</v>
      </c>
      <c r="F253" s="75" t="s">
        <v>251</v>
      </c>
      <c r="G253" s="55"/>
      <c r="H253" s="58">
        <v>446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26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26</v>
      </c>
      <c r="P253" s="55"/>
      <c r="Q253" s="62">
        <f>REKAP[[#This Row],[Harga Satuan]]*REKAP[[#This Row],[Stok Akhir]]</f>
        <v>11596</v>
      </c>
      <c r="R253" s="61">
        <f>IF(REKAP[[#This Row],[Stok Aktual]]&lt;&gt;"",REKAP[[#This Row],[Stok Aktual]]-REKAP[[#This Row],[Stok Akhir]],0)</f>
        <v>0</v>
      </c>
      <c r="S253" s="132"/>
      <c r="T253" s="137">
        <f>IF(REKAP[[#This Row],[Selisih]]&lt;=-1,REKAP[[#This Row],[Harga Satuan]]*REKAP[[#This Row],[Selisih]],0)</f>
        <v>0</v>
      </c>
    </row>
    <row r="254" spans="1:20" x14ac:dyDescent="0.25">
      <c r="A254" s="55" t="s">
        <v>446</v>
      </c>
      <c r="B254" s="55" t="s">
        <v>3328</v>
      </c>
      <c r="C254" s="55" t="s">
        <v>3350</v>
      </c>
      <c r="D254" s="56" t="s">
        <v>185</v>
      </c>
      <c r="E254" s="57" t="s">
        <v>3347</v>
      </c>
      <c r="F254" s="75" t="s">
        <v>251</v>
      </c>
      <c r="G254" s="55"/>
      <c r="H254" s="58">
        <v>500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2</v>
      </c>
      <c r="K254" s="60">
        <f>REKAP[[#This Row],[Trx In]]+REKAP[[#This Row],[Trx Out]]</f>
        <v>2</v>
      </c>
      <c r="L254" s="55">
        <v>62</v>
      </c>
      <c r="M254" s="74">
        <f>SUMIF(MASUK!$C:$C,REKAP[[#This Row],[ID]],MASUK!$H:$H)</f>
        <v>0</v>
      </c>
      <c r="N254" s="74">
        <f>SUMIF(KELUAR!$C:$C,REKAP[[#This Row],[ID]],KELUAR!$H:$H)</f>
        <v>12</v>
      </c>
      <c r="O254" s="74">
        <f>REKAP[[#This Row],[Stok Awal]]+REKAP[[#This Row],[Masuk]]-REKAP[[#This Row],[Keluar]]</f>
        <v>50</v>
      </c>
      <c r="P254" s="55">
        <v>50</v>
      </c>
      <c r="Q254" s="62">
        <f>REKAP[[#This Row],[Harga Satuan]]*REKAP[[#This Row],[Stok Akhir]]</f>
        <v>25000</v>
      </c>
      <c r="R254" s="61">
        <f>IF(REKAP[[#This Row],[Stok Aktual]]&lt;&gt;"",REKAP[[#This Row],[Stok Aktual]]-REKAP[[#This Row],[Stok Akhir]],0)</f>
        <v>0</v>
      </c>
      <c r="S254" s="132"/>
      <c r="T254" s="137">
        <f>IF(REKAP[[#This Row],[Selisih]]&lt;=-1,REKAP[[#This Row],[Harga Satuan]]*REKAP[[#This Row],[Selisih]],0)</f>
        <v>0</v>
      </c>
    </row>
    <row r="255" spans="1:20" x14ac:dyDescent="0.25">
      <c r="A255" s="55" t="s">
        <v>447</v>
      </c>
      <c r="B255" s="55" t="s">
        <v>3328</v>
      </c>
      <c r="C255" s="55" t="s">
        <v>3350</v>
      </c>
      <c r="D255" s="56" t="s">
        <v>186</v>
      </c>
      <c r="E255" s="57" t="s">
        <v>3347</v>
      </c>
      <c r="F255" s="75" t="s">
        <v>251</v>
      </c>
      <c r="G255" s="55"/>
      <c r="H255" s="58">
        <v>300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22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22</v>
      </c>
      <c r="P255" s="55"/>
      <c r="Q255" s="62">
        <f>REKAP[[#This Row],[Harga Satuan]]*REKAP[[#This Row],[Stok Akhir]]</f>
        <v>6600</v>
      </c>
      <c r="R255" s="61">
        <f>IF(REKAP[[#This Row],[Stok Aktual]]&lt;&gt;"",REKAP[[#This Row],[Stok Aktual]]-REKAP[[#This Row],[Stok Akhir]],0)</f>
        <v>0</v>
      </c>
      <c r="S255" s="132"/>
      <c r="T255" s="137">
        <f>IF(REKAP[[#This Row],[Selisih]]&lt;=-1,REKAP[[#This Row],[Harga Satuan]]*REKAP[[#This Row],[Selisih]],0)</f>
        <v>0</v>
      </c>
    </row>
    <row r="256" spans="1:20" x14ac:dyDescent="0.25">
      <c r="A256" s="55" t="s">
        <v>448</v>
      </c>
      <c r="B256" s="55" t="s">
        <v>3328</v>
      </c>
      <c r="C256" s="55" t="s">
        <v>3350</v>
      </c>
      <c r="D256" s="56" t="s">
        <v>187</v>
      </c>
      <c r="E256" s="57" t="s">
        <v>3347</v>
      </c>
      <c r="F256" s="75" t="s">
        <v>251</v>
      </c>
      <c r="G256" s="55"/>
      <c r="H256" s="58">
        <v>500</v>
      </c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35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35</v>
      </c>
      <c r="P256" s="55"/>
      <c r="Q256" s="62">
        <f>REKAP[[#This Row],[Harga Satuan]]*REKAP[[#This Row],[Stok Akhir]]</f>
        <v>17500</v>
      </c>
      <c r="R256" s="61">
        <f>IF(REKAP[[#This Row],[Stok Aktual]]&lt;&gt;"",REKAP[[#This Row],[Stok Aktual]]-REKAP[[#This Row],[Stok Akhir]],0)</f>
        <v>0</v>
      </c>
      <c r="S256" s="132"/>
      <c r="T256" s="137">
        <f>IF(REKAP[[#This Row],[Selisih]]&lt;=-1,REKAP[[#This Row],[Harga Satuan]]*REKAP[[#This Row],[Selisih]],0)</f>
        <v>0</v>
      </c>
    </row>
    <row r="257" spans="1:20" x14ac:dyDescent="0.25">
      <c r="A257" s="55" t="s">
        <v>449</v>
      </c>
      <c r="B257" s="55" t="s">
        <v>3328</v>
      </c>
      <c r="C257" s="55" t="s">
        <v>3350</v>
      </c>
      <c r="D257" s="56" t="s">
        <v>188</v>
      </c>
      <c r="E257" s="57" t="s">
        <v>3347</v>
      </c>
      <c r="F257" s="75" t="s">
        <v>251</v>
      </c>
      <c r="G257" s="55"/>
      <c r="H257" s="58">
        <v>5928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31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31</v>
      </c>
      <c r="P257" s="55"/>
      <c r="Q257" s="62">
        <f>REKAP[[#This Row],[Harga Satuan]]*REKAP[[#This Row],[Stok Akhir]]</f>
        <v>183768</v>
      </c>
      <c r="R257" s="61">
        <f>IF(REKAP[[#This Row],[Stok Aktual]]&lt;&gt;"",REKAP[[#This Row],[Stok Aktual]]-REKAP[[#This Row],[Stok Akhir]],0)</f>
        <v>0</v>
      </c>
      <c r="S257" s="132"/>
      <c r="T257" s="137">
        <f>IF(REKAP[[#This Row],[Selisih]]&lt;=-1,REKAP[[#This Row],[Harga Satuan]]*REKAP[[#This Row],[Selisih]],0)</f>
        <v>0</v>
      </c>
    </row>
    <row r="258" spans="1:20" x14ac:dyDescent="0.25">
      <c r="A258" s="55" t="s">
        <v>450</v>
      </c>
      <c r="B258" s="55" t="s">
        <v>3328</v>
      </c>
      <c r="C258" s="55" t="s">
        <v>3350</v>
      </c>
      <c r="D258" s="56" t="s">
        <v>189</v>
      </c>
      <c r="E258" s="57" t="s">
        <v>3347</v>
      </c>
      <c r="F258" s="75" t="s">
        <v>251</v>
      </c>
      <c r="G258" s="55"/>
      <c r="H258" s="58">
        <v>500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30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30</v>
      </c>
      <c r="P258" s="55"/>
      <c r="Q258" s="62">
        <f>REKAP[[#This Row],[Harga Satuan]]*REKAP[[#This Row],[Stok Akhir]]</f>
        <v>15000</v>
      </c>
      <c r="R258" s="61">
        <f>IF(REKAP[[#This Row],[Stok Aktual]]&lt;&gt;"",REKAP[[#This Row],[Stok Aktual]]-REKAP[[#This Row],[Stok Akhir]],0)</f>
        <v>0</v>
      </c>
      <c r="S258" s="132"/>
      <c r="T258" s="137">
        <f>IF(REKAP[[#This Row],[Selisih]]&lt;=-1,REKAP[[#This Row],[Harga Satuan]]*REKAP[[#This Row],[Selisih]],0)</f>
        <v>0</v>
      </c>
    </row>
    <row r="259" spans="1:20" ht="16.5" customHeight="1" x14ac:dyDescent="0.25">
      <c r="A259" s="55" t="s">
        <v>451</v>
      </c>
      <c r="B259" s="55" t="s">
        <v>3328</v>
      </c>
      <c r="C259" s="55" t="s">
        <v>3350</v>
      </c>
      <c r="D259" s="56" t="s">
        <v>190</v>
      </c>
      <c r="E259" s="57" t="s">
        <v>3347</v>
      </c>
      <c r="F259" s="75" t="s">
        <v>251</v>
      </c>
      <c r="G259" s="55" t="s">
        <v>10</v>
      </c>
      <c r="H259" s="58">
        <v>600</v>
      </c>
      <c r="I259" s="59">
        <f>IF(COUNTIF(MASUK[Kode Barang],REKAP[[#This Row],[ID]])=0,0,COUNTIF(MASUK[Kode Barang],REKAP[[#This Row],[ID]]))</f>
        <v>1</v>
      </c>
      <c r="J259" s="59">
        <f>IF(COUNTIF(MASUK8[Kode Barang],REKAP[[#This Row],[ID]])=0,0,COUNTIF(MASUK8[Kode Barang],REKAP[[#This Row],[ID]]))</f>
        <v>1</v>
      </c>
      <c r="K259" s="60">
        <f>REKAP[[#This Row],[Trx In]]+REKAP[[#This Row],[Trx Out]]</f>
        <v>2</v>
      </c>
      <c r="L259" s="55">
        <v>21</v>
      </c>
      <c r="M259" s="74">
        <f>SUMIF(MASUK!$C:$C,REKAP[[#This Row],[ID]],MASUK!$H:$H)</f>
        <v>6</v>
      </c>
      <c r="N259" s="74">
        <f>SUMIF(KELUAR!$C:$C,REKAP[[#This Row],[ID]],KELUAR!$H:$H)</f>
        <v>8</v>
      </c>
      <c r="O259" s="74">
        <f>REKAP[[#This Row],[Stok Awal]]+REKAP[[#This Row],[Masuk]]-REKAP[[#This Row],[Keluar]]</f>
        <v>19</v>
      </c>
      <c r="P259" s="55">
        <v>21</v>
      </c>
      <c r="Q259" s="62">
        <f>REKAP[[#This Row],[Harga Satuan]]*REKAP[[#This Row],[Stok Akhir]]</f>
        <v>11400</v>
      </c>
      <c r="R259" s="61">
        <f>IF(REKAP[[#This Row],[Stok Aktual]]&lt;&gt;"",REKAP[[#This Row],[Stok Aktual]]-REKAP[[#This Row],[Stok Akhir]],0)</f>
        <v>2</v>
      </c>
      <c r="S259" s="132"/>
      <c r="T259" s="137">
        <f>IF(REKAP[[#This Row],[Selisih]]&lt;=-1,REKAP[[#This Row],[Harga Satuan]]*REKAP[[#This Row],[Selisih]],0)</f>
        <v>0</v>
      </c>
    </row>
    <row r="260" spans="1:20" x14ac:dyDescent="0.25">
      <c r="A260" s="55" t="s">
        <v>452</v>
      </c>
      <c r="B260" s="55" t="s">
        <v>3328</v>
      </c>
      <c r="C260" s="55" t="s">
        <v>3350</v>
      </c>
      <c r="D260" s="56" t="s">
        <v>191</v>
      </c>
      <c r="E260" s="57" t="s">
        <v>3347</v>
      </c>
      <c r="F260" s="75" t="s">
        <v>251</v>
      </c>
      <c r="G260" s="55"/>
      <c r="H260" s="58">
        <v>800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39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39</v>
      </c>
      <c r="P260" s="55"/>
      <c r="Q260" s="62">
        <f>REKAP[[#This Row],[Harga Satuan]]*REKAP[[#This Row],[Stok Akhir]]</f>
        <v>31200</v>
      </c>
      <c r="R260" s="61">
        <f>IF(REKAP[[#This Row],[Stok Aktual]]&lt;&gt;"",REKAP[[#This Row],[Stok Aktual]]-REKAP[[#This Row],[Stok Akhir]],0)</f>
        <v>0</v>
      </c>
      <c r="S260" s="132"/>
      <c r="T260" s="137">
        <f>IF(REKAP[[#This Row],[Selisih]]&lt;=-1,REKAP[[#This Row],[Harga Satuan]]*REKAP[[#This Row],[Selisih]],0)</f>
        <v>0</v>
      </c>
    </row>
    <row r="261" spans="1:20" x14ac:dyDescent="0.25">
      <c r="A261" s="55" t="s">
        <v>453</v>
      </c>
      <c r="B261" s="55" t="s">
        <v>3328</v>
      </c>
      <c r="C261" s="55" t="s">
        <v>3350</v>
      </c>
      <c r="D261" s="56" t="s">
        <v>192</v>
      </c>
      <c r="E261" s="57" t="s">
        <v>3347</v>
      </c>
      <c r="F261" s="75" t="s">
        <v>251</v>
      </c>
      <c r="G261" s="55"/>
      <c r="H261" s="58">
        <v>395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78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78</v>
      </c>
      <c r="P261" s="55"/>
      <c r="Q261" s="62">
        <f>REKAP[[#This Row],[Harga Satuan]]*REKAP[[#This Row],[Stok Akhir]]</f>
        <v>30810</v>
      </c>
      <c r="R261" s="61">
        <f>IF(REKAP[[#This Row],[Stok Aktual]]&lt;&gt;"",REKAP[[#This Row],[Stok Aktual]]-REKAP[[#This Row],[Stok Akhir]],0)</f>
        <v>0</v>
      </c>
      <c r="S261" s="132"/>
      <c r="T261" s="137">
        <f>IF(REKAP[[#This Row],[Selisih]]&lt;=-1,REKAP[[#This Row],[Harga Satuan]]*REKAP[[#This Row],[Selisih]],0)</f>
        <v>0</v>
      </c>
    </row>
    <row r="262" spans="1:20" x14ac:dyDescent="0.25">
      <c r="A262" s="55" t="s">
        <v>454</v>
      </c>
      <c r="B262" s="55" t="s">
        <v>3328</v>
      </c>
      <c r="C262" s="55" t="s">
        <v>3350</v>
      </c>
      <c r="D262" s="56" t="s">
        <v>193</v>
      </c>
      <c r="E262" s="57" t="s">
        <v>3347</v>
      </c>
      <c r="F262" s="75" t="s">
        <v>251</v>
      </c>
      <c r="G262" s="55"/>
      <c r="H262" s="58">
        <v>550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1</v>
      </c>
      <c r="K262" s="60">
        <f>REKAP[[#This Row],[Trx In]]+REKAP[[#This Row],[Trx Out]]</f>
        <v>1</v>
      </c>
      <c r="L262" s="55">
        <v>60</v>
      </c>
      <c r="M262" s="74">
        <f>SUMIF(MASUK!$C:$C,REKAP[[#This Row],[ID]],MASUK!$H:$H)</f>
        <v>0</v>
      </c>
      <c r="N262" s="74">
        <f>SUMIF(KELUAR!$C:$C,REKAP[[#This Row],[ID]],KELUAR!$H:$H)</f>
        <v>4</v>
      </c>
      <c r="O262" s="74">
        <f>REKAP[[#This Row],[Stok Awal]]+REKAP[[#This Row],[Masuk]]-REKAP[[#This Row],[Keluar]]</f>
        <v>56</v>
      </c>
      <c r="P262" s="55">
        <v>56</v>
      </c>
      <c r="Q262" s="62">
        <f>REKAP[[#This Row],[Harga Satuan]]*REKAP[[#This Row],[Stok Akhir]]</f>
        <v>30800</v>
      </c>
      <c r="R262" s="61">
        <f>IF(REKAP[[#This Row],[Stok Aktual]]&lt;&gt;"",REKAP[[#This Row],[Stok Aktual]]-REKAP[[#This Row],[Stok Akhir]],0)</f>
        <v>0</v>
      </c>
      <c r="S262" s="132"/>
      <c r="T262" s="137">
        <f>IF(REKAP[[#This Row],[Selisih]]&lt;=-1,REKAP[[#This Row],[Harga Satuan]]*REKAP[[#This Row],[Selisih]],0)</f>
        <v>0</v>
      </c>
    </row>
    <row r="263" spans="1:20" x14ac:dyDescent="0.25">
      <c r="A263" s="55" t="s">
        <v>455</v>
      </c>
      <c r="B263" s="55" t="s">
        <v>3328</v>
      </c>
      <c r="C263" s="55" t="s">
        <v>3350</v>
      </c>
      <c r="D263" s="56" t="s">
        <v>31</v>
      </c>
      <c r="E263" s="57" t="s">
        <v>3347</v>
      </c>
      <c r="F263" s="75" t="s">
        <v>251</v>
      </c>
      <c r="G263" s="55" t="s">
        <v>10</v>
      </c>
      <c r="H263" s="58">
        <v>500</v>
      </c>
      <c r="I263" s="59">
        <f>IF(COUNTIF(MASUK[Kode Barang],REKAP[[#This Row],[ID]])=0,0,COUNTIF(MASUK[Kode Barang],REKAP[[#This Row],[ID]]))</f>
        <v>3</v>
      </c>
      <c r="J263" s="59">
        <f>IF(COUNTIF(MASUK8[Kode Barang],REKAP[[#This Row],[ID]])=0,0,COUNTIF(MASUK8[Kode Barang],REKAP[[#This Row],[ID]]))</f>
        <v>2</v>
      </c>
      <c r="K263" s="60">
        <f>REKAP[[#This Row],[Trx In]]+REKAP[[#This Row],[Trx Out]]</f>
        <v>5</v>
      </c>
      <c r="L263" s="55">
        <v>15</v>
      </c>
      <c r="M263" s="74">
        <f>SUMIF(MASUK!$C:$C,REKAP[[#This Row],[ID]],MASUK!$H:$H)</f>
        <v>148</v>
      </c>
      <c r="N263" s="74">
        <f>SUMIF(KELUAR!$C:$C,REKAP[[#This Row],[ID]],KELUAR!$H:$H)</f>
        <v>94</v>
      </c>
      <c r="O263" s="74">
        <f>REKAP[[#This Row],[Stok Awal]]+REKAP[[#This Row],[Masuk]]-REKAP[[#This Row],[Keluar]]</f>
        <v>69</v>
      </c>
      <c r="P263" s="55">
        <v>69</v>
      </c>
      <c r="Q263" s="62">
        <f>REKAP[[#This Row],[Harga Satuan]]*REKAP[[#This Row],[Stok Akhir]]</f>
        <v>34500</v>
      </c>
      <c r="R263" s="61">
        <f>IF(REKAP[[#This Row],[Stok Aktual]]&lt;&gt;"",REKAP[[#This Row],[Stok Aktual]]-REKAP[[#This Row],[Stok Akhir]],0)</f>
        <v>0</v>
      </c>
      <c r="S263" s="132"/>
      <c r="T263" s="137">
        <f>IF(REKAP[[#This Row],[Selisih]]&lt;=-1,REKAP[[#This Row],[Harga Satuan]]*REKAP[[#This Row],[Selisih]],0)</f>
        <v>0</v>
      </c>
    </row>
    <row r="264" spans="1:20" x14ac:dyDescent="0.25">
      <c r="A264" s="55" t="s">
        <v>456</v>
      </c>
      <c r="B264" s="55" t="s">
        <v>3328</v>
      </c>
      <c r="C264" s="55" t="s">
        <v>3350</v>
      </c>
      <c r="D264" s="56" t="s">
        <v>194</v>
      </c>
      <c r="E264" s="57" t="s">
        <v>3347</v>
      </c>
      <c r="F264" s="75" t="s">
        <v>251</v>
      </c>
      <c r="G264" s="55" t="s">
        <v>10</v>
      </c>
      <c r="H264" s="58">
        <v>500</v>
      </c>
      <c r="I264" s="59">
        <f>IF(COUNTIF(MASUK[Kode Barang],REKAP[[#This Row],[ID]])=0,0,COUNTIF(MASUK[Kode Barang],REKAP[[#This Row],[ID]]))</f>
        <v>1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1</v>
      </c>
      <c r="L264" s="55">
        <v>19</v>
      </c>
      <c r="M264" s="74">
        <f>SUMIF(MASUK!$C:$C,REKAP[[#This Row],[ID]],MASUK!$H:$H)</f>
        <v>12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31</v>
      </c>
      <c r="P264" s="55">
        <v>31</v>
      </c>
      <c r="Q264" s="62">
        <f>REKAP[[#This Row],[Harga Satuan]]*REKAP[[#This Row],[Stok Akhir]]</f>
        <v>15500</v>
      </c>
      <c r="R264" s="61">
        <f>IF(REKAP[[#This Row],[Stok Aktual]]&lt;&gt;"",REKAP[[#This Row],[Stok Aktual]]-REKAP[[#This Row],[Stok Akhir]],0)</f>
        <v>0</v>
      </c>
      <c r="S264" s="132"/>
      <c r="T264" s="137">
        <f>IF(REKAP[[#This Row],[Selisih]]&lt;=-1,REKAP[[#This Row],[Harga Satuan]]*REKAP[[#This Row],[Selisih]],0)</f>
        <v>0</v>
      </c>
    </row>
    <row r="265" spans="1:20" x14ac:dyDescent="0.25">
      <c r="A265" s="55" t="s">
        <v>457</v>
      </c>
      <c r="B265" s="55" t="s">
        <v>3328</v>
      </c>
      <c r="C265" s="55" t="s">
        <v>3350</v>
      </c>
      <c r="D265" s="56" t="s">
        <v>33</v>
      </c>
      <c r="E265" s="57" t="s">
        <v>3347</v>
      </c>
      <c r="F265" s="75" t="s">
        <v>251</v>
      </c>
      <c r="G265" s="55" t="s">
        <v>10</v>
      </c>
      <c r="H265" s="58">
        <v>400</v>
      </c>
      <c r="I265" s="59">
        <f>IF(COUNTIF(MASUK[Kode Barang],REKAP[[#This Row],[ID]])=0,0,COUNTIF(MASUK[Kode Barang],REKAP[[#This Row],[ID]]))</f>
        <v>2</v>
      </c>
      <c r="J265" s="59">
        <f>IF(COUNTIF(MASUK8[Kode Barang],REKAP[[#This Row],[ID]])=0,0,COUNTIF(MASUK8[Kode Barang],REKAP[[#This Row],[ID]]))</f>
        <v>1</v>
      </c>
      <c r="K265" s="60">
        <f>REKAP[[#This Row],[Trx In]]+REKAP[[#This Row],[Trx Out]]</f>
        <v>3</v>
      </c>
      <c r="L265" s="55">
        <v>12</v>
      </c>
      <c r="M265" s="74">
        <f>SUMIF(MASUK!$C:$C,REKAP[[#This Row],[ID]],MASUK!$H:$H)</f>
        <v>60</v>
      </c>
      <c r="N265" s="74">
        <f>SUMIF(KELUAR!$C:$C,REKAP[[#This Row],[ID]],KELUAR!$H:$H)</f>
        <v>16</v>
      </c>
      <c r="O265" s="74">
        <f>REKAP[[#This Row],[Stok Awal]]+REKAP[[#This Row],[Masuk]]-REKAP[[#This Row],[Keluar]]</f>
        <v>56</v>
      </c>
      <c r="P265" s="55">
        <v>56</v>
      </c>
      <c r="Q265" s="62">
        <f>REKAP[[#This Row],[Harga Satuan]]*REKAP[[#This Row],[Stok Akhir]]</f>
        <v>22400</v>
      </c>
      <c r="R265" s="61">
        <f>IF(REKAP[[#This Row],[Stok Aktual]]&lt;&gt;"",REKAP[[#This Row],[Stok Aktual]]-REKAP[[#This Row],[Stok Akhir]],0)</f>
        <v>0</v>
      </c>
      <c r="S265" s="132"/>
      <c r="T265" s="137">
        <f>IF(REKAP[[#This Row],[Selisih]]&lt;=-1,REKAP[[#This Row],[Harga Satuan]]*REKAP[[#This Row],[Selisih]],0)</f>
        <v>0</v>
      </c>
    </row>
    <row r="266" spans="1:20" x14ac:dyDescent="0.25">
      <c r="A266" s="55" t="s">
        <v>458</v>
      </c>
      <c r="B266" s="55" t="s">
        <v>3328</v>
      </c>
      <c r="C266" s="55" t="s">
        <v>3350</v>
      </c>
      <c r="D266" s="56" t="s">
        <v>34</v>
      </c>
      <c r="E266" s="57" t="s">
        <v>3347</v>
      </c>
      <c r="F266" s="75" t="s">
        <v>251</v>
      </c>
      <c r="G266" s="55"/>
      <c r="H266" s="58">
        <v>700</v>
      </c>
      <c r="I266" s="59">
        <f>IF(COUNTIF(MASUK[Kode Barang],REKAP[[#This Row],[ID]])=0,0,COUNTIF(MASUK[Kode Barang],REKAP[[#This Row],[ID]]))</f>
        <v>1</v>
      </c>
      <c r="J266" s="59">
        <f>IF(COUNTIF(MASUK8[Kode Barang],REKAP[[#This Row],[ID]])=0,0,COUNTIF(MASUK8[Kode Barang],REKAP[[#This Row],[ID]]))</f>
        <v>1</v>
      </c>
      <c r="K266" s="60">
        <f>REKAP[[#This Row],[Trx In]]+REKAP[[#This Row],[Trx Out]]</f>
        <v>2</v>
      </c>
      <c r="L266" s="55">
        <v>19</v>
      </c>
      <c r="M266" s="74">
        <f>SUMIF(MASUK!$C:$C,REKAP[[#This Row],[ID]],MASUK!$H:$H)</f>
        <v>15</v>
      </c>
      <c r="N266" s="74">
        <f>SUMIF(KELUAR!$C:$C,REKAP[[#This Row],[ID]],KELUAR!$H:$H)</f>
        <v>8</v>
      </c>
      <c r="O266" s="74">
        <f>REKAP[[#This Row],[Stok Awal]]+REKAP[[#This Row],[Masuk]]-REKAP[[#This Row],[Keluar]]</f>
        <v>26</v>
      </c>
      <c r="P266" s="55">
        <v>26</v>
      </c>
      <c r="Q266" s="62">
        <f>REKAP[[#This Row],[Harga Satuan]]*REKAP[[#This Row],[Stok Akhir]]</f>
        <v>18200</v>
      </c>
      <c r="R266" s="61">
        <f>IF(REKAP[[#This Row],[Stok Aktual]]&lt;&gt;"",REKAP[[#This Row],[Stok Aktual]]-REKAP[[#This Row],[Stok Akhir]],0)</f>
        <v>0</v>
      </c>
      <c r="S266" s="132"/>
      <c r="T266" s="137">
        <f>IF(REKAP[[#This Row],[Selisih]]&lt;=-1,REKAP[[#This Row],[Harga Satuan]]*REKAP[[#This Row],[Selisih]],0)</f>
        <v>0</v>
      </c>
    </row>
    <row r="267" spans="1:20" x14ac:dyDescent="0.25">
      <c r="A267" s="55" t="s">
        <v>459</v>
      </c>
      <c r="B267" s="55" t="s">
        <v>3328</v>
      </c>
      <c r="C267" s="55" t="s">
        <v>3350</v>
      </c>
      <c r="D267" s="56" t="s">
        <v>35</v>
      </c>
      <c r="E267" s="57" t="s">
        <v>3347</v>
      </c>
      <c r="F267" s="75" t="s">
        <v>251</v>
      </c>
      <c r="G267" s="55" t="s">
        <v>10</v>
      </c>
      <c r="H267" s="58">
        <v>800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22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22</v>
      </c>
      <c r="P267" s="55"/>
      <c r="Q267" s="62">
        <f>REKAP[[#This Row],[Harga Satuan]]*REKAP[[#This Row],[Stok Akhir]]</f>
        <v>17600</v>
      </c>
      <c r="R267" s="61">
        <f>IF(REKAP[[#This Row],[Stok Aktual]]&lt;&gt;"",REKAP[[#This Row],[Stok Aktual]]-REKAP[[#This Row],[Stok Akhir]],0)</f>
        <v>0</v>
      </c>
      <c r="S267" s="132"/>
      <c r="T267" s="137">
        <f>IF(REKAP[[#This Row],[Selisih]]&lt;=-1,REKAP[[#This Row],[Harga Satuan]]*REKAP[[#This Row],[Selisih]],0)</f>
        <v>0</v>
      </c>
    </row>
    <row r="268" spans="1:20" x14ac:dyDescent="0.25">
      <c r="A268" s="55" t="s">
        <v>460</v>
      </c>
      <c r="B268" s="55" t="s">
        <v>3328</v>
      </c>
      <c r="C268" s="55" t="s">
        <v>3350</v>
      </c>
      <c r="D268" s="56" t="s">
        <v>37</v>
      </c>
      <c r="E268" s="57" t="s">
        <v>3347</v>
      </c>
      <c r="F268" s="75" t="s">
        <v>251</v>
      </c>
      <c r="G268" s="55"/>
      <c r="H268" s="58">
        <v>280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1</v>
      </c>
      <c r="K268" s="60">
        <f>REKAP[[#This Row],[Trx In]]+REKAP[[#This Row],[Trx Out]]</f>
        <v>1</v>
      </c>
      <c r="L268" s="55">
        <v>6</v>
      </c>
      <c r="M268" s="74">
        <f>SUMIF(MASUK!$C:$C,REKAP[[#This Row],[ID]],MASUK!$H:$H)</f>
        <v>0</v>
      </c>
      <c r="N268" s="74">
        <f>SUMIF(KELUAR!$C:$C,REKAP[[#This Row],[ID]],KELUAR!$H:$H)</f>
        <v>2</v>
      </c>
      <c r="O268" s="74">
        <f>REKAP[[#This Row],[Stok Awal]]+REKAP[[#This Row],[Masuk]]-REKAP[[#This Row],[Keluar]]</f>
        <v>4</v>
      </c>
      <c r="P268" s="55">
        <v>2</v>
      </c>
      <c r="Q268" s="62">
        <f>REKAP[[#This Row],[Harga Satuan]]*REKAP[[#This Row],[Stok Akhir]]</f>
        <v>1120</v>
      </c>
      <c r="R268" s="61">
        <f>IF(REKAP[[#This Row],[Stok Aktual]]&lt;&gt;"",REKAP[[#This Row],[Stok Aktual]]-REKAP[[#This Row],[Stok Akhir]],0)</f>
        <v>-2</v>
      </c>
      <c r="S268" s="132"/>
      <c r="T268" s="137">
        <f>IF(REKAP[[#This Row],[Selisih]]&lt;=-1,REKAP[[#This Row],[Harga Satuan]]*REKAP[[#This Row],[Selisih]],0)</f>
        <v>-560</v>
      </c>
    </row>
    <row r="269" spans="1:20" x14ac:dyDescent="0.25">
      <c r="A269" s="55" t="s">
        <v>461</v>
      </c>
      <c r="B269" s="55" t="s">
        <v>3328</v>
      </c>
      <c r="C269" s="55" t="s">
        <v>3350</v>
      </c>
      <c r="D269" s="56" t="s">
        <v>50</v>
      </c>
      <c r="E269" s="57" t="s">
        <v>3347</v>
      </c>
      <c r="F269" s="75" t="s">
        <v>251</v>
      </c>
      <c r="G269" s="55" t="s">
        <v>10</v>
      </c>
      <c r="H269" s="58">
        <v>500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40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40</v>
      </c>
      <c r="P269" s="55"/>
      <c r="Q269" s="62">
        <f>REKAP[[#This Row],[Harga Satuan]]*REKAP[[#This Row],[Stok Akhir]]</f>
        <v>20000</v>
      </c>
      <c r="R269" s="61">
        <f>IF(REKAP[[#This Row],[Stok Aktual]]&lt;&gt;"",REKAP[[#This Row],[Stok Aktual]]-REKAP[[#This Row],[Stok Akhir]],0)</f>
        <v>0</v>
      </c>
      <c r="S269" s="132"/>
      <c r="T269" s="137">
        <f>IF(REKAP[[#This Row],[Selisih]]&lt;=-1,REKAP[[#This Row],[Harga Satuan]]*REKAP[[#This Row],[Selisih]],0)</f>
        <v>0</v>
      </c>
    </row>
    <row r="270" spans="1:20" x14ac:dyDescent="0.25">
      <c r="A270" s="55" t="s">
        <v>462</v>
      </c>
      <c r="B270" s="55" t="s">
        <v>3328</v>
      </c>
      <c r="C270" s="55" t="s">
        <v>3350</v>
      </c>
      <c r="D270" s="56" t="s">
        <v>195</v>
      </c>
      <c r="E270" s="57" t="s">
        <v>3347</v>
      </c>
      <c r="F270" s="75" t="s">
        <v>251</v>
      </c>
      <c r="G270" s="55" t="s">
        <v>10</v>
      </c>
      <c r="H270" s="58">
        <v>650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15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15</v>
      </c>
      <c r="P270" s="55"/>
      <c r="Q270" s="62">
        <f>REKAP[[#This Row],[Harga Satuan]]*REKAP[[#This Row],[Stok Akhir]]</f>
        <v>9750</v>
      </c>
      <c r="R270" s="61">
        <f>IF(REKAP[[#This Row],[Stok Aktual]]&lt;&gt;"",REKAP[[#This Row],[Stok Aktual]]-REKAP[[#This Row],[Stok Akhir]],0)</f>
        <v>0</v>
      </c>
      <c r="S270" s="132"/>
      <c r="T270" s="137">
        <f>IF(REKAP[[#This Row],[Selisih]]&lt;=-1,REKAP[[#This Row],[Harga Satuan]]*REKAP[[#This Row],[Selisih]],0)</f>
        <v>0</v>
      </c>
    </row>
    <row r="271" spans="1:20" x14ac:dyDescent="0.25">
      <c r="A271" s="55" t="s">
        <v>463</v>
      </c>
      <c r="B271" s="55" t="s">
        <v>3328</v>
      </c>
      <c r="C271" s="55" t="s">
        <v>3350</v>
      </c>
      <c r="D271" s="56" t="s">
        <v>196</v>
      </c>
      <c r="E271" s="57" t="s">
        <v>3347</v>
      </c>
      <c r="F271" s="75" t="s">
        <v>251</v>
      </c>
      <c r="G271" s="55" t="s">
        <v>10</v>
      </c>
      <c r="H271" s="58">
        <v>1000</v>
      </c>
      <c r="I271" s="59">
        <f>IF(COUNTIF(MASUK[Kode Barang],REKAP[[#This Row],[ID]])=0,0,COUNTIF(MASUK[Kode Barang],REKAP[[#This Row],[ID]]))</f>
        <v>3</v>
      </c>
      <c r="J271" s="59">
        <f>IF(COUNTIF(MASUK8[Kode Barang],REKAP[[#This Row],[ID]])=0,0,COUNTIF(MASUK8[Kode Barang],REKAP[[#This Row],[ID]]))</f>
        <v>5</v>
      </c>
      <c r="K271" s="60">
        <f>REKAP[[#This Row],[Trx In]]+REKAP[[#This Row],[Trx Out]]</f>
        <v>8</v>
      </c>
      <c r="L271" s="55">
        <v>23</v>
      </c>
      <c r="M271" s="74">
        <f>SUMIF(MASUK!$C:$C,REKAP[[#This Row],[ID]],MASUK!$H:$H)</f>
        <v>39</v>
      </c>
      <c r="N271" s="74">
        <f>SUMIF(KELUAR!$C:$C,REKAP[[#This Row],[ID]],KELUAR!$H:$H)</f>
        <v>35</v>
      </c>
      <c r="O271" s="74">
        <f>REKAP[[#This Row],[Stok Awal]]+REKAP[[#This Row],[Masuk]]-REKAP[[#This Row],[Keluar]]</f>
        <v>27</v>
      </c>
      <c r="P271" s="55">
        <v>27</v>
      </c>
      <c r="Q271" s="62">
        <f>REKAP[[#This Row],[Harga Satuan]]*REKAP[[#This Row],[Stok Akhir]]</f>
        <v>27000</v>
      </c>
      <c r="R271" s="61">
        <f>IF(REKAP[[#This Row],[Stok Aktual]]&lt;&gt;"",REKAP[[#This Row],[Stok Aktual]]-REKAP[[#This Row],[Stok Akhir]],0)</f>
        <v>0</v>
      </c>
      <c r="S271" s="132"/>
      <c r="T271" s="137">
        <f>IF(REKAP[[#This Row],[Selisih]]&lt;=-1,REKAP[[#This Row],[Harga Satuan]]*REKAP[[#This Row],[Selisih]],0)</f>
        <v>0</v>
      </c>
    </row>
    <row r="272" spans="1:20" x14ac:dyDescent="0.25">
      <c r="A272" s="55" t="s">
        <v>464</v>
      </c>
      <c r="B272" s="55" t="s">
        <v>3328</v>
      </c>
      <c r="C272" s="55" t="s">
        <v>3350</v>
      </c>
      <c r="D272" s="56" t="s">
        <v>53</v>
      </c>
      <c r="E272" s="57" t="s">
        <v>3347</v>
      </c>
      <c r="F272" s="75" t="s">
        <v>251</v>
      </c>
      <c r="G272" s="55"/>
      <c r="H272" s="58">
        <v>1000</v>
      </c>
      <c r="I272" s="59">
        <f>IF(COUNTIF(MASUK[Kode Barang],REKAP[[#This Row],[ID]])=0,0,COUNTIF(MASUK[Kode Barang],REKAP[[#This Row],[ID]]))</f>
        <v>1</v>
      </c>
      <c r="J272" s="59">
        <f>IF(COUNTIF(MASUK8[Kode Barang],REKAP[[#This Row],[ID]])=0,0,COUNTIF(MASUK8[Kode Barang],REKAP[[#This Row],[ID]]))</f>
        <v>2</v>
      </c>
      <c r="K272" s="60">
        <f>REKAP[[#This Row],[Trx In]]+REKAP[[#This Row],[Trx Out]]</f>
        <v>3</v>
      </c>
      <c r="L272" s="55">
        <v>27</v>
      </c>
      <c r="M272" s="74">
        <f>SUMIF(MASUK!$C:$C,REKAP[[#This Row],[ID]],MASUK!$H:$H)</f>
        <v>64</v>
      </c>
      <c r="N272" s="74">
        <f>SUMIF(KELUAR!$C:$C,REKAP[[#This Row],[ID]],KELUAR!$H:$H)</f>
        <v>18</v>
      </c>
      <c r="O272" s="74">
        <f>REKAP[[#This Row],[Stok Awal]]+REKAP[[#This Row],[Masuk]]-REKAP[[#This Row],[Keluar]]</f>
        <v>73</v>
      </c>
      <c r="P272" s="55">
        <v>73</v>
      </c>
      <c r="Q272" s="62">
        <f>REKAP[[#This Row],[Harga Satuan]]*REKAP[[#This Row],[Stok Akhir]]</f>
        <v>73000</v>
      </c>
      <c r="R272" s="61">
        <f>IF(REKAP[[#This Row],[Stok Aktual]]&lt;&gt;"",REKAP[[#This Row],[Stok Aktual]]-REKAP[[#This Row],[Stok Akhir]],0)</f>
        <v>0</v>
      </c>
      <c r="S272" s="132"/>
      <c r="T272" s="137">
        <f>IF(REKAP[[#This Row],[Selisih]]&lt;=-1,REKAP[[#This Row],[Harga Satuan]]*REKAP[[#This Row],[Selisih]],0)</f>
        <v>0</v>
      </c>
    </row>
    <row r="273" spans="1:20" x14ac:dyDescent="0.25">
      <c r="A273" s="55" t="s">
        <v>465</v>
      </c>
      <c r="B273" s="55" t="s">
        <v>3328</v>
      </c>
      <c r="C273" s="55" t="s">
        <v>3350</v>
      </c>
      <c r="D273" s="56" t="s">
        <v>54</v>
      </c>
      <c r="E273" s="57" t="s">
        <v>3347</v>
      </c>
      <c r="F273" s="75" t="s">
        <v>251</v>
      </c>
      <c r="G273" s="55"/>
      <c r="H273" s="58">
        <v>1000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2</v>
      </c>
      <c r="K273" s="60">
        <f>REKAP[[#This Row],[Trx In]]+REKAP[[#This Row],[Trx Out]]</f>
        <v>2</v>
      </c>
      <c r="L273" s="55">
        <v>35</v>
      </c>
      <c r="M273" s="74">
        <f>SUMIF(MASUK!$C:$C,REKAP[[#This Row],[ID]],MASUK!$H:$H)</f>
        <v>0</v>
      </c>
      <c r="N273" s="74">
        <f>SUMIF(KELUAR!$C:$C,REKAP[[#This Row],[ID]],KELUAR!$H:$H)</f>
        <v>4</v>
      </c>
      <c r="O273" s="74">
        <f>REKAP[[#This Row],[Stok Awal]]+REKAP[[#This Row],[Masuk]]-REKAP[[#This Row],[Keluar]]</f>
        <v>31</v>
      </c>
      <c r="P273" s="55">
        <v>31</v>
      </c>
      <c r="Q273" s="62">
        <f>REKAP[[#This Row],[Harga Satuan]]*REKAP[[#This Row],[Stok Akhir]]</f>
        <v>31000</v>
      </c>
      <c r="R273" s="61">
        <f>IF(REKAP[[#This Row],[Stok Aktual]]&lt;&gt;"",REKAP[[#This Row],[Stok Aktual]]-REKAP[[#This Row],[Stok Akhir]],0)</f>
        <v>0</v>
      </c>
      <c r="S273" s="132"/>
      <c r="T273" s="137">
        <f>IF(REKAP[[#This Row],[Selisih]]&lt;=-1,REKAP[[#This Row],[Harga Satuan]]*REKAP[[#This Row],[Selisih]],0)</f>
        <v>0</v>
      </c>
    </row>
    <row r="274" spans="1:20" x14ac:dyDescent="0.25">
      <c r="A274" s="55" t="s">
        <v>466</v>
      </c>
      <c r="B274" s="55" t="s">
        <v>3328</v>
      </c>
      <c r="C274" s="55" t="s">
        <v>3350</v>
      </c>
      <c r="D274" s="56" t="s">
        <v>55</v>
      </c>
      <c r="E274" s="57" t="s">
        <v>3347</v>
      </c>
      <c r="F274" s="75" t="s">
        <v>251</v>
      </c>
      <c r="G274" s="55"/>
      <c r="H274" s="58">
        <v>675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1</v>
      </c>
      <c r="K274" s="60">
        <f>REKAP[[#This Row],[Trx In]]+REKAP[[#This Row],[Trx Out]]</f>
        <v>1</v>
      </c>
      <c r="L274" s="55">
        <v>32</v>
      </c>
      <c r="M274" s="74">
        <f>SUMIF(MASUK!$C:$C,REKAP[[#This Row],[ID]],MASUK!$H:$H)</f>
        <v>0</v>
      </c>
      <c r="N274" s="74">
        <f>SUMIF(KELUAR!$C:$C,REKAP[[#This Row],[ID]],KELUAR!$H:$H)</f>
        <v>4</v>
      </c>
      <c r="O274" s="74">
        <f>REKAP[[#This Row],[Stok Awal]]+REKAP[[#This Row],[Masuk]]-REKAP[[#This Row],[Keluar]]</f>
        <v>28</v>
      </c>
      <c r="P274" s="55">
        <v>28</v>
      </c>
      <c r="Q274" s="62">
        <f>REKAP[[#This Row],[Harga Satuan]]*REKAP[[#This Row],[Stok Akhir]]</f>
        <v>18900</v>
      </c>
      <c r="R274" s="61">
        <f>IF(REKAP[[#This Row],[Stok Aktual]]&lt;&gt;"",REKAP[[#This Row],[Stok Aktual]]-REKAP[[#This Row],[Stok Akhir]],0)</f>
        <v>0</v>
      </c>
      <c r="S274" s="132"/>
      <c r="T274" s="137">
        <f>IF(REKAP[[#This Row],[Selisih]]&lt;=-1,REKAP[[#This Row],[Harga Satuan]]*REKAP[[#This Row],[Selisih]],0)</f>
        <v>0</v>
      </c>
    </row>
    <row r="275" spans="1:20" x14ac:dyDescent="0.25">
      <c r="A275" s="55" t="s">
        <v>467</v>
      </c>
      <c r="B275" s="55" t="s">
        <v>3328</v>
      </c>
      <c r="C275" s="55" t="s">
        <v>3350</v>
      </c>
      <c r="D275" s="56" t="s">
        <v>56</v>
      </c>
      <c r="E275" s="57" t="s">
        <v>3347</v>
      </c>
      <c r="F275" s="75" t="s">
        <v>251</v>
      </c>
      <c r="G275" s="55"/>
      <c r="H275" s="58">
        <v>800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25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25</v>
      </c>
      <c r="P275" s="55"/>
      <c r="Q275" s="62">
        <f>REKAP[[#This Row],[Harga Satuan]]*REKAP[[#This Row],[Stok Akhir]]</f>
        <v>20000</v>
      </c>
      <c r="R275" s="61">
        <f>IF(REKAP[[#This Row],[Stok Aktual]]&lt;&gt;"",REKAP[[#This Row],[Stok Aktual]]-REKAP[[#This Row],[Stok Akhir]],0)</f>
        <v>0</v>
      </c>
      <c r="S275" s="132"/>
      <c r="T275" s="137">
        <f>IF(REKAP[[#This Row],[Selisih]]&lt;=-1,REKAP[[#This Row],[Harga Satuan]]*REKAP[[#This Row],[Selisih]],0)</f>
        <v>0</v>
      </c>
    </row>
    <row r="276" spans="1:20" x14ac:dyDescent="0.25">
      <c r="A276" s="55" t="s">
        <v>468</v>
      </c>
      <c r="B276" s="55" t="s">
        <v>3328</v>
      </c>
      <c r="C276" s="55" t="s">
        <v>3350</v>
      </c>
      <c r="D276" s="56" t="s">
        <v>57</v>
      </c>
      <c r="E276" s="57" t="s">
        <v>3347</v>
      </c>
      <c r="F276" s="75" t="s">
        <v>251</v>
      </c>
      <c r="G276" s="55"/>
      <c r="H276" s="58">
        <v>1478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50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50</v>
      </c>
      <c r="P276" s="55"/>
      <c r="Q276" s="62">
        <f>REKAP[[#This Row],[Harga Satuan]]*REKAP[[#This Row],[Stok Akhir]]</f>
        <v>73900</v>
      </c>
      <c r="R276" s="61">
        <f>IF(REKAP[[#This Row],[Stok Aktual]]&lt;&gt;"",REKAP[[#This Row],[Stok Aktual]]-REKAP[[#This Row],[Stok Akhir]],0)</f>
        <v>0</v>
      </c>
      <c r="S276" s="132"/>
      <c r="T276" s="137">
        <f>IF(REKAP[[#This Row],[Selisih]]&lt;=-1,REKAP[[#This Row],[Harga Satuan]]*REKAP[[#This Row],[Selisih]],0)</f>
        <v>0</v>
      </c>
    </row>
    <row r="277" spans="1:20" x14ac:dyDescent="0.25">
      <c r="A277" s="55" t="s">
        <v>469</v>
      </c>
      <c r="B277" s="55" t="s">
        <v>3328</v>
      </c>
      <c r="C277" s="55" t="s">
        <v>3350</v>
      </c>
      <c r="D277" s="56" t="s">
        <v>71</v>
      </c>
      <c r="E277" s="57" t="s">
        <v>3347</v>
      </c>
      <c r="F277" s="75" t="s">
        <v>251</v>
      </c>
      <c r="G277" s="55"/>
      <c r="H277" s="58">
        <v>575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53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53</v>
      </c>
      <c r="P277" s="55"/>
      <c r="Q277" s="62">
        <f>REKAP[[#This Row],[Harga Satuan]]*REKAP[[#This Row],[Stok Akhir]]</f>
        <v>30475</v>
      </c>
      <c r="R277" s="61">
        <f>IF(REKAP[[#This Row],[Stok Aktual]]&lt;&gt;"",REKAP[[#This Row],[Stok Aktual]]-REKAP[[#This Row],[Stok Akhir]],0)</f>
        <v>0</v>
      </c>
      <c r="S277" s="132"/>
      <c r="T277" s="137">
        <f>IF(REKAP[[#This Row],[Selisih]]&lt;=-1,REKAP[[#This Row],[Harga Satuan]]*REKAP[[#This Row],[Selisih]],0)</f>
        <v>0</v>
      </c>
    </row>
    <row r="278" spans="1:20" x14ac:dyDescent="0.25">
      <c r="A278" s="55" t="s">
        <v>470</v>
      </c>
      <c r="B278" s="55" t="s">
        <v>3328</v>
      </c>
      <c r="C278" s="55" t="s">
        <v>3350</v>
      </c>
      <c r="D278" s="56" t="s">
        <v>72</v>
      </c>
      <c r="E278" s="57" t="s">
        <v>3347</v>
      </c>
      <c r="F278" s="75" t="s">
        <v>251</v>
      </c>
      <c r="G278" s="55"/>
      <c r="H278" s="58">
        <v>575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32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32</v>
      </c>
      <c r="P278" s="55"/>
      <c r="Q278" s="62">
        <f>REKAP[[#This Row],[Harga Satuan]]*REKAP[[#This Row],[Stok Akhir]]</f>
        <v>18400</v>
      </c>
      <c r="R278" s="61">
        <f>IF(REKAP[[#This Row],[Stok Aktual]]&lt;&gt;"",REKAP[[#This Row],[Stok Aktual]]-REKAP[[#This Row],[Stok Akhir]],0)</f>
        <v>0</v>
      </c>
      <c r="S278" s="132"/>
      <c r="T278" s="137">
        <f>IF(REKAP[[#This Row],[Selisih]]&lt;=-1,REKAP[[#This Row],[Harga Satuan]]*REKAP[[#This Row],[Selisih]],0)</f>
        <v>0</v>
      </c>
    </row>
    <row r="279" spans="1:20" x14ac:dyDescent="0.25">
      <c r="A279" s="55" t="s">
        <v>471</v>
      </c>
      <c r="B279" s="55" t="s">
        <v>3328</v>
      </c>
      <c r="C279" s="55" t="s">
        <v>3350</v>
      </c>
      <c r="D279" s="56" t="s">
        <v>197</v>
      </c>
      <c r="E279" s="57" t="s">
        <v>3347</v>
      </c>
      <c r="F279" s="75" t="s">
        <v>251</v>
      </c>
      <c r="G279" s="55" t="s">
        <v>10</v>
      </c>
      <c r="H279" s="58">
        <v>1300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24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24</v>
      </c>
      <c r="P279" s="55"/>
      <c r="Q279" s="62">
        <f>REKAP[[#This Row],[Harga Satuan]]*REKAP[[#This Row],[Stok Akhir]]</f>
        <v>31200</v>
      </c>
      <c r="R279" s="61">
        <f>IF(REKAP[[#This Row],[Stok Aktual]]&lt;&gt;"",REKAP[[#This Row],[Stok Aktual]]-REKAP[[#This Row],[Stok Akhir]],0)</f>
        <v>0</v>
      </c>
      <c r="S279" s="132"/>
      <c r="T279" s="137">
        <f>IF(REKAP[[#This Row],[Selisih]]&lt;=-1,REKAP[[#This Row],[Harga Satuan]]*REKAP[[#This Row],[Selisih]],0)</f>
        <v>0</v>
      </c>
    </row>
    <row r="280" spans="1:20" x14ac:dyDescent="0.25">
      <c r="A280" s="55" t="s">
        <v>472</v>
      </c>
      <c r="B280" s="55" t="s">
        <v>3328</v>
      </c>
      <c r="C280" s="55" t="s">
        <v>3350</v>
      </c>
      <c r="D280" s="56" t="s">
        <v>198</v>
      </c>
      <c r="E280" s="57" t="s">
        <v>3347</v>
      </c>
      <c r="F280" s="75" t="s">
        <v>251</v>
      </c>
      <c r="G280" s="55" t="s">
        <v>10</v>
      </c>
      <c r="H280" s="58">
        <v>1350</v>
      </c>
      <c r="I280" s="59">
        <f>IF(COUNTIF(MASUK[Kode Barang],REKAP[[#This Row],[ID]])=0,0,COUNTIF(MASUK[Kode Barang],REKAP[[#This Row],[ID]]))</f>
        <v>1</v>
      </c>
      <c r="J280" s="59">
        <f>IF(COUNTIF(MASUK8[Kode Barang],REKAP[[#This Row],[ID]])=0,0,COUNTIF(MASUK8[Kode Barang],REKAP[[#This Row],[ID]]))</f>
        <v>1</v>
      </c>
      <c r="K280" s="60">
        <f>REKAP[[#This Row],[Trx In]]+REKAP[[#This Row],[Trx Out]]</f>
        <v>2</v>
      </c>
      <c r="L280" s="55">
        <v>25</v>
      </c>
      <c r="M280" s="74">
        <f>SUMIF(MASUK!$C:$C,REKAP[[#This Row],[ID]],MASUK!$H:$H)</f>
        <v>16</v>
      </c>
      <c r="N280" s="74">
        <f>SUMIF(KELUAR!$C:$C,REKAP[[#This Row],[ID]],KELUAR!$H:$H)</f>
        <v>16</v>
      </c>
      <c r="O280" s="74">
        <f>REKAP[[#This Row],[Stok Awal]]+REKAP[[#This Row],[Masuk]]-REKAP[[#This Row],[Keluar]]</f>
        <v>25</v>
      </c>
      <c r="P280" s="55">
        <v>25</v>
      </c>
      <c r="Q280" s="62">
        <f>REKAP[[#This Row],[Harga Satuan]]*REKAP[[#This Row],[Stok Akhir]]</f>
        <v>33750</v>
      </c>
      <c r="R280" s="61">
        <f>IF(REKAP[[#This Row],[Stok Aktual]]&lt;&gt;"",REKAP[[#This Row],[Stok Aktual]]-REKAP[[#This Row],[Stok Akhir]],0)</f>
        <v>0</v>
      </c>
      <c r="S280" s="132"/>
      <c r="T280" s="137">
        <f>IF(REKAP[[#This Row],[Selisih]]&lt;=-1,REKAP[[#This Row],[Harga Satuan]]*REKAP[[#This Row],[Selisih]],0)</f>
        <v>0</v>
      </c>
    </row>
    <row r="281" spans="1:20" x14ac:dyDescent="0.25">
      <c r="A281" s="55" t="s">
        <v>473</v>
      </c>
      <c r="B281" s="55" t="s">
        <v>3328</v>
      </c>
      <c r="C281" s="55" t="s">
        <v>3350</v>
      </c>
      <c r="D281" s="56" t="s">
        <v>199</v>
      </c>
      <c r="E281" s="57" t="s">
        <v>3347</v>
      </c>
      <c r="F281" s="75" t="s">
        <v>251</v>
      </c>
      <c r="G281" s="55"/>
      <c r="H281" s="58">
        <v>1500</v>
      </c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1</v>
      </c>
      <c r="K281" s="60">
        <f>REKAP[[#This Row],[Trx In]]+REKAP[[#This Row],[Trx Out]]</f>
        <v>1</v>
      </c>
      <c r="L281" s="55">
        <v>39</v>
      </c>
      <c r="M281" s="74">
        <f>SUMIF(MASUK!$C:$C,REKAP[[#This Row],[ID]],MASUK!$H:$H)</f>
        <v>0</v>
      </c>
      <c r="N281" s="74">
        <f>SUMIF(KELUAR!$C:$C,REKAP[[#This Row],[ID]],KELUAR!$H:$H)</f>
        <v>8</v>
      </c>
      <c r="O281" s="74">
        <f>REKAP[[#This Row],[Stok Awal]]+REKAP[[#This Row],[Masuk]]-REKAP[[#This Row],[Keluar]]</f>
        <v>31</v>
      </c>
      <c r="P281" s="55">
        <v>31</v>
      </c>
      <c r="Q281" s="62">
        <f>REKAP[[#This Row],[Harga Satuan]]*REKAP[[#This Row],[Stok Akhir]]</f>
        <v>46500</v>
      </c>
      <c r="R281" s="61">
        <f>IF(REKAP[[#This Row],[Stok Aktual]]&lt;&gt;"",REKAP[[#This Row],[Stok Aktual]]-REKAP[[#This Row],[Stok Akhir]],0)</f>
        <v>0</v>
      </c>
      <c r="S281" s="132"/>
      <c r="T281" s="137">
        <f>IF(REKAP[[#This Row],[Selisih]]&lt;=-1,REKAP[[#This Row],[Harga Satuan]]*REKAP[[#This Row],[Selisih]],0)</f>
        <v>0</v>
      </c>
    </row>
    <row r="282" spans="1:20" x14ac:dyDescent="0.25">
      <c r="A282" s="55" t="s">
        <v>474</v>
      </c>
      <c r="B282" s="55" t="s">
        <v>3328</v>
      </c>
      <c r="C282" s="55" t="s">
        <v>3350</v>
      </c>
      <c r="D282" s="56" t="s">
        <v>200</v>
      </c>
      <c r="E282" s="57" t="s">
        <v>3347</v>
      </c>
      <c r="F282" s="75" t="s">
        <v>251</v>
      </c>
      <c r="G282" s="55" t="s">
        <v>10</v>
      </c>
      <c r="H282" s="58">
        <v>2000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32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32</v>
      </c>
      <c r="P282" s="55"/>
      <c r="Q282" s="62">
        <f>REKAP[[#This Row],[Harga Satuan]]*REKAP[[#This Row],[Stok Akhir]]</f>
        <v>64000</v>
      </c>
      <c r="R282" s="61">
        <f>IF(REKAP[[#This Row],[Stok Aktual]]&lt;&gt;"",REKAP[[#This Row],[Stok Aktual]]-REKAP[[#This Row],[Stok Akhir]],0)</f>
        <v>0</v>
      </c>
      <c r="S282" s="132"/>
      <c r="T282" s="137">
        <f>IF(REKAP[[#This Row],[Selisih]]&lt;=-1,REKAP[[#This Row],[Harga Satuan]]*REKAP[[#This Row],[Selisih]],0)</f>
        <v>0</v>
      </c>
    </row>
    <row r="283" spans="1:20" x14ac:dyDescent="0.25">
      <c r="A283" s="55" t="s">
        <v>475</v>
      </c>
      <c r="B283" s="55" t="s">
        <v>3328</v>
      </c>
      <c r="C283" s="55" t="s">
        <v>3350</v>
      </c>
      <c r="D283" s="56" t="s">
        <v>201</v>
      </c>
      <c r="E283" s="57" t="s">
        <v>3347</v>
      </c>
      <c r="F283" s="75" t="s">
        <v>251</v>
      </c>
      <c r="G283" s="55"/>
      <c r="H283" s="58">
        <v>645.25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61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61</v>
      </c>
      <c r="P283" s="55"/>
      <c r="Q283" s="62">
        <f>REKAP[[#This Row],[Harga Satuan]]*REKAP[[#This Row],[Stok Akhir]]</f>
        <v>39360.25</v>
      </c>
      <c r="R283" s="61">
        <f>IF(REKAP[[#This Row],[Stok Aktual]]&lt;&gt;"",REKAP[[#This Row],[Stok Aktual]]-REKAP[[#This Row],[Stok Akhir]],0)</f>
        <v>0</v>
      </c>
      <c r="S283" s="132"/>
      <c r="T283" s="137">
        <f>IF(REKAP[[#This Row],[Selisih]]&lt;=-1,REKAP[[#This Row],[Harga Satuan]]*REKAP[[#This Row],[Selisih]],0)</f>
        <v>0</v>
      </c>
    </row>
    <row r="284" spans="1:20" x14ac:dyDescent="0.25">
      <c r="A284" s="55" t="s">
        <v>476</v>
      </c>
      <c r="B284" s="55" t="s">
        <v>3328</v>
      </c>
      <c r="C284" s="55" t="s">
        <v>3350</v>
      </c>
      <c r="D284" s="56" t="s">
        <v>202</v>
      </c>
      <c r="E284" s="57" t="s">
        <v>3347</v>
      </c>
      <c r="F284" s="75" t="s">
        <v>251</v>
      </c>
      <c r="G284" s="55"/>
      <c r="H284" s="58">
        <v>1500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63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63</v>
      </c>
      <c r="P284" s="55"/>
      <c r="Q284" s="62">
        <f>REKAP[[#This Row],[Harga Satuan]]*REKAP[[#This Row],[Stok Akhir]]</f>
        <v>94500</v>
      </c>
      <c r="R284" s="61">
        <f>IF(REKAP[[#This Row],[Stok Aktual]]&lt;&gt;"",REKAP[[#This Row],[Stok Aktual]]-REKAP[[#This Row],[Stok Akhir]],0)</f>
        <v>0</v>
      </c>
      <c r="S284" s="132"/>
      <c r="T284" s="137">
        <f>IF(REKAP[[#This Row],[Selisih]]&lt;=-1,REKAP[[#This Row],[Harga Satuan]]*REKAP[[#This Row],[Selisih]],0)</f>
        <v>0</v>
      </c>
    </row>
    <row r="285" spans="1:20" x14ac:dyDescent="0.25">
      <c r="A285" s="55" t="s">
        <v>477</v>
      </c>
      <c r="B285" s="55" t="s">
        <v>3328</v>
      </c>
      <c r="C285" s="55" t="s">
        <v>3350</v>
      </c>
      <c r="D285" s="56" t="s">
        <v>203</v>
      </c>
      <c r="E285" s="57" t="s">
        <v>3347</v>
      </c>
      <c r="F285" s="75" t="s">
        <v>251</v>
      </c>
      <c r="G285" s="55"/>
      <c r="H285" s="58">
        <v>2093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1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1</v>
      </c>
      <c r="P285" s="55"/>
      <c r="Q285" s="62">
        <f>REKAP[[#This Row],[Harga Satuan]]*REKAP[[#This Row],[Stok Akhir]]</f>
        <v>2093</v>
      </c>
      <c r="R285" s="61">
        <f>IF(REKAP[[#This Row],[Stok Aktual]]&lt;&gt;"",REKAP[[#This Row],[Stok Aktual]]-REKAP[[#This Row],[Stok Akhir]],0)</f>
        <v>0</v>
      </c>
      <c r="S285" s="132"/>
      <c r="T285" s="137">
        <f>IF(REKAP[[#This Row],[Selisih]]&lt;=-1,REKAP[[#This Row],[Harga Satuan]]*REKAP[[#This Row],[Selisih]],0)</f>
        <v>0</v>
      </c>
    </row>
    <row r="286" spans="1:20" x14ac:dyDescent="0.25">
      <c r="A286" s="55" t="s">
        <v>478</v>
      </c>
      <c r="B286" s="55" t="s">
        <v>3328</v>
      </c>
      <c r="C286" s="55" t="s">
        <v>3350</v>
      </c>
      <c r="D286" s="56" t="s">
        <v>96</v>
      </c>
      <c r="E286" s="57" t="s">
        <v>3347</v>
      </c>
      <c r="F286" s="75" t="s">
        <v>251</v>
      </c>
      <c r="G286" s="55"/>
      <c r="H286" s="58">
        <v>2000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30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30</v>
      </c>
      <c r="P286" s="55"/>
      <c r="Q286" s="62">
        <f>REKAP[[#This Row],[Harga Satuan]]*REKAP[[#This Row],[Stok Akhir]]</f>
        <v>60000</v>
      </c>
      <c r="R286" s="61">
        <f>IF(REKAP[[#This Row],[Stok Aktual]]&lt;&gt;"",REKAP[[#This Row],[Stok Aktual]]-REKAP[[#This Row],[Stok Akhir]],0)</f>
        <v>0</v>
      </c>
      <c r="S286" s="132"/>
      <c r="T286" s="137">
        <f>IF(REKAP[[#This Row],[Selisih]]&lt;=-1,REKAP[[#This Row],[Harga Satuan]]*REKAP[[#This Row],[Selisih]],0)</f>
        <v>0</v>
      </c>
    </row>
    <row r="287" spans="1:20" x14ac:dyDescent="0.25">
      <c r="A287" s="55" t="s">
        <v>479</v>
      </c>
      <c r="B287" s="55" t="s">
        <v>3328</v>
      </c>
      <c r="C287" s="55" t="s">
        <v>3350</v>
      </c>
      <c r="D287" s="56" t="s">
        <v>97</v>
      </c>
      <c r="E287" s="57" t="s">
        <v>3347</v>
      </c>
      <c r="F287" s="75" t="s">
        <v>251</v>
      </c>
      <c r="G287" s="55"/>
      <c r="H287" s="58">
        <v>2000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40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40</v>
      </c>
      <c r="P287" s="55"/>
      <c r="Q287" s="62">
        <f>REKAP[[#This Row],[Harga Satuan]]*REKAP[[#This Row],[Stok Akhir]]</f>
        <v>80000</v>
      </c>
      <c r="R287" s="61">
        <f>IF(REKAP[[#This Row],[Stok Aktual]]&lt;&gt;"",REKAP[[#This Row],[Stok Aktual]]-REKAP[[#This Row],[Stok Akhir]],0)</f>
        <v>0</v>
      </c>
      <c r="S287" s="132"/>
      <c r="T287" s="137">
        <f>IF(REKAP[[#This Row],[Selisih]]&lt;=-1,REKAP[[#This Row],[Harga Satuan]]*REKAP[[#This Row],[Selisih]],0)</f>
        <v>0</v>
      </c>
    </row>
    <row r="288" spans="1:20" x14ac:dyDescent="0.25">
      <c r="A288" s="55" t="s">
        <v>480</v>
      </c>
      <c r="B288" s="55" t="s">
        <v>3328</v>
      </c>
      <c r="C288" s="55" t="s">
        <v>3350</v>
      </c>
      <c r="D288" s="56" t="s">
        <v>98</v>
      </c>
      <c r="E288" s="57" t="s">
        <v>3347</v>
      </c>
      <c r="F288" s="75" t="s">
        <v>251</v>
      </c>
      <c r="G288" s="55"/>
      <c r="H288" s="58">
        <v>2000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20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20</v>
      </c>
      <c r="P288" s="55"/>
      <c r="Q288" s="62">
        <f>REKAP[[#This Row],[Harga Satuan]]*REKAP[[#This Row],[Stok Akhir]]</f>
        <v>40000</v>
      </c>
      <c r="R288" s="61">
        <f>IF(REKAP[[#This Row],[Stok Aktual]]&lt;&gt;"",REKAP[[#This Row],[Stok Aktual]]-REKAP[[#This Row],[Stok Akhir]],0)</f>
        <v>0</v>
      </c>
      <c r="S288" s="132"/>
      <c r="T288" s="137">
        <f>IF(REKAP[[#This Row],[Selisih]]&lt;=-1,REKAP[[#This Row],[Harga Satuan]]*REKAP[[#This Row],[Selisih]],0)</f>
        <v>0</v>
      </c>
    </row>
    <row r="289" spans="1:20" x14ac:dyDescent="0.25">
      <c r="A289" s="55" t="s">
        <v>481</v>
      </c>
      <c r="B289" s="55" t="s">
        <v>3328</v>
      </c>
      <c r="C289" s="55" t="s">
        <v>3350</v>
      </c>
      <c r="D289" s="56" t="s">
        <v>204</v>
      </c>
      <c r="E289" s="57" t="s">
        <v>3347</v>
      </c>
      <c r="F289" s="75" t="s">
        <v>251</v>
      </c>
      <c r="G289" s="55"/>
      <c r="H289" s="58">
        <v>4500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9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9</v>
      </c>
      <c r="P289" s="55"/>
      <c r="Q289" s="62">
        <f>REKAP[[#This Row],[Harga Satuan]]*REKAP[[#This Row],[Stok Akhir]]</f>
        <v>40500</v>
      </c>
      <c r="R289" s="61">
        <f>IF(REKAP[[#This Row],[Stok Aktual]]&lt;&gt;"",REKAP[[#This Row],[Stok Aktual]]-REKAP[[#This Row],[Stok Akhir]],0)</f>
        <v>0</v>
      </c>
      <c r="S289" s="132"/>
      <c r="T289" s="137">
        <f>IF(REKAP[[#This Row],[Selisih]]&lt;=-1,REKAP[[#This Row],[Harga Satuan]]*REKAP[[#This Row],[Selisih]],0)</f>
        <v>0</v>
      </c>
    </row>
    <row r="290" spans="1:20" x14ac:dyDescent="0.25">
      <c r="A290" s="55" t="s">
        <v>482</v>
      </c>
      <c r="B290" s="55" t="s">
        <v>3328</v>
      </c>
      <c r="C290" s="55" t="s">
        <v>3350</v>
      </c>
      <c r="D290" s="56" t="s">
        <v>205</v>
      </c>
      <c r="E290" s="57" t="s">
        <v>3347</v>
      </c>
      <c r="F290" s="75" t="s">
        <v>251</v>
      </c>
      <c r="G290" s="55"/>
      <c r="H290" s="58">
        <v>2600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37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37</v>
      </c>
      <c r="P290" s="55"/>
      <c r="Q290" s="62">
        <f>REKAP[[#This Row],[Harga Satuan]]*REKAP[[#This Row],[Stok Akhir]]</f>
        <v>96200</v>
      </c>
      <c r="R290" s="61">
        <f>IF(REKAP[[#This Row],[Stok Aktual]]&lt;&gt;"",REKAP[[#This Row],[Stok Aktual]]-REKAP[[#This Row],[Stok Akhir]],0)</f>
        <v>0</v>
      </c>
      <c r="S290" s="132"/>
      <c r="T290" s="137">
        <f>IF(REKAP[[#This Row],[Selisih]]&lt;=-1,REKAP[[#This Row],[Harga Satuan]]*REKAP[[#This Row],[Selisih]],0)</f>
        <v>0</v>
      </c>
    </row>
    <row r="291" spans="1:20" x14ac:dyDescent="0.25">
      <c r="A291" s="55" t="s">
        <v>483</v>
      </c>
      <c r="B291" s="55" t="s">
        <v>3328</v>
      </c>
      <c r="C291" s="55" t="s">
        <v>3350</v>
      </c>
      <c r="D291" s="56" t="s">
        <v>206</v>
      </c>
      <c r="E291" s="57" t="s">
        <v>3347</v>
      </c>
      <c r="F291" s="75" t="s">
        <v>251</v>
      </c>
      <c r="G291" s="55"/>
      <c r="H291" s="58">
        <v>4950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13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13</v>
      </c>
      <c r="P291" s="55"/>
      <c r="Q291" s="62">
        <f>REKAP[[#This Row],[Harga Satuan]]*REKAP[[#This Row],[Stok Akhir]]</f>
        <v>64350</v>
      </c>
      <c r="R291" s="61">
        <f>IF(REKAP[[#This Row],[Stok Aktual]]&lt;&gt;"",REKAP[[#This Row],[Stok Aktual]]-REKAP[[#This Row],[Stok Akhir]],0)</f>
        <v>0</v>
      </c>
      <c r="S291" s="132"/>
      <c r="T291" s="137">
        <f>IF(REKAP[[#This Row],[Selisih]]&lt;=-1,REKAP[[#This Row],[Harga Satuan]]*REKAP[[#This Row],[Selisih]],0)</f>
        <v>0</v>
      </c>
    </row>
    <row r="292" spans="1:20" x14ac:dyDescent="0.25">
      <c r="A292" s="55" t="s">
        <v>484</v>
      </c>
      <c r="B292" s="55" t="s">
        <v>3351</v>
      </c>
      <c r="C292" s="55" t="s">
        <v>3350</v>
      </c>
      <c r="D292" s="56" t="s">
        <v>3354</v>
      </c>
      <c r="E292" s="57" t="s">
        <v>3329</v>
      </c>
      <c r="F292" s="75" t="s">
        <v>251</v>
      </c>
      <c r="G292" s="55"/>
      <c r="H292" s="58">
        <v>400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20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20</v>
      </c>
      <c r="P292" s="55"/>
      <c r="Q292" s="62">
        <f>REKAP[[#This Row],[Harga Satuan]]*REKAP[[#This Row],[Stok Akhir]]</f>
        <v>8000</v>
      </c>
      <c r="R292" s="61">
        <f>IF(REKAP[[#This Row],[Stok Aktual]]&lt;&gt;"",REKAP[[#This Row],[Stok Aktual]]-REKAP[[#This Row],[Stok Akhir]],0)</f>
        <v>0</v>
      </c>
      <c r="S292" s="132"/>
      <c r="T292" s="137">
        <f>IF(REKAP[[#This Row],[Selisih]]&lt;=-1,REKAP[[#This Row],[Harga Satuan]]*REKAP[[#This Row],[Selisih]],0)</f>
        <v>0</v>
      </c>
    </row>
    <row r="293" spans="1:20" x14ac:dyDescent="0.25">
      <c r="A293" s="55" t="s">
        <v>485</v>
      </c>
      <c r="B293" s="55" t="s">
        <v>3351</v>
      </c>
      <c r="C293" s="55" t="s">
        <v>3350</v>
      </c>
      <c r="D293" s="56" t="s">
        <v>184</v>
      </c>
      <c r="E293" s="57" t="s">
        <v>3329</v>
      </c>
      <c r="F293" s="75" t="s">
        <v>251</v>
      </c>
      <c r="G293" s="55"/>
      <c r="H293" s="58">
        <v>4950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30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30</v>
      </c>
      <c r="P293" s="55"/>
      <c r="Q293" s="62">
        <f>REKAP[[#This Row],[Harga Satuan]]*REKAP[[#This Row],[Stok Akhir]]</f>
        <v>148500</v>
      </c>
      <c r="R293" s="61">
        <f>IF(REKAP[[#This Row],[Stok Aktual]]&lt;&gt;"",REKAP[[#This Row],[Stok Aktual]]-REKAP[[#This Row],[Stok Akhir]],0)</f>
        <v>0</v>
      </c>
      <c r="S293" s="132"/>
      <c r="T293" s="137">
        <f>IF(REKAP[[#This Row],[Selisih]]&lt;=-1,REKAP[[#This Row],[Harga Satuan]]*REKAP[[#This Row],[Selisih]],0)</f>
        <v>0</v>
      </c>
    </row>
    <row r="294" spans="1:20" x14ac:dyDescent="0.25">
      <c r="A294" s="55" t="s">
        <v>486</v>
      </c>
      <c r="B294" s="55" t="s">
        <v>3351</v>
      </c>
      <c r="C294" s="55" t="s">
        <v>3350</v>
      </c>
      <c r="D294" s="56" t="s">
        <v>185</v>
      </c>
      <c r="E294" s="57" t="s">
        <v>3329</v>
      </c>
      <c r="F294" s="75" t="s">
        <v>251</v>
      </c>
      <c r="G294" s="55"/>
      <c r="H294" s="58">
        <v>361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4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4</v>
      </c>
      <c r="P294" s="55"/>
      <c r="Q294" s="62">
        <f>REKAP[[#This Row],[Harga Satuan]]*REKAP[[#This Row],[Stok Akhir]]</f>
        <v>1444</v>
      </c>
      <c r="R294" s="61">
        <f>IF(REKAP[[#This Row],[Stok Aktual]]&lt;&gt;"",REKAP[[#This Row],[Stok Aktual]]-REKAP[[#This Row],[Stok Akhir]],0)</f>
        <v>0</v>
      </c>
      <c r="S294" s="132"/>
      <c r="T294" s="137">
        <f>IF(REKAP[[#This Row],[Selisih]]&lt;=-1,REKAP[[#This Row],[Harga Satuan]]*REKAP[[#This Row],[Selisih]],0)</f>
        <v>0</v>
      </c>
    </row>
    <row r="295" spans="1:20" x14ac:dyDescent="0.25">
      <c r="A295" s="55" t="s">
        <v>487</v>
      </c>
      <c r="B295" s="55" t="s">
        <v>3351</v>
      </c>
      <c r="C295" s="55" t="s">
        <v>3350</v>
      </c>
      <c r="D295" s="56" t="s">
        <v>3344</v>
      </c>
      <c r="E295" s="57" t="s">
        <v>3329</v>
      </c>
      <c r="F295" s="75" t="s">
        <v>251</v>
      </c>
      <c r="G295" s="55"/>
      <c r="H295" s="58">
        <v>531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>
        <f>IF(REKAP[[#This Row],[Stok Aktual]]&lt;&gt;"",REKAP[[#This Row],[Stok Aktual]]-REKAP[[#This Row],[Stok Akhir]],0)</f>
        <v>0</v>
      </c>
      <c r="S295" s="132"/>
      <c r="T295" s="137">
        <f>IF(REKAP[[#This Row],[Selisih]]&lt;=-1,REKAP[[#This Row],[Harga Satuan]]*REKAP[[#This Row],[Selisih]],0)</f>
        <v>0</v>
      </c>
    </row>
    <row r="296" spans="1:20" x14ac:dyDescent="0.25">
      <c r="A296" s="55" t="s">
        <v>488</v>
      </c>
      <c r="B296" s="55" t="s">
        <v>3351</v>
      </c>
      <c r="C296" s="55" t="s">
        <v>3350</v>
      </c>
      <c r="D296" s="56" t="s">
        <v>22</v>
      </c>
      <c r="E296" s="57" t="s">
        <v>3329</v>
      </c>
      <c r="F296" s="75" t="s">
        <v>251</v>
      </c>
      <c r="G296" s="55"/>
      <c r="H296" s="58">
        <v>500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24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24</v>
      </c>
      <c r="P296" s="55"/>
      <c r="Q296" s="62">
        <f>REKAP[[#This Row],[Harga Satuan]]*REKAP[[#This Row],[Stok Akhir]]</f>
        <v>12000</v>
      </c>
      <c r="R296" s="61">
        <f>IF(REKAP[[#This Row],[Stok Aktual]]&lt;&gt;"",REKAP[[#This Row],[Stok Aktual]]-REKAP[[#This Row],[Stok Akhir]],0)</f>
        <v>0</v>
      </c>
      <c r="S296" s="132"/>
      <c r="T296" s="137">
        <f>IF(REKAP[[#This Row],[Selisih]]&lt;=-1,REKAP[[#This Row],[Harga Satuan]]*REKAP[[#This Row],[Selisih]],0)</f>
        <v>0</v>
      </c>
    </row>
    <row r="297" spans="1:20" x14ac:dyDescent="0.25">
      <c r="A297" s="55" t="s">
        <v>489</v>
      </c>
      <c r="B297" s="55" t="s">
        <v>3351</v>
      </c>
      <c r="C297" s="55" t="s">
        <v>3350</v>
      </c>
      <c r="D297" s="56" t="s">
        <v>23</v>
      </c>
      <c r="E297" s="57" t="s">
        <v>3329</v>
      </c>
      <c r="F297" s="75" t="s">
        <v>251</v>
      </c>
      <c r="G297" s="55"/>
      <c r="H297" s="58">
        <v>650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17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17</v>
      </c>
      <c r="P297" s="55"/>
      <c r="Q297" s="62">
        <f>REKAP[[#This Row],[Harga Satuan]]*REKAP[[#This Row],[Stok Akhir]]</f>
        <v>11050</v>
      </c>
      <c r="R297" s="61">
        <f>IF(REKAP[[#This Row],[Stok Aktual]]&lt;&gt;"",REKAP[[#This Row],[Stok Aktual]]-REKAP[[#This Row],[Stok Akhir]],0)</f>
        <v>0</v>
      </c>
      <c r="S297" s="132"/>
      <c r="T297" s="137">
        <f>IF(REKAP[[#This Row],[Selisih]]&lt;=-1,REKAP[[#This Row],[Harga Satuan]]*REKAP[[#This Row],[Selisih]],0)</f>
        <v>0</v>
      </c>
    </row>
    <row r="298" spans="1:20" x14ac:dyDescent="0.25">
      <c r="A298" s="55" t="s">
        <v>490</v>
      </c>
      <c r="B298" s="55" t="s">
        <v>3351</v>
      </c>
      <c r="C298" s="55" t="s">
        <v>3350</v>
      </c>
      <c r="D298" s="56" t="s">
        <v>78</v>
      </c>
      <c r="E298" s="57" t="s">
        <v>3329</v>
      </c>
      <c r="F298" s="75" t="s">
        <v>251</v>
      </c>
      <c r="G298" s="55"/>
      <c r="H298" s="58">
        <v>1420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25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25</v>
      </c>
      <c r="P298" s="55"/>
      <c r="Q298" s="62">
        <f>REKAP[[#This Row],[Harga Satuan]]*REKAP[[#This Row],[Stok Akhir]]</f>
        <v>35500</v>
      </c>
      <c r="R298" s="61">
        <f>IF(REKAP[[#This Row],[Stok Aktual]]&lt;&gt;"",REKAP[[#This Row],[Stok Aktual]]-REKAP[[#This Row],[Stok Akhir]],0)</f>
        <v>0</v>
      </c>
      <c r="S298" s="132"/>
      <c r="T298" s="137">
        <f>IF(REKAP[[#This Row],[Selisih]]&lt;=-1,REKAP[[#This Row],[Harga Satuan]]*REKAP[[#This Row],[Selisih]],0)</f>
        <v>0</v>
      </c>
    </row>
    <row r="299" spans="1:20" x14ac:dyDescent="0.25">
      <c r="A299" s="55" t="s">
        <v>491</v>
      </c>
      <c r="B299" s="55" t="s">
        <v>3356</v>
      </c>
      <c r="C299" s="55" t="s">
        <v>3352</v>
      </c>
      <c r="D299" s="56" t="s">
        <v>207</v>
      </c>
      <c r="E299" s="57" t="s">
        <v>3347</v>
      </c>
      <c r="F299" s="75" t="s">
        <v>251</v>
      </c>
      <c r="G299" s="55"/>
      <c r="H299" s="58">
        <v>2150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16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16</v>
      </c>
      <c r="P299" s="55"/>
      <c r="Q299" s="62">
        <f>REKAP[[#This Row],[Harga Satuan]]*REKAP[[#This Row],[Stok Akhir]]</f>
        <v>34400</v>
      </c>
      <c r="R299" s="61">
        <f>IF(REKAP[[#This Row],[Stok Aktual]]&lt;&gt;"",REKAP[[#This Row],[Stok Aktual]]-REKAP[[#This Row],[Stok Akhir]],0)</f>
        <v>0</v>
      </c>
      <c r="S299" s="132"/>
      <c r="T299" s="137">
        <f>IF(REKAP[[#This Row],[Selisih]]&lt;=-1,REKAP[[#This Row],[Harga Satuan]]*REKAP[[#This Row],[Selisih]],0)</f>
        <v>0</v>
      </c>
    </row>
    <row r="300" spans="1:20" x14ac:dyDescent="0.25">
      <c r="A300" s="55" t="s">
        <v>492</v>
      </c>
      <c r="B300" s="55" t="s">
        <v>3357</v>
      </c>
      <c r="C300" s="55" t="s">
        <v>3353</v>
      </c>
      <c r="D300" s="56" t="s">
        <v>208</v>
      </c>
      <c r="E300" s="57" t="s">
        <v>3347</v>
      </c>
      <c r="F300" s="75" t="s">
        <v>251</v>
      </c>
      <c r="G300" s="55"/>
      <c r="H300" s="58">
        <v>2150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13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13</v>
      </c>
      <c r="P300" s="55"/>
      <c r="Q300" s="62">
        <f>REKAP[[#This Row],[Harga Satuan]]*REKAP[[#This Row],[Stok Akhir]]</f>
        <v>27950</v>
      </c>
      <c r="R300" s="61">
        <f>IF(REKAP[[#This Row],[Stok Aktual]]&lt;&gt;"",REKAP[[#This Row],[Stok Aktual]]-REKAP[[#This Row],[Stok Akhir]],0)</f>
        <v>0</v>
      </c>
      <c r="S300" s="132"/>
      <c r="T300" s="137">
        <f>IF(REKAP[[#This Row],[Selisih]]&lt;=-1,REKAP[[#This Row],[Harga Satuan]]*REKAP[[#This Row],[Selisih]],0)</f>
        <v>0</v>
      </c>
    </row>
    <row r="301" spans="1:20" x14ac:dyDescent="0.25">
      <c r="A301" s="55" t="s">
        <v>493</v>
      </c>
      <c r="B301" s="55" t="s">
        <v>3356</v>
      </c>
      <c r="C301" s="55" t="s">
        <v>3352</v>
      </c>
      <c r="D301" s="56" t="s">
        <v>209</v>
      </c>
      <c r="E301" s="57" t="s">
        <v>3347</v>
      </c>
      <c r="F301" s="75" t="s">
        <v>251</v>
      </c>
      <c r="G301" s="55"/>
      <c r="H301" s="58">
        <v>224.75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14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14</v>
      </c>
      <c r="P301" s="55"/>
      <c r="Q301" s="62">
        <f>REKAP[[#This Row],[Harga Satuan]]*REKAP[[#This Row],[Stok Akhir]]</f>
        <v>3146.5</v>
      </c>
      <c r="R301" s="61">
        <f>IF(REKAP[[#This Row],[Stok Aktual]]&lt;&gt;"",REKAP[[#This Row],[Stok Aktual]]-REKAP[[#This Row],[Stok Akhir]],0)</f>
        <v>0</v>
      </c>
      <c r="S301" s="132"/>
      <c r="T301" s="137">
        <f>IF(REKAP[[#This Row],[Selisih]]&lt;=-1,REKAP[[#This Row],[Harga Satuan]]*REKAP[[#This Row],[Selisih]],0)</f>
        <v>0</v>
      </c>
    </row>
    <row r="302" spans="1:20" x14ac:dyDescent="0.25">
      <c r="A302" s="55" t="s">
        <v>494</v>
      </c>
      <c r="B302" s="55" t="s">
        <v>3357</v>
      </c>
      <c r="C302" s="55" t="s">
        <v>3353</v>
      </c>
      <c r="D302" s="56" t="s">
        <v>3355</v>
      </c>
      <c r="E302" s="57" t="s">
        <v>3347</v>
      </c>
      <c r="F302" s="75" t="s">
        <v>251</v>
      </c>
      <c r="G302" s="55"/>
      <c r="H302" s="58">
        <v>440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29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29</v>
      </c>
      <c r="P302" s="55"/>
      <c r="Q302" s="62">
        <f>REKAP[[#This Row],[Harga Satuan]]*REKAP[[#This Row],[Stok Akhir]]</f>
        <v>12760</v>
      </c>
      <c r="R302" s="61">
        <f>IF(REKAP[[#This Row],[Stok Aktual]]&lt;&gt;"",REKAP[[#This Row],[Stok Aktual]]-REKAP[[#This Row],[Stok Akhir]],0)</f>
        <v>0</v>
      </c>
      <c r="S302" s="132"/>
      <c r="T302" s="137">
        <f>IF(REKAP[[#This Row],[Selisih]]&lt;=-1,REKAP[[#This Row],[Harga Satuan]]*REKAP[[#This Row],[Selisih]],0)</f>
        <v>0</v>
      </c>
    </row>
    <row r="303" spans="1:20" x14ac:dyDescent="0.25">
      <c r="A303" s="55" t="s">
        <v>495</v>
      </c>
      <c r="B303" s="55" t="s">
        <v>3356</v>
      </c>
      <c r="C303" s="55" t="s">
        <v>3352</v>
      </c>
      <c r="D303" s="56" t="s">
        <v>210</v>
      </c>
      <c r="E303" s="57" t="s">
        <v>3347</v>
      </c>
      <c r="F303" s="75" t="s">
        <v>251</v>
      </c>
      <c r="G303" s="55"/>
      <c r="H303" s="58">
        <v>361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11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11</v>
      </c>
      <c r="P303" s="55"/>
      <c r="Q303" s="62">
        <f>REKAP[[#This Row],[Harga Satuan]]*REKAP[[#This Row],[Stok Akhir]]</f>
        <v>3971</v>
      </c>
      <c r="R303" s="61">
        <f>IF(REKAP[[#This Row],[Stok Aktual]]&lt;&gt;"",REKAP[[#This Row],[Stok Aktual]]-REKAP[[#This Row],[Stok Akhir]],0)</f>
        <v>0</v>
      </c>
      <c r="S303" s="132"/>
      <c r="T303" s="137">
        <f>IF(REKAP[[#This Row],[Selisih]]&lt;=-1,REKAP[[#This Row],[Harga Satuan]]*REKAP[[#This Row],[Selisih]],0)</f>
        <v>0</v>
      </c>
    </row>
    <row r="304" spans="1:20" x14ac:dyDescent="0.25">
      <c r="A304" s="55" t="s">
        <v>496</v>
      </c>
      <c r="B304" s="55" t="s">
        <v>3356</v>
      </c>
      <c r="C304" s="55" t="s">
        <v>3352</v>
      </c>
      <c r="D304" s="56" t="s">
        <v>211</v>
      </c>
      <c r="E304" s="57" t="s">
        <v>3347</v>
      </c>
      <c r="F304" s="75" t="s">
        <v>251</v>
      </c>
      <c r="G304" s="55"/>
      <c r="H304" s="58">
        <v>100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34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34</v>
      </c>
      <c r="P304" s="55"/>
      <c r="Q304" s="62">
        <f>REKAP[[#This Row],[Harga Satuan]]*REKAP[[#This Row],[Stok Akhir]]</f>
        <v>3400</v>
      </c>
      <c r="R304" s="61">
        <f>IF(REKAP[[#This Row],[Stok Aktual]]&lt;&gt;"",REKAP[[#This Row],[Stok Aktual]]-REKAP[[#This Row],[Stok Akhir]],0)</f>
        <v>0</v>
      </c>
      <c r="S304" s="132"/>
      <c r="T304" s="137">
        <f>IF(REKAP[[#This Row],[Selisih]]&lt;=-1,REKAP[[#This Row],[Harga Satuan]]*REKAP[[#This Row],[Selisih]],0)</f>
        <v>0</v>
      </c>
    </row>
    <row r="305" spans="1:20" x14ac:dyDescent="0.25">
      <c r="A305" s="55" t="s">
        <v>497</v>
      </c>
      <c r="B305" s="55" t="s">
        <v>3356</v>
      </c>
      <c r="C305" s="55" t="s">
        <v>3352</v>
      </c>
      <c r="D305" s="56" t="s">
        <v>212</v>
      </c>
      <c r="E305" s="57" t="s">
        <v>3347</v>
      </c>
      <c r="F305" s="75" t="s">
        <v>251</v>
      </c>
      <c r="G305" s="55" t="s">
        <v>10</v>
      </c>
      <c r="H305" s="58">
        <v>200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26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26</v>
      </c>
      <c r="P305" s="55"/>
      <c r="Q305" s="62">
        <f>REKAP[[#This Row],[Harga Satuan]]*REKAP[[#This Row],[Stok Akhir]]</f>
        <v>5200</v>
      </c>
      <c r="R305" s="61">
        <f>IF(REKAP[[#This Row],[Stok Aktual]]&lt;&gt;"",REKAP[[#This Row],[Stok Aktual]]-REKAP[[#This Row],[Stok Akhir]],0)</f>
        <v>0</v>
      </c>
      <c r="S305" s="132"/>
      <c r="T305" s="137">
        <f>IF(REKAP[[#This Row],[Selisih]]&lt;=-1,REKAP[[#This Row],[Harga Satuan]]*REKAP[[#This Row],[Selisih]],0)</f>
        <v>0</v>
      </c>
    </row>
    <row r="306" spans="1:20" x14ac:dyDescent="0.25">
      <c r="A306" s="55" t="s">
        <v>498</v>
      </c>
      <c r="B306" s="55" t="s">
        <v>3356</v>
      </c>
      <c r="C306" s="55" t="s">
        <v>3352</v>
      </c>
      <c r="D306" s="56" t="s">
        <v>213</v>
      </c>
      <c r="E306" s="57" t="s">
        <v>3347</v>
      </c>
      <c r="F306" s="75" t="s">
        <v>251</v>
      </c>
      <c r="G306" s="55"/>
      <c r="H306" s="58">
        <v>100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26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26</v>
      </c>
      <c r="P306" s="55"/>
      <c r="Q306" s="62">
        <f>REKAP[[#This Row],[Harga Satuan]]*REKAP[[#This Row],[Stok Akhir]]</f>
        <v>2600</v>
      </c>
      <c r="R306" s="61">
        <f>IF(REKAP[[#This Row],[Stok Aktual]]&lt;&gt;"",REKAP[[#This Row],[Stok Aktual]]-REKAP[[#This Row],[Stok Akhir]],0)</f>
        <v>0</v>
      </c>
      <c r="S306" s="132"/>
      <c r="T306" s="137">
        <f>IF(REKAP[[#This Row],[Selisih]]&lt;=-1,REKAP[[#This Row],[Harga Satuan]]*REKAP[[#This Row],[Selisih]],0)</f>
        <v>0</v>
      </c>
    </row>
    <row r="307" spans="1:20" x14ac:dyDescent="0.25">
      <c r="A307" s="55" t="s">
        <v>499</v>
      </c>
      <c r="B307" s="55" t="s">
        <v>3356</v>
      </c>
      <c r="C307" s="55" t="s">
        <v>3352</v>
      </c>
      <c r="D307" s="56" t="s">
        <v>214</v>
      </c>
      <c r="E307" s="57" t="s">
        <v>3347</v>
      </c>
      <c r="F307" s="75" t="s">
        <v>251</v>
      </c>
      <c r="G307" s="55"/>
      <c r="H307" s="58">
        <v>200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50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50</v>
      </c>
      <c r="P307" s="55"/>
      <c r="Q307" s="62">
        <f>REKAP[[#This Row],[Harga Satuan]]*REKAP[[#This Row],[Stok Akhir]]</f>
        <v>10000</v>
      </c>
      <c r="R307" s="61">
        <f>IF(REKAP[[#This Row],[Stok Aktual]]&lt;&gt;"",REKAP[[#This Row],[Stok Aktual]]-REKAP[[#This Row],[Stok Akhir]],0)</f>
        <v>0</v>
      </c>
      <c r="S307" s="132"/>
      <c r="T307" s="137">
        <f>IF(REKAP[[#This Row],[Selisih]]&lt;=-1,REKAP[[#This Row],[Harga Satuan]]*REKAP[[#This Row],[Selisih]],0)</f>
        <v>0</v>
      </c>
    </row>
    <row r="308" spans="1:20" x14ac:dyDescent="0.25">
      <c r="A308" s="55" t="s">
        <v>500</v>
      </c>
      <c r="B308" s="55" t="s">
        <v>3356</v>
      </c>
      <c r="C308" s="55" t="s">
        <v>3352</v>
      </c>
      <c r="D308" s="56" t="s">
        <v>215</v>
      </c>
      <c r="E308" s="57" t="s">
        <v>3347</v>
      </c>
      <c r="F308" s="75" t="s">
        <v>251</v>
      </c>
      <c r="G308" s="55"/>
      <c r="H308" s="58">
        <v>100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38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38</v>
      </c>
      <c r="P308" s="55"/>
      <c r="Q308" s="62">
        <f>REKAP[[#This Row],[Harga Satuan]]*REKAP[[#This Row],[Stok Akhir]]</f>
        <v>3800</v>
      </c>
      <c r="R308" s="61">
        <f>IF(REKAP[[#This Row],[Stok Aktual]]&lt;&gt;"",REKAP[[#This Row],[Stok Aktual]]-REKAP[[#This Row],[Stok Akhir]],0)</f>
        <v>0</v>
      </c>
      <c r="S308" s="132"/>
      <c r="T308" s="137">
        <f>IF(REKAP[[#This Row],[Selisih]]&lt;=-1,REKAP[[#This Row],[Harga Satuan]]*REKAP[[#This Row],[Selisih]],0)</f>
        <v>0</v>
      </c>
    </row>
    <row r="309" spans="1:20" x14ac:dyDescent="0.25">
      <c r="A309" s="55" t="s">
        <v>501</v>
      </c>
      <c r="B309" s="55" t="s">
        <v>3356</v>
      </c>
      <c r="C309" s="55" t="s">
        <v>3352</v>
      </c>
      <c r="D309" s="56" t="s">
        <v>216</v>
      </c>
      <c r="E309" s="57" t="s">
        <v>3347</v>
      </c>
      <c r="F309" s="75" t="s">
        <v>251</v>
      </c>
      <c r="G309" s="55"/>
      <c r="H309" s="58">
        <v>300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34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34</v>
      </c>
      <c r="P309" s="55"/>
      <c r="Q309" s="62">
        <f>REKAP[[#This Row],[Harga Satuan]]*REKAP[[#This Row],[Stok Akhir]]</f>
        <v>10200</v>
      </c>
      <c r="R309" s="61">
        <f>IF(REKAP[[#This Row],[Stok Aktual]]&lt;&gt;"",REKAP[[#This Row],[Stok Aktual]]-REKAP[[#This Row],[Stok Akhir]],0)</f>
        <v>0</v>
      </c>
      <c r="S309" s="132"/>
      <c r="T309" s="137">
        <f>IF(REKAP[[#This Row],[Selisih]]&lt;=-1,REKAP[[#This Row],[Harga Satuan]]*REKAP[[#This Row],[Selisih]],0)</f>
        <v>0</v>
      </c>
    </row>
    <row r="310" spans="1:20" x14ac:dyDescent="0.25">
      <c r="A310" s="55" t="s">
        <v>502</v>
      </c>
      <c r="B310" s="55" t="s">
        <v>3356</v>
      </c>
      <c r="C310" s="55" t="s">
        <v>3352</v>
      </c>
      <c r="D310" s="56" t="s">
        <v>217</v>
      </c>
      <c r="E310" s="57" t="s">
        <v>3347</v>
      </c>
      <c r="F310" s="75" t="s">
        <v>251</v>
      </c>
      <c r="G310" s="55"/>
      <c r="H310" s="58">
        <v>200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34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34</v>
      </c>
      <c r="P310" s="55"/>
      <c r="Q310" s="62">
        <f>REKAP[[#This Row],[Harga Satuan]]*REKAP[[#This Row],[Stok Akhir]]</f>
        <v>6800</v>
      </c>
      <c r="R310" s="61">
        <f>IF(REKAP[[#This Row],[Stok Aktual]]&lt;&gt;"",REKAP[[#This Row],[Stok Aktual]]-REKAP[[#This Row],[Stok Akhir]],0)</f>
        <v>0</v>
      </c>
      <c r="S310" s="132"/>
      <c r="T310" s="137">
        <f>IF(REKAP[[#This Row],[Selisih]]&lt;=-1,REKAP[[#This Row],[Harga Satuan]]*REKAP[[#This Row],[Selisih]],0)</f>
        <v>0</v>
      </c>
    </row>
    <row r="311" spans="1:20" x14ac:dyDescent="0.25">
      <c r="A311" s="55" t="s">
        <v>503</v>
      </c>
      <c r="B311" s="55" t="s">
        <v>3327</v>
      </c>
      <c r="C311" s="55" t="s">
        <v>3358</v>
      </c>
      <c r="D311" s="56" t="s">
        <v>186</v>
      </c>
      <c r="E311" s="57" t="s">
        <v>3347</v>
      </c>
      <c r="F311" s="75" t="s">
        <v>251</v>
      </c>
      <c r="G311" s="55"/>
      <c r="H311" s="58">
        <v>1000</v>
      </c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32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32</v>
      </c>
      <c r="P311" s="55"/>
      <c r="Q311" s="62">
        <f>REKAP[[#This Row],[Harga Satuan]]*REKAP[[#This Row],[Stok Akhir]]</f>
        <v>32000</v>
      </c>
      <c r="R311" s="61">
        <f>IF(REKAP[[#This Row],[Stok Aktual]]&lt;&gt;"",REKAP[[#This Row],[Stok Aktual]]-REKAP[[#This Row],[Stok Akhir]],0)</f>
        <v>0</v>
      </c>
      <c r="S311" s="132"/>
      <c r="T311" s="137">
        <f>IF(REKAP[[#This Row],[Selisih]]&lt;=-1,REKAP[[#This Row],[Harga Satuan]]*REKAP[[#This Row],[Selisih]],0)</f>
        <v>0</v>
      </c>
    </row>
    <row r="312" spans="1:20" x14ac:dyDescent="0.25">
      <c r="A312" s="55" t="s">
        <v>504</v>
      </c>
      <c r="B312" s="55" t="s">
        <v>3327</v>
      </c>
      <c r="C312" s="55" t="s">
        <v>3358</v>
      </c>
      <c r="D312" s="56" t="s">
        <v>3360</v>
      </c>
      <c r="E312" s="57" t="s">
        <v>3347</v>
      </c>
      <c r="F312" s="75" t="s">
        <v>251</v>
      </c>
      <c r="G312" s="55"/>
      <c r="H312" s="58">
        <v>1000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0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0</v>
      </c>
      <c r="P312" s="55"/>
      <c r="Q312" s="62">
        <f>REKAP[[#This Row],[Harga Satuan]]*REKAP[[#This Row],[Stok Akhir]]</f>
        <v>0</v>
      </c>
      <c r="R312" s="61">
        <f>IF(REKAP[[#This Row],[Stok Aktual]]&lt;&gt;"",REKAP[[#This Row],[Stok Aktual]]-REKAP[[#This Row],[Stok Akhir]],0)</f>
        <v>0</v>
      </c>
      <c r="S312" s="132"/>
      <c r="T312" s="137">
        <f>IF(REKAP[[#This Row],[Selisih]]&lt;=-1,REKAP[[#This Row],[Harga Satuan]]*REKAP[[#This Row],[Selisih]],0)</f>
        <v>0</v>
      </c>
    </row>
    <row r="313" spans="1:20" x14ac:dyDescent="0.25">
      <c r="A313" s="55" t="s">
        <v>505</v>
      </c>
      <c r="B313" s="55" t="s">
        <v>3327</v>
      </c>
      <c r="C313" s="55" t="s">
        <v>3358</v>
      </c>
      <c r="D313" s="56" t="s">
        <v>189</v>
      </c>
      <c r="E313" s="57" t="s">
        <v>3347</v>
      </c>
      <c r="F313" s="75" t="s">
        <v>251</v>
      </c>
      <c r="G313" s="55"/>
      <c r="H313" s="58">
        <v>800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22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22</v>
      </c>
      <c r="P313" s="55"/>
      <c r="Q313" s="62">
        <f>REKAP[[#This Row],[Harga Satuan]]*REKAP[[#This Row],[Stok Akhir]]</f>
        <v>17600</v>
      </c>
      <c r="R313" s="61">
        <f>IF(REKAP[[#This Row],[Stok Aktual]]&lt;&gt;"",REKAP[[#This Row],[Stok Aktual]]-REKAP[[#This Row],[Stok Akhir]],0)</f>
        <v>0</v>
      </c>
      <c r="S313" s="132"/>
      <c r="T313" s="137">
        <f>IF(REKAP[[#This Row],[Selisih]]&lt;=-1,REKAP[[#This Row],[Harga Satuan]]*REKAP[[#This Row],[Selisih]],0)</f>
        <v>0</v>
      </c>
    </row>
    <row r="314" spans="1:20" x14ac:dyDescent="0.25">
      <c r="A314" s="55" t="s">
        <v>506</v>
      </c>
      <c r="B314" s="55" t="s">
        <v>3327</v>
      </c>
      <c r="C314" s="55" t="s">
        <v>3358</v>
      </c>
      <c r="D314" s="56" t="s">
        <v>3361</v>
      </c>
      <c r="E314" s="57" t="s">
        <v>3347</v>
      </c>
      <c r="F314" s="75" t="s">
        <v>251</v>
      </c>
      <c r="G314" s="55"/>
      <c r="H314" s="58">
        <v>600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1</v>
      </c>
      <c r="K314" s="60">
        <f>REKAP[[#This Row],[Trx In]]+REKAP[[#This Row],[Trx Out]]</f>
        <v>1</v>
      </c>
      <c r="L314" s="55">
        <v>32</v>
      </c>
      <c r="M314" s="74">
        <f>SUMIF(MASUK!$C:$C,REKAP[[#This Row],[ID]],MASUK!$H:$H)</f>
        <v>0</v>
      </c>
      <c r="N314" s="74">
        <f>SUMIF(KELUAR!$C:$C,REKAP[[#This Row],[ID]],KELUAR!$H:$H)</f>
        <v>3</v>
      </c>
      <c r="O314" s="74">
        <f>REKAP[[#This Row],[Stok Awal]]+REKAP[[#This Row],[Masuk]]-REKAP[[#This Row],[Keluar]]</f>
        <v>29</v>
      </c>
      <c r="P314" s="55">
        <v>29</v>
      </c>
      <c r="Q314" s="62">
        <f>REKAP[[#This Row],[Harga Satuan]]*REKAP[[#This Row],[Stok Akhir]]</f>
        <v>17400</v>
      </c>
      <c r="R314" s="61">
        <f>IF(REKAP[[#This Row],[Stok Aktual]]&lt;&gt;"",REKAP[[#This Row],[Stok Aktual]]-REKAP[[#This Row],[Stok Akhir]],0)</f>
        <v>0</v>
      </c>
      <c r="S314" s="132"/>
      <c r="T314" s="137">
        <f>IF(REKAP[[#This Row],[Selisih]]&lt;=-1,REKAP[[#This Row],[Harga Satuan]]*REKAP[[#This Row],[Selisih]],0)</f>
        <v>0</v>
      </c>
    </row>
    <row r="315" spans="1:20" x14ac:dyDescent="0.25">
      <c r="A315" s="55" t="s">
        <v>507</v>
      </c>
      <c r="B315" s="55" t="s">
        <v>3327</v>
      </c>
      <c r="C315" s="55" t="s">
        <v>3358</v>
      </c>
      <c r="D315" s="56" t="s">
        <v>3362</v>
      </c>
      <c r="E315" s="57" t="s">
        <v>3347</v>
      </c>
      <c r="F315" s="75" t="s">
        <v>251</v>
      </c>
      <c r="G315" s="55"/>
      <c r="H315" s="58">
        <v>600</v>
      </c>
      <c r="I315" s="59">
        <f>IF(COUNTIF(MASUK[Kode Barang],REKAP[[#This Row],[ID]])=0,0,COUNTIF(MASUK[Kode Barang],REKAP[[#This Row],[ID]]))</f>
        <v>1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1</v>
      </c>
      <c r="L315" s="55">
        <v>23</v>
      </c>
      <c r="M315" s="74">
        <f>SUMIF(MASUK!$C:$C,REKAP[[#This Row],[ID]],MASUK!$H:$H)</f>
        <v>10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33</v>
      </c>
      <c r="P315" s="55">
        <v>33</v>
      </c>
      <c r="Q315" s="62">
        <f>REKAP[[#This Row],[Harga Satuan]]*REKAP[[#This Row],[Stok Akhir]]</f>
        <v>19800</v>
      </c>
      <c r="R315" s="61">
        <f>IF(REKAP[[#This Row],[Stok Aktual]]&lt;&gt;"",REKAP[[#This Row],[Stok Aktual]]-REKAP[[#This Row],[Stok Akhir]],0)</f>
        <v>0</v>
      </c>
      <c r="S315" s="132"/>
      <c r="T315" s="137">
        <f>IF(REKAP[[#This Row],[Selisih]]&lt;=-1,REKAP[[#This Row],[Harga Satuan]]*REKAP[[#This Row],[Selisih]],0)</f>
        <v>0</v>
      </c>
    </row>
    <row r="316" spans="1:20" x14ac:dyDescent="0.25">
      <c r="A316" s="55" t="s">
        <v>508</v>
      </c>
      <c r="B316" s="55" t="s">
        <v>3327</v>
      </c>
      <c r="C316" s="55" t="s">
        <v>3358</v>
      </c>
      <c r="D316" s="56" t="s">
        <v>3363</v>
      </c>
      <c r="E316" s="57" t="s">
        <v>3347</v>
      </c>
      <c r="F316" s="75" t="s">
        <v>251</v>
      </c>
      <c r="G316" s="55" t="s">
        <v>10</v>
      </c>
      <c r="H316" s="58">
        <v>550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2</v>
      </c>
      <c r="K316" s="60">
        <f>REKAP[[#This Row],[Trx In]]+REKAP[[#This Row],[Trx Out]]</f>
        <v>2</v>
      </c>
      <c r="L316" s="55">
        <v>10</v>
      </c>
      <c r="M316" s="74">
        <f>SUMIF(MASUK!$C:$C,REKAP[[#This Row],[ID]],MASUK!$H:$H)</f>
        <v>0</v>
      </c>
      <c r="N316" s="74">
        <f>SUMIF(KELUAR!$C:$C,REKAP[[#This Row],[ID]],KELUAR!$H:$H)</f>
        <v>3</v>
      </c>
      <c r="O316" s="74">
        <f>REKAP[[#This Row],[Stok Awal]]+REKAP[[#This Row],[Masuk]]-REKAP[[#This Row],[Keluar]]</f>
        <v>7</v>
      </c>
      <c r="P316" s="55">
        <v>7</v>
      </c>
      <c r="Q316" s="62">
        <f>REKAP[[#This Row],[Harga Satuan]]*REKAP[[#This Row],[Stok Akhir]]</f>
        <v>3850</v>
      </c>
      <c r="R316" s="61">
        <f>IF(REKAP[[#This Row],[Stok Aktual]]&lt;&gt;"",REKAP[[#This Row],[Stok Aktual]]-REKAP[[#This Row],[Stok Akhir]],0)</f>
        <v>0</v>
      </c>
      <c r="S316" s="132"/>
      <c r="T316" s="137">
        <f>IF(REKAP[[#This Row],[Selisih]]&lt;=-1,REKAP[[#This Row],[Harga Satuan]]*REKAP[[#This Row],[Selisih]],0)</f>
        <v>0</v>
      </c>
    </row>
    <row r="317" spans="1:20" x14ac:dyDescent="0.25">
      <c r="A317" s="55" t="s">
        <v>509</v>
      </c>
      <c r="B317" s="55" t="s">
        <v>3327</v>
      </c>
      <c r="C317" s="55" t="s">
        <v>3358</v>
      </c>
      <c r="D317" s="56" t="s">
        <v>194</v>
      </c>
      <c r="E317" s="57" t="s">
        <v>3347</v>
      </c>
      <c r="F317" s="75" t="s">
        <v>251</v>
      </c>
      <c r="G317" s="55"/>
      <c r="H317" s="58">
        <v>500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35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35</v>
      </c>
      <c r="P317" s="55"/>
      <c r="Q317" s="62">
        <f>REKAP[[#This Row],[Harga Satuan]]*REKAP[[#This Row],[Stok Akhir]]</f>
        <v>17500</v>
      </c>
      <c r="R317" s="61">
        <f>IF(REKAP[[#This Row],[Stok Aktual]]&lt;&gt;"",REKAP[[#This Row],[Stok Aktual]]-REKAP[[#This Row],[Stok Akhir]],0)</f>
        <v>0</v>
      </c>
      <c r="S317" s="132"/>
      <c r="T317" s="137">
        <f>IF(REKAP[[#This Row],[Selisih]]&lt;=-1,REKAP[[#This Row],[Harga Satuan]]*REKAP[[#This Row],[Selisih]],0)</f>
        <v>0</v>
      </c>
    </row>
    <row r="318" spans="1:20" x14ac:dyDescent="0.25">
      <c r="A318" s="55" t="s">
        <v>510</v>
      </c>
      <c r="B318" s="55" t="s">
        <v>3327</v>
      </c>
      <c r="C318" s="55" t="s">
        <v>3358</v>
      </c>
      <c r="D318" s="56" t="s">
        <v>3364</v>
      </c>
      <c r="E318" s="57" t="s">
        <v>3347</v>
      </c>
      <c r="F318" s="75" t="s">
        <v>251</v>
      </c>
      <c r="G318" s="55"/>
      <c r="H318" s="58">
        <v>600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41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41</v>
      </c>
      <c r="P318" s="55"/>
      <c r="Q318" s="62">
        <f>REKAP[[#This Row],[Harga Satuan]]*REKAP[[#This Row],[Stok Akhir]]</f>
        <v>24600</v>
      </c>
      <c r="R318" s="61">
        <f>IF(REKAP[[#This Row],[Stok Aktual]]&lt;&gt;"",REKAP[[#This Row],[Stok Aktual]]-REKAP[[#This Row],[Stok Akhir]],0)</f>
        <v>0</v>
      </c>
      <c r="S318" s="132"/>
      <c r="T318" s="137">
        <f>IF(REKAP[[#This Row],[Selisih]]&lt;=-1,REKAP[[#This Row],[Harga Satuan]]*REKAP[[#This Row],[Selisih]],0)</f>
        <v>0</v>
      </c>
    </row>
    <row r="319" spans="1:20" x14ac:dyDescent="0.25">
      <c r="A319" s="55" t="s">
        <v>511</v>
      </c>
      <c r="B319" s="55" t="s">
        <v>3327</v>
      </c>
      <c r="C319" s="55" t="s">
        <v>3358</v>
      </c>
      <c r="D319" s="56" t="s">
        <v>3365</v>
      </c>
      <c r="E319" s="57" t="s">
        <v>3347</v>
      </c>
      <c r="F319" s="75" t="s">
        <v>251</v>
      </c>
      <c r="G319" s="55"/>
      <c r="H319" s="58">
        <v>600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1</v>
      </c>
      <c r="K319" s="60">
        <f>REKAP[[#This Row],[Trx In]]+REKAP[[#This Row],[Trx Out]]</f>
        <v>1</v>
      </c>
      <c r="L319" s="55">
        <v>22</v>
      </c>
      <c r="M319" s="74">
        <f>SUMIF(MASUK!$C:$C,REKAP[[#This Row],[ID]],MASUK!$H:$H)</f>
        <v>0</v>
      </c>
      <c r="N319" s="74">
        <f>SUMIF(KELUAR!$C:$C,REKAP[[#This Row],[ID]],KELUAR!$H:$H)</f>
        <v>2</v>
      </c>
      <c r="O319" s="74">
        <f>REKAP[[#This Row],[Stok Awal]]+REKAP[[#This Row],[Masuk]]-REKAP[[#This Row],[Keluar]]</f>
        <v>20</v>
      </c>
      <c r="P319" s="55">
        <v>24</v>
      </c>
      <c r="Q319" s="62">
        <f>REKAP[[#This Row],[Harga Satuan]]*REKAP[[#This Row],[Stok Akhir]]</f>
        <v>12000</v>
      </c>
      <c r="R319" s="61">
        <f>IF(REKAP[[#This Row],[Stok Aktual]]&lt;&gt;"",REKAP[[#This Row],[Stok Aktual]]-REKAP[[#This Row],[Stok Akhir]],0)</f>
        <v>4</v>
      </c>
      <c r="S319" s="132"/>
      <c r="T319" s="137">
        <f>IF(REKAP[[#This Row],[Selisih]]&lt;=-1,REKAP[[#This Row],[Harga Satuan]]*REKAP[[#This Row],[Selisih]],0)</f>
        <v>0</v>
      </c>
    </row>
    <row r="320" spans="1:20" x14ac:dyDescent="0.25">
      <c r="A320" s="55" t="s">
        <v>512</v>
      </c>
      <c r="B320" s="55" t="s">
        <v>3327</v>
      </c>
      <c r="C320" s="55" t="s">
        <v>3358</v>
      </c>
      <c r="D320" s="56" t="s">
        <v>3366</v>
      </c>
      <c r="E320" s="57" t="s">
        <v>3347</v>
      </c>
      <c r="F320" s="75" t="s">
        <v>251</v>
      </c>
      <c r="G320" s="55"/>
      <c r="H320" s="58">
        <v>594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21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21</v>
      </c>
      <c r="P320" s="55"/>
      <c r="Q320" s="62">
        <f>REKAP[[#This Row],[Harga Satuan]]*REKAP[[#This Row],[Stok Akhir]]</f>
        <v>12474</v>
      </c>
      <c r="R320" s="61">
        <f>IF(REKAP[[#This Row],[Stok Aktual]]&lt;&gt;"",REKAP[[#This Row],[Stok Aktual]]-REKAP[[#This Row],[Stok Akhir]],0)</f>
        <v>0</v>
      </c>
      <c r="S320" s="132"/>
      <c r="T320" s="137">
        <f>IF(REKAP[[#This Row],[Selisih]]&lt;=-1,REKAP[[#This Row],[Harga Satuan]]*REKAP[[#This Row],[Selisih]],0)</f>
        <v>0</v>
      </c>
    </row>
    <row r="321" spans="1:20" x14ac:dyDescent="0.25">
      <c r="A321" s="55" t="s">
        <v>513</v>
      </c>
      <c r="B321" s="55" t="s">
        <v>3327</v>
      </c>
      <c r="C321" s="55" t="s">
        <v>3358</v>
      </c>
      <c r="D321" s="56" t="s">
        <v>3367</v>
      </c>
      <c r="E321" s="57" t="s">
        <v>3347</v>
      </c>
      <c r="F321" s="75" t="s">
        <v>251</v>
      </c>
      <c r="G321" s="55" t="s">
        <v>10</v>
      </c>
      <c r="H321" s="58">
        <v>600</v>
      </c>
      <c r="I321" s="59">
        <f>IF(COUNTIF(MASUK[Kode Barang],REKAP[[#This Row],[ID]])=0,0,COUNTIF(MASUK[Kode Barang],REKAP[[#This Row],[ID]]))</f>
        <v>1</v>
      </c>
      <c r="J321" s="59">
        <f>IF(COUNTIF(MASUK8[Kode Barang],REKAP[[#This Row],[ID]])=0,0,COUNTIF(MASUK8[Kode Barang],REKAP[[#This Row],[ID]]))</f>
        <v>3</v>
      </c>
      <c r="K321" s="60">
        <f>REKAP[[#This Row],[Trx In]]+REKAP[[#This Row],[Trx Out]]</f>
        <v>4</v>
      </c>
      <c r="L321" s="55">
        <v>17</v>
      </c>
      <c r="M321" s="74">
        <f>SUMIF(MASUK!$C:$C,REKAP[[#This Row],[ID]],MASUK!$H:$H)</f>
        <v>16</v>
      </c>
      <c r="N321" s="74">
        <f>SUMIF(KELUAR!$C:$C,REKAP[[#This Row],[ID]],KELUAR!$H:$H)</f>
        <v>10</v>
      </c>
      <c r="O321" s="74">
        <f>REKAP[[#This Row],[Stok Awal]]+REKAP[[#This Row],[Masuk]]-REKAP[[#This Row],[Keluar]]</f>
        <v>23</v>
      </c>
      <c r="P321" s="55">
        <v>23</v>
      </c>
      <c r="Q321" s="62">
        <f>REKAP[[#This Row],[Harga Satuan]]*REKAP[[#This Row],[Stok Akhir]]</f>
        <v>13800</v>
      </c>
      <c r="R321" s="61">
        <f>IF(REKAP[[#This Row],[Stok Aktual]]&lt;&gt;"",REKAP[[#This Row],[Stok Aktual]]-REKAP[[#This Row],[Stok Akhir]],0)</f>
        <v>0</v>
      </c>
      <c r="S321" s="132"/>
      <c r="T321" s="137">
        <f>IF(REKAP[[#This Row],[Selisih]]&lt;=-1,REKAP[[#This Row],[Harga Satuan]]*REKAP[[#This Row],[Selisih]],0)</f>
        <v>0</v>
      </c>
    </row>
    <row r="322" spans="1:20" x14ac:dyDescent="0.25">
      <c r="A322" s="55" t="s">
        <v>514</v>
      </c>
      <c r="B322" s="55" t="s">
        <v>3327</v>
      </c>
      <c r="C322" s="55" t="s">
        <v>3358</v>
      </c>
      <c r="D322" s="56" t="s">
        <v>51</v>
      </c>
      <c r="E322" s="57" t="s">
        <v>3347</v>
      </c>
      <c r="F322" s="75" t="s">
        <v>251</v>
      </c>
      <c r="G322" s="55" t="s">
        <v>10</v>
      </c>
      <c r="H322" s="58">
        <v>0</v>
      </c>
      <c r="I322" s="59">
        <f>IF(COUNTIF(MASUK[Kode Barang],REKAP[[#This Row],[ID]])=0,0,COUNTIF(MASUK[Kode Barang],REKAP[[#This Row],[ID]]))</f>
        <v>1</v>
      </c>
      <c r="J322" s="59">
        <f>IF(COUNTIF(MASUK8[Kode Barang],REKAP[[#This Row],[ID]])=0,0,COUNTIF(MASUK8[Kode Barang],REKAP[[#This Row],[ID]]))</f>
        <v>1</v>
      </c>
      <c r="K322" s="60">
        <f>REKAP[[#This Row],[Trx In]]+REKAP[[#This Row],[Trx Out]]</f>
        <v>2</v>
      </c>
      <c r="L322" s="55">
        <v>0</v>
      </c>
      <c r="M322" s="74">
        <f>SUMIF(MASUK!$C:$C,REKAP[[#This Row],[ID]],MASUK!$H:$H)</f>
        <v>15</v>
      </c>
      <c r="N322" s="74">
        <f>SUMIF(KELUAR!$C:$C,REKAP[[#This Row],[ID]],KELUAR!$H:$H)</f>
        <v>6</v>
      </c>
      <c r="O322" s="74">
        <f>REKAP[[#This Row],[Stok Awal]]+REKAP[[#This Row],[Masuk]]-REKAP[[#This Row],[Keluar]]</f>
        <v>9</v>
      </c>
      <c r="P322" s="55">
        <v>9</v>
      </c>
      <c r="Q322" s="62">
        <f>REKAP[[#This Row],[Harga Satuan]]*REKAP[[#This Row],[Stok Akhir]]</f>
        <v>0</v>
      </c>
      <c r="R322" s="61">
        <f>IF(REKAP[[#This Row],[Stok Aktual]]&lt;&gt;"",REKAP[[#This Row],[Stok Aktual]]-REKAP[[#This Row],[Stok Akhir]],0)</f>
        <v>0</v>
      </c>
      <c r="S322" s="132"/>
      <c r="T322" s="137">
        <f>IF(REKAP[[#This Row],[Selisih]]&lt;=-1,REKAP[[#This Row],[Harga Satuan]]*REKAP[[#This Row],[Selisih]],0)</f>
        <v>0</v>
      </c>
    </row>
    <row r="323" spans="1:20" x14ac:dyDescent="0.25">
      <c r="A323" s="55" t="s">
        <v>515</v>
      </c>
      <c r="B323" s="55" t="s">
        <v>3327</v>
      </c>
      <c r="C323" s="55" t="s">
        <v>3358</v>
      </c>
      <c r="D323" s="56" t="s">
        <v>3368</v>
      </c>
      <c r="E323" s="57" t="s">
        <v>3347</v>
      </c>
      <c r="F323" s="75" t="s">
        <v>251</v>
      </c>
      <c r="G323" s="55"/>
      <c r="H323" s="58">
        <v>600</v>
      </c>
      <c r="I323" s="59">
        <f>IF(COUNTIF(MASUK[Kode Barang],REKAP[[#This Row],[ID]])=0,0,COUNTIF(MASUK[Kode Barang],REKAP[[#This Row],[ID]]))</f>
        <v>1</v>
      </c>
      <c r="J323" s="59">
        <f>IF(COUNTIF(MASUK8[Kode Barang],REKAP[[#This Row],[ID]])=0,0,COUNTIF(MASUK8[Kode Barang],REKAP[[#This Row],[ID]]))</f>
        <v>1</v>
      </c>
      <c r="K323" s="60">
        <f>REKAP[[#This Row],[Trx In]]+REKAP[[#This Row],[Trx Out]]</f>
        <v>2</v>
      </c>
      <c r="L323" s="55">
        <v>22</v>
      </c>
      <c r="M323" s="74">
        <f>SUMIF(MASUK!$C:$C,REKAP[[#This Row],[ID]],MASUK!$H:$H)</f>
        <v>40</v>
      </c>
      <c r="N323" s="74">
        <f>SUMIF(KELUAR!$C:$C,REKAP[[#This Row],[ID]],KELUAR!$H:$H)</f>
        <v>40</v>
      </c>
      <c r="O323" s="74">
        <f>REKAP[[#This Row],[Stok Awal]]+REKAP[[#This Row],[Masuk]]-REKAP[[#This Row],[Keluar]]</f>
        <v>22</v>
      </c>
      <c r="P323" s="55">
        <v>22</v>
      </c>
      <c r="Q323" s="62">
        <f>REKAP[[#This Row],[Harga Satuan]]*REKAP[[#This Row],[Stok Akhir]]</f>
        <v>13200</v>
      </c>
      <c r="R323" s="61">
        <f>IF(REKAP[[#This Row],[Stok Aktual]]&lt;&gt;"",REKAP[[#This Row],[Stok Aktual]]-REKAP[[#This Row],[Stok Akhir]],0)</f>
        <v>0</v>
      </c>
      <c r="S323" s="132"/>
      <c r="T323" s="137">
        <f>IF(REKAP[[#This Row],[Selisih]]&lt;=-1,REKAP[[#This Row],[Harga Satuan]]*REKAP[[#This Row],[Selisih]],0)</f>
        <v>0</v>
      </c>
    </row>
    <row r="324" spans="1:20" x14ac:dyDescent="0.25">
      <c r="A324" s="55" t="s">
        <v>516</v>
      </c>
      <c r="B324" s="55" t="s">
        <v>3327</v>
      </c>
      <c r="C324" s="55" t="s">
        <v>3358</v>
      </c>
      <c r="D324" s="56" t="s">
        <v>53</v>
      </c>
      <c r="E324" s="57" t="s">
        <v>3347</v>
      </c>
      <c r="F324" s="75" t="s">
        <v>251</v>
      </c>
      <c r="G324" s="55"/>
      <c r="H324" s="58">
        <v>508.5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28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28</v>
      </c>
      <c r="P324" s="55"/>
      <c r="Q324" s="62">
        <f>REKAP[[#This Row],[Harga Satuan]]*REKAP[[#This Row],[Stok Akhir]]</f>
        <v>14238</v>
      </c>
      <c r="R324" s="61">
        <f>IF(REKAP[[#This Row],[Stok Aktual]]&lt;&gt;"",REKAP[[#This Row],[Stok Aktual]]-REKAP[[#This Row],[Stok Akhir]],0)</f>
        <v>0</v>
      </c>
      <c r="S324" s="132"/>
      <c r="T324" s="137">
        <f>IF(REKAP[[#This Row],[Selisih]]&lt;=-1,REKAP[[#This Row],[Harga Satuan]]*REKAP[[#This Row],[Selisih]],0)</f>
        <v>0</v>
      </c>
    </row>
    <row r="325" spans="1:20" x14ac:dyDescent="0.25">
      <c r="A325" s="55" t="s">
        <v>517</v>
      </c>
      <c r="B325" s="55" t="s">
        <v>3327</v>
      </c>
      <c r="C325" s="55" t="s">
        <v>3358</v>
      </c>
      <c r="D325" s="56" t="s">
        <v>3369</v>
      </c>
      <c r="E325" s="57" t="s">
        <v>3347</v>
      </c>
      <c r="F325" s="75" t="s">
        <v>251</v>
      </c>
      <c r="G325" s="55"/>
      <c r="H325" s="58">
        <v>1200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1</v>
      </c>
      <c r="K325" s="60">
        <f>REKAP[[#This Row],[Trx In]]+REKAP[[#This Row],[Trx Out]]</f>
        <v>1</v>
      </c>
      <c r="L325" s="55">
        <v>24</v>
      </c>
      <c r="M325" s="74">
        <f>SUMIF(MASUK!$C:$C,REKAP[[#This Row],[ID]],MASUK!$H:$H)</f>
        <v>0</v>
      </c>
      <c r="N325" s="74">
        <f>SUMIF(KELUAR!$C:$C,REKAP[[#This Row],[ID]],KELUAR!$H:$H)</f>
        <v>2</v>
      </c>
      <c r="O325" s="74">
        <f>REKAP[[#This Row],[Stok Awal]]+REKAP[[#This Row],[Masuk]]-REKAP[[#This Row],[Keluar]]</f>
        <v>22</v>
      </c>
      <c r="P325" s="55">
        <v>22</v>
      </c>
      <c r="Q325" s="62">
        <f>REKAP[[#This Row],[Harga Satuan]]*REKAP[[#This Row],[Stok Akhir]]</f>
        <v>26400</v>
      </c>
      <c r="R325" s="61">
        <f>IF(REKAP[[#This Row],[Stok Aktual]]&lt;&gt;"",REKAP[[#This Row],[Stok Aktual]]-REKAP[[#This Row],[Stok Akhir]],0)</f>
        <v>0</v>
      </c>
      <c r="S325" s="132"/>
      <c r="T325" s="137">
        <f>IF(REKAP[[#This Row],[Selisih]]&lt;=-1,REKAP[[#This Row],[Harga Satuan]]*REKAP[[#This Row],[Selisih]],0)</f>
        <v>0</v>
      </c>
    </row>
    <row r="326" spans="1:20" x14ac:dyDescent="0.25">
      <c r="A326" s="55" t="s">
        <v>518</v>
      </c>
      <c r="B326" s="55" t="s">
        <v>3327</v>
      </c>
      <c r="C326" s="55" t="s">
        <v>3358</v>
      </c>
      <c r="D326" s="56" t="s">
        <v>3370</v>
      </c>
      <c r="E326" s="57" t="s">
        <v>3347</v>
      </c>
      <c r="F326" s="75" t="s">
        <v>251</v>
      </c>
      <c r="G326" s="55"/>
      <c r="H326" s="58">
        <v>648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22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22</v>
      </c>
      <c r="P326" s="55"/>
      <c r="Q326" s="62">
        <f>REKAP[[#This Row],[Harga Satuan]]*REKAP[[#This Row],[Stok Akhir]]</f>
        <v>14256</v>
      </c>
      <c r="R326" s="61">
        <f>IF(REKAP[[#This Row],[Stok Aktual]]&lt;&gt;"",REKAP[[#This Row],[Stok Aktual]]-REKAP[[#This Row],[Stok Akhir]],0)</f>
        <v>0</v>
      </c>
      <c r="S326" s="132"/>
      <c r="T326" s="137">
        <f>IF(REKAP[[#This Row],[Selisih]]&lt;=-1,REKAP[[#This Row],[Harga Satuan]]*REKAP[[#This Row],[Selisih]],0)</f>
        <v>0</v>
      </c>
    </row>
    <row r="327" spans="1:20" x14ac:dyDescent="0.25">
      <c r="A327" s="55" t="s">
        <v>519</v>
      </c>
      <c r="B327" s="55" t="s">
        <v>3327</v>
      </c>
      <c r="C327" s="55" t="s">
        <v>3358</v>
      </c>
      <c r="D327" s="56" t="s">
        <v>3371</v>
      </c>
      <c r="E327" s="57" t="s">
        <v>3347</v>
      </c>
      <c r="F327" s="75" t="s">
        <v>251</v>
      </c>
      <c r="G327" s="55"/>
      <c r="H327" s="58">
        <v>700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1</v>
      </c>
      <c r="K327" s="60">
        <f>REKAP[[#This Row],[Trx In]]+REKAP[[#This Row],[Trx Out]]</f>
        <v>1</v>
      </c>
      <c r="L327" s="55">
        <v>27</v>
      </c>
      <c r="M327" s="74">
        <f>SUMIF(MASUK!$C:$C,REKAP[[#This Row],[ID]],MASUK!$H:$H)</f>
        <v>0</v>
      </c>
      <c r="N327" s="74">
        <f>SUMIF(KELUAR!$C:$C,REKAP[[#This Row],[ID]],KELUAR!$H:$H)</f>
        <v>2</v>
      </c>
      <c r="O327" s="74">
        <f>REKAP[[#This Row],[Stok Awal]]+REKAP[[#This Row],[Masuk]]-REKAP[[#This Row],[Keluar]]</f>
        <v>25</v>
      </c>
      <c r="P327" s="55">
        <v>25</v>
      </c>
      <c r="Q327" s="62">
        <f>REKAP[[#This Row],[Harga Satuan]]*REKAP[[#This Row],[Stok Akhir]]</f>
        <v>17500</v>
      </c>
      <c r="R327" s="61">
        <f>IF(REKAP[[#This Row],[Stok Aktual]]&lt;&gt;"",REKAP[[#This Row],[Stok Aktual]]-REKAP[[#This Row],[Stok Akhir]],0)</f>
        <v>0</v>
      </c>
      <c r="S327" s="132"/>
      <c r="T327" s="137">
        <f>IF(REKAP[[#This Row],[Selisih]]&lt;=-1,REKAP[[#This Row],[Harga Satuan]]*REKAP[[#This Row],[Selisih]],0)</f>
        <v>0</v>
      </c>
    </row>
    <row r="328" spans="1:20" x14ac:dyDescent="0.25">
      <c r="A328" s="55" t="s">
        <v>520</v>
      </c>
      <c r="B328" s="55" t="s">
        <v>3327</v>
      </c>
      <c r="C328" s="55" t="s">
        <v>3358</v>
      </c>
      <c r="D328" s="56" t="s">
        <v>3372</v>
      </c>
      <c r="E328" s="57" t="s">
        <v>3347</v>
      </c>
      <c r="F328" s="75" t="s">
        <v>251</v>
      </c>
      <c r="G328" s="55"/>
      <c r="H328" s="58">
        <v>1000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61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61</v>
      </c>
      <c r="P328" s="55"/>
      <c r="Q328" s="62">
        <f>REKAP[[#This Row],[Harga Satuan]]*REKAP[[#This Row],[Stok Akhir]]</f>
        <v>61000</v>
      </c>
      <c r="R328" s="61">
        <f>IF(REKAP[[#This Row],[Stok Aktual]]&lt;&gt;"",REKAP[[#This Row],[Stok Aktual]]-REKAP[[#This Row],[Stok Akhir]],0)</f>
        <v>0</v>
      </c>
      <c r="S328" s="132"/>
      <c r="T328" s="137">
        <f>IF(REKAP[[#This Row],[Selisih]]&lt;=-1,REKAP[[#This Row],[Harga Satuan]]*REKAP[[#This Row],[Selisih]],0)</f>
        <v>0</v>
      </c>
    </row>
    <row r="329" spans="1:20" x14ac:dyDescent="0.25">
      <c r="A329" s="55" t="s">
        <v>521</v>
      </c>
      <c r="B329" s="55" t="s">
        <v>3327</v>
      </c>
      <c r="C329" s="55" t="s">
        <v>3358</v>
      </c>
      <c r="D329" s="56" t="s">
        <v>3373</v>
      </c>
      <c r="E329" s="57" t="s">
        <v>3347</v>
      </c>
      <c r="F329" s="75" t="s">
        <v>251</v>
      </c>
      <c r="G329" s="55"/>
      <c r="H329" s="58">
        <v>920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41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41</v>
      </c>
      <c r="P329" s="55"/>
      <c r="Q329" s="62">
        <f>REKAP[[#This Row],[Harga Satuan]]*REKAP[[#This Row],[Stok Akhir]]</f>
        <v>37720</v>
      </c>
      <c r="R329" s="61">
        <f>IF(REKAP[[#This Row],[Stok Aktual]]&lt;&gt;"",REKAP[[#This Row],[Stok Aktual]]-REKAP[[#This Row],[Stok Akhir]],0)</f>
        <v>0</v>
      </c>
      <c r="S329" s="132"/>
      <c r="T329" s="137">
        <f>IF(REKAP[[#This Row],[Selisih]]&lt;=-1,REKAP[[#This Row],[Harga Satuan]]*REKAP[[#This Row],[Selisih]],0)</f>
        <v>0</v>
      </c>
    </row>
    <row r="330" spans="1:20" x14ac:dyDescent="0.25">
      <c r="A330" s="55" t="s">
        <v>522</v>
      </c>
      <c r="B330" s="55" t="s">
        <v>3327</v>
      </c>
      <c r="C330" s="55" t="s">
        <v>3358</v>
      </c>
      <c r="D330" s="56" t="s">
        <v>3374</v>
      </c>
      <c r="E330" s="57" t="s">
        <v>3347</v>
      </c>
      <c r="F330" s="75" t="s">
        <v>251</v>
      </c>
      <c r="G330" s="55"/>
      <c r="H330" s="58">
        <v>2150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35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35</v>
      </c>
      <c r="P330" s="55"/>
      <c r="Q330" s="62">
        <f>REKAP[[#This Row],[Harga Satuan]]*REKAP[[#This Row],[Stok Akhir]]</f>
        <v>75250</v>
      </c>
      <c r="R330" s="61">
        <f>IF(REKAP[[#This Row],[Stok Aktual]]&lt;&gt;"",REKAP[[#This Row],[Stok Aktual]]-REKAP[[#This Row],[Stok Akhir]],0)</f>
        <v>0</v>
      </c>
      <c r="S330" s="132"/>
      <c r="T330" s="137">
        <f>IF(REKAP[[#This Row],[Selisih]]&lt;=-1,REKAP[[#This Row],[Harga Satuan]]*REKAP[[#This Row],[Selisih]],0)</f>
        <v>0</v>
      </c>
    </row>
    <row r="331" spans="1:20" x14ac:dyDescent="0.25">
      <c r="A331" s="55" t="s">
        <v>523</v>
      </c>
      <c r="B331" s="55" t="s">
        <v>3327</v>
      </c>
      <c r="C331" s="55" t="s">
        <v>3358</v>
      </c>
      <c r="D331" s="56" t="s">
        <v>3375</v>
      </c>
      <c r="E331" s="57" t="s">
        <v>3347</v>
      </c>
      <c r="F331" s="75" t="s">
        <v>251</v>
      </c>
      <c r="G331" s="55" t="s">
        <v>10</v>
      </c>
      <c r="H331" s="58">
        <v>1500</v>
      </c>
      <c r="I331" s="59">
        <f>IF(COUNTIF(MASUK[Kode Barang],REKAP[[#This Row],[ID]])=0,0,COUNTIF(MASUK[Kode Barang],REKAP[[#This Row],[ID]]))</f>
        <v>2</v>
      </c>
      <c r="J331" s="59">
        <f>IF(COUNTIF(MASUK8[Kode Barang],REKAP[[#This Row],[ID]])=0,0,COUNTIF(MASUK8[Kode Barang],REKAP[[#This Row],[ID]]))</f>
        <v>2</v>
      </c>
      <c r="K331" s="60">
        <f>REKAP[[#This Row],[Trx In]]+REKAP[[#This Row],[Trx Out]]</f>
        <v>4</v>
      </c>
      <c r="L331" s="55">
        <v>11</v>
      </c>
      <c r="M331" s="74">
        <f>SUMIF(MASUK!$C:$C,REKAP[[#This Row],[ID]],MASUK!$H:$H)</f>
        <v>44</v>
      </c>
      <c r="N331" s="74">
        <f>SUMIF(KELUAR!$C:$C,REKAP[[#This Row],[ID]],KELUAR!$H:$H)</f>
        <v>42</v>
      </c>
      <c r="O331" s="74">
        <f>REKAP[[#This Row],[Stok Awal]]+REKAP[[#This Row],[Masuk]]-REKAP[[#This Row],[Keluar]]</f>
        <v>13</v>
      </c>
      <c r="P331" s="55">
        <v>13</v>
      </c>
      <c r="Q331" s="62">
        <f>REKAP[[#This Row],[Harga Satuan]]*REKAP[[#This Row],[Stok Akhir]]</f>
        <v>19500</v>
      </c>
      <c r="R331" s="61">
        <f>IF(REKAP[[#This Row],[Stok Aktual]]&lt;&gt;"",REKAP[[#This Row],[Stok Aktual]]-REKAP[[#This Row],[Stok Akhir]],0)</f>
        <v>0</v>
      </c>
      <c r="S331" s="132"/>
      <c r="T331" s="137">
        <f>IF(REKAP[[#This Row],[Selisih]]&lt;=-1,REKAP[[#This Row],[Harga Satuan]]*REKAP[[#This Row],[Selisih]],0)</f>
        <v>0</v>
      </c>
    </row>
    <row r="332" spans="1:20" x14ac:dyDescent="0.25">
      <c r="A332" s="55" t="s">
        <v>524</v>
      </c>
      <c r="B332" s="55" t="s">
        <v>3327</v>
      </c>
      <c r="C332" s="55" t="s">
        <v>3358</v>
      </c>
      <c r="D332" s="56" t="s">
        <v>3376</v>
      </c>
      <c r="E332" s="57" t="s">
        <v>3347</v>
      </c>
      <c r="F332" s="75" t="s">
        <v>251</v>
      </c>
      <c r="G332" s="55" t="s">
        <v>244</v>
      </c>
      <c r="H332" s="58">
        <v>2500</v>
      </c>
      <c r="I332" s="59">
        <f>IF(COUNTIF(MASUK[Kode Barang],REKAP[[#This Row],[ID]])=0,0,COUNTIF(MASUK[Kode Barang],REKAP[[#This Row],[ID]]))</f>
        <v>1</v>
      </c>
      <c r="J332" s="59">
        <f>IF(COUNTIF(MASUK8[Kode Barang],REKAP[[#This Row],[ID]])=0,0,COUNTIF(MASUK8[Kode Barang],REKAP[[#This Row],[ID]]))</f>
        <v>1</v>
      </c>
      <c r="K332" s="60">
        <f>REKAP[[#This Row],[Trx In]]+REKAP[[#This Row],[Trx Out]]</f>
        <v>2</v>
      </c>
      <c r="L332" s="55">
        <v>13</v>
      </c>
      <c r="M332" s="74">
        <f>SUMIF(MASUK!$C:$C,REKAP[[#This Row],[ID]],MASUK!$H:$H)</f>
        <v>6</v>
      </c>
      <c r="N332" s="74">
        <f>SUMIF(KELUAR!$C:$C,REKAP[[#This Row],[ID]],KELUAR!$H:$H)</f>
        <v>6</v>
      </c>
      <c r="O332" s="74">
        <f>REKAP[[#This Row],[Stok Awal]]+REKAP[[#This Row],[Masuk]]-REKAP[[#This Row],[Keluar]]</f>
        <v>13</v>
      </c>
      <c r="P332" s="55">
        <v>13</v>
      </c>
      <c r="Q332" s="62">
        <f>REKAP[[#This Row],[Harga Satuan]]*REKAP[[#This Row],[Stok Akhir]]</f>
        <v>32500</v>
      </c>
      <c r="R332" s="61">
        <f>IF(REKAP[[#This Row],[Stok Aktual]]&lt;&gt;"",REKAP[[#This Row],[Stok Aktual]]-REKAP[[#This Row],[Stok Akhir]],0)</f>
        <v>0</v>
      </c>
      <c r="S332" s="132"/>
      <c r="T332" s="137">
        <f>IF(REKAP[[#This Row],[Selisih]]&lt;=-1,REKAP[[#This Row],[Harga Satuan]]*REKAP[[#This Row],[Selisih]],0)</f>
        <v>0</v>
      </c>
    </row>
    <row r="333" spans="1:20" x14ac:dyDescent="0.25">
      <c r="A333" s="55" t="s">
        <v>525</v>
      </c>
      <c r="B333" s="55" t="s">
        <v>3327</v>
      </c>
      <c r="C333" s="55" t="s">
        <v>3358</v>
      </c>
      <c r="D333" s="56" t="s">
        <v>3377</v>
      </c>
      <c r="E333" s="57" t="s">
        <v>3347</v>
      </c>
      <c r="F333" s="75" t="s">
        <v>251</v>
      </c>
      <c r="G333" s="55"/>
      <c r="H333" s="58">
        <v>2336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23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23</v>
      </c>
      <c r="P333" s="55"/>
      <c r="Q333" s="62">
        <f>REKAP[[#This Row],[Harga Satuan]]*REKAP[[#This Row],[Stok Akhir]]</f>
        <v>53728</v>
      </c>
      <c r="R333" s="61">
        <f>IF(REKAP[[#This Row],[Stok Aktual]]&lt;&gt;"",REKAP[[#This Row],[Stok Aktual]]-REKAP[[#This Row],[Stok Akhir]],0)</f>
        <v>0</v>
      </c>
      <c r="S333" s="132"/>
      <c r="T333" s="137">
        <f>IF(REKAP[[#This Row],[Selisih]]&lt;=-1,REKAP[[#This Row],[Harga Satuan]]*REKAP[[#This Row],[Selisih]],0)</f>
        <v>0</v>
      </c>
    </row>
    <row r="334" spans="1:20" x14ac:dyDescent="0.25">
      <c r="A334" s="55" t="s">
        <v>526</v>
      </c>
      <c r="B334" s="55" t="s">
        <v>3327</v>
      </c>
      <c r="C334" s="55" t="s">
        <v>3358</v>
      </c>
      <c r="D334" s="56" t="s">
        <v>3378</v>
      </c>
      <c r="E334" s="57" t="s">
        <v>3347</v>
      </c>
      <c r="F334" s="75" t="s">
        <v>251</v>
      </c>
      <c r="G334" s="55"/>
      <c r="H334" s="58">
        <v>900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39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39</v>
      </c>
      <c r="P334" s="55"/>
      <c r="Q334" s="62">
        <f>REKAP[[#This Row],[Harga Satuan]]*REKAP[[#This Row],[Stok Akhir]]</f>
        <v>35100</v>
      </c>
      <c r="R334" s="61">
        <f>IF(REKAP[[#This Row],[Stok Aktual]]&lt;&gt;"",REKAP[[#This Row],[Stok Aktual]]-REKAP[[#This Row],[Stok Akhir]],0)</f>
        <v>0</v>
      </c>
      <c r="S334" s="132"/>
      <c r="T334" s="137">
        <f>IF(REKAP[[#This Row],[Selisih]]&lt;=-1,REKAP[[#This Row],[Harga Satuan]]*REKAP[[#This Row],[Selisih]],0)</f>
        <v>0</v>
      </c>
    </row>
    <row r="335" spans="1:20" x14ac:dyDescent="0.25">
      <c r="A335" s="55" t="s">
        <v>527</v>
      </c>
      <c r="B335" s="55" t="s">
        <v>3327</v>
      </c>
      <c r="C335" s="55" t="s">
        <v>3358</v>
      </c>
      <c r="D335" s="56" t="s">
        <v>3379</v>
      </c>
      <c r="E335" s="57" t="s">
        <v>3347</v>
      </c>
      <c r="F335" s="75" t="s">
        <v>251</v>
      </c>
      <c r="G335" s="55"/>
      <c r="H335" s="58">
        <v>900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36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36</v>
      </c>
      <c r="P335" s="55"/>
      <c r="Q335" s="62">
        <f>REKAP[[#This Row],[Harga Satuan]]*REKAP[[#This Row],[Stok Akhir]]</f>
        <v>32400</v>
      </c>
      <c r="R335" s="61">
        <f>IF(REKAP[[#This Row],[Stok Aktual]]&lt;&gt;"",REKAP[[#This Row],[Stok Aktual]]-REKAP[[#This Row],[Stok Akhir]],0)</f>
        <v>0</v>
      </c>
      <c r="S335" s="132"/>
      <c r="T335" s="137">
        <f>IF(REKAP[[#This Row],[Selisih]]&lt;=-1,REKAP[[#This Row],[Harga Satuan]]*REKAP[[#This Row],[Selisih]],0)</f>
        <v>0</v>
      </c>
    </row>
    <row r="336" spans="1:20" x14ac:dyDescent="0.25">
      <c r="A336" s="55" t="s">
        <v>528</v>
      </c>
      <c r="B336" s="55" t="s">
        <v>3327</v>
      </c>
      <c r="C336" s="55" t="s">
        <v>3358</v>
      </c>
      <c r="D336" s="56" t="s">
        <v>3380</v>
      </c>
      <c r="E336" s="57" t="s">
        <v>3347</v>
      </c>
      <c r="F336" s="75" t="s">
        <v>251</v>
      </c>
      <c r="G336" s="55" t="s">
        <v>10</v>
      </c>
      <c r="H336" s="58">
        <v>1600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36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36</v>
      </c>
      <c r="P336" s="55"/>
      <c r="Q336" s="62">
        <f>REKAP[[#This Row],[Harga Satuan]]*REKAP[[#This Row],[Stok Akhir]]</f>
        <v>57600</v>
      </c>
      <c r="R336" s="61">
        <f>IF(REKAP[[#This Row],[Stok Aktual]]&lt;&gt;"",REKAP[[#This Row],[Stok Aktual]]-REKAP[[#This Row],[Stok Akhir]],0)</f>
        <v>0</v>
      </c>
      <c r="S336" s="132"/>
      <c r="T336" s="137">
        <f>IF(REKAP[[#This Row],[Selisih]]&lt;=-1,REKAP[[#This Row],[Harga Satuan]]*REKAP[[#This Row],[Selisih]],0)</f>
        <v>0</v>
      </c>
    </row>
    <row r="337" spans="1:20" x14ac:dyDescent="0.25">
      <c r="A337" s="55" t="s">
        <v>529</v>
      </c>
      <c r="B337" s="55" t="s">
        <v>3327</v>
      </c>
      <c r="C337" s="55" t="s">
        <v>3358</v>
      </c>
      <c r="D337" s="56" t="s">
        <v>3381</v>
      </c>
      <c r="E337" s="57" t="s">
        <v>3347</v>
      </c>
      <c r="F337" s="75" t="s">
        <v>251</v>
      </c>
      <c r="G337" s="55" t="s">
        <v>10</v>
      </c>
      <c r="H337" s="58">
        <v>1500</v>
      </c>
      <c r="I337" s="59">
        <f>IF(COUNTIF(MASUK[Kode Barang],REKAP[[#This Row],[ID]])=0,0,COUNTIF(MASUK[Kode Barang],REKAP[[#This Row],[ID]]))</f>
        <v>1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1</v>
      </c>
      <c r="L337" s="55">
        <v>0</v>
      </c>
      <c r="M337" s="74">
        <f>SUMIF(MASUK!$C:$C,REKAP[[#This Row],[ID]],MASUK!$H:$H)</f>
        <v>10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10</v>
      </c>
      <c r="P337" s="55">
        <v>10</v>
      </c>
      <c r="Q337" s="62">
        <f>REKAP[[#This Row],[Harga Satuan]]*REKAP[[#This Row],[Stok Akhir]]</f>
        <v>15000</v>
      </c>
      <c r="R337" s="61">
        <f>IF(REKAP[[#This Row],[Stok Aktual]]&lt;&gt;"",REKAP[[#This Row],[Stok Aktual]]-REKAP[[#This Row],[Stok Akhir]],0)</f>
        <v>0</v>
      </c>
      <c r="S337" s="132"/>
      <c r="T337" s="137">
        <f>IF(REKAP[[#This Row],[Selisih]]&lt;=-1,REKAP[[#This Row],[Harga Satuan]]*REKAP[[#This Row],[Selisih]],0)</f>
        <v>0</v>
      </c>
    </row>
    <row r="338" spans="1:20" x14ac:dyDescent="0.25">
      <c r="A338" s="55" t="s">
        <v>530</v>
      </c>
      <c r="B338" s="55" t="s">
        <v>3327</v>
      </c>
      <c r="C338" s="55" t="s">
        <v>3358</v>
      </c>
      <c r="D338" s="56" t="s">
        <v>3382</v>
      </c>
      <c r="E338" s="57" t="s">
        <v>3347</v>
      </c>
      <c r="F338" s="75" t="s">
        <v>251</v>
      </c>
      <c r="G338" s="55" t="s">
        <v>10</v>
      </c>
      <c r="H338" s="58">
        <v>3000</v>
      </c>
      <c r="I338" s="59">
        <f>IF(COUNTIF(MASUK[Kode Barang],REKAP[[#This Row],[ID]])=0,0,COUNTIF(MASUK[Kode Barang],REKAP[[#This Row],[ID]]))</f>
        <v>1</v>
      </c>
      <c r="J338" s="59">
        <f>IF(COUNTIF(MASUK8[Kode Barang],REKAP[[#This Row],[ID]])=0,0,COUNTIF(MASUK8[Kode Barang],REKAP[[#This Row],[ID]]))</f>
        <v>2</v>
      </c>
      <c r="K338" s="60">
        <f>REKAP[[#This Row],[Trx In]]+REKAP[[#This Row],[Trx Out]]</f>
        <v>3</v>
      </c>
      <c r="L338" s="55">
        <v>8</v>
      </c>
      <c r="M338" s="74">
        <f>SUMIF(MASUK!$C:$C,REKAP[[#This Row],[ID]],MASUK!$H:$H)</f>
        <v>10</v>
      </c>
      <c r="N338" s="74">
        <f>SUMIF(KELUAR!$C:$C,REKAP[[#This Row],[ID]],KELUAR!$H:$H)</f>
        <v>6</v>
      </c>
      <c r="O338" s="74">
        <f>REKAP[[#This Row],[Stok Awal]]+REKAP[[#This Row],[Masuk]]-REKAP[[#This Row],[Keluar]]</f>
        <v>12</v>
      </c>
      <c r="P338" s="55">
        <v>12</v>
      </c>
      <c r="Q338" s="62">
        <f>REKAP[[#This Row],[Harga Satuan]]*REKAP[[#This Row],[Stok Akhir]]</f>
        <v>36000</v>
      </c>
      <c r="R338" s="61">
        <f>IF(REKAP[[#This Row],[Stok Aktual]]&lt;&gt;"",REKAP[[#This Row],[Stok Aktual]]-REKAP[[#This Row],[Stok Akhir]],0)</f>
        <v>0</v>
      </c>
      <c r="S338" s="132"/>
      <c r="T338" s="137">
        <f>IF(REKAP[[#This Row],[Selisih]]&lt;=-1,REKAP[[#This Row],[Harga Satuan]]*REKAP[[#This Row],[Selisih]],0)</f>
        <v>0</v>
      </c>
    </row>
    <row r="339" spans="1:20" x14ac:dyDescent="0.25">
      <c r="A339" s="55" t="s">
        <v>531</v>
      </c>
      <c r="B339" s="55" t="s">
        <v>3327</v>
      </c>
      <c r="C339" s="55" t="s">
        <v>3358</v>
      </c>
      <c r="D339" s="56" t="s">
        <v>3383</v>
      </c>
      <c r="E339" s="57" t="s">
        <v>3347</v>
      </c>
      <c r="F339" s="75" t="s">
        <v>251</v>
      </c>
      <c r="G339" s="55" t="s">
        <v>10</v>
      </c>
      <c r="H339" s="58">
        <v>3000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28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28</v>
      </c>
      <c r="P339" s="55"/>
      <c r="Q339" s="62">
        <f>REKAP[[#This Row],[Harga Satuan]]*REKAP[[#This Row],[Stok Akhir]]</f>
        <v>84000</v>
      </c>
      <c r="R339" s="61">
        <f>IF(REKAP[[#This Row],[Stok Aktual]]&lt;&gt;"",REKAP[[#This Row],[Stok Aktual]]-REKAP[[#This Row],[Stok Akhir]],0)</f>
        <v>0</v>
      </c>
      <c r="S339" s="132"/>
      <c r="T339" s="137">
        <f>IF(REKAP[[#This Row],[Selisih]]&lt;=-1,REKAP[[#This Row],[Harga Satuan]]*REKAP[[#This Row],[Selisih]],0)</f>
        <v>0</v>
      </c>
    </row>
    <row r="340" spans="1:20" x14ac:dyDescent="0.25">
      <c r="A340" s="55" t="s">
        <v>532</v>
      </c>
      <c r="B340" s="55" t="s">
        <v>3327</v>
      </c>
      <c r="C340" s="55" t="s">
        <v>3358</v>
      </c>
      <c r="D340" s="56" t="s">
        <v>3384</v>
      </c>
      <c r="E340" s="57" t="s">
        <v>3347</v>
      </c>
      <c r="F340" s="75" t="s">
        <v>251</v>
      </c>
      <c r="G340" s="55"/>
      <c r="H340" s="58">
        <v>2700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23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23</v>
      </c>
      <c r="P340" s="55"/>
      <c r="Q340" s="62">
        <f>REKAP[[#This Row],[Harga Satuan]]*REKAP[[#This Row],[Stok Akhir]]</f>
        <v>62100</v>
      </c>
      <c r="R340" s="61">
        <f>IF(REKAP[[#This Row],[Stok Aktual]]&lt;&gt;"",REKAP[[#This Row],[Stok Aktual]]-REKAP[[#This Row],[Stok Akhir]],0)</f>
        <v>0</v>
      </c>
      <c r="S340" s="132"/>
      <c r="T340" s="137">
        <f>IF(REKAP[[#This Row],[Selisih]]&lt;=-1,REKAP[[#This Row],[Harga Satuan]]*REKAP[[#This Row],[Selisih]],0)</f>
        <v>0</v>
      </c>
    </row>
    <row r="341" spans="1:20" x14ac:dyDescent="0.25">
      <c r="A341" s="55" t="s">
        <v>533</v>
      </c>
      <c r="B341" s="55" t="s">
        <v>3327</v>
      </c>
      <c r="C341" s="55" t="s">
        <v>3358</v>
      </c>
      <c r="D341" s="56" t="s">
        <v>3385</v>
      </c>
      <c r="E341" s="57" t="s">
        <v>3347</v>
      </c>
      <c r="F341" s="75" t="s">
        <v>251</v>
      </c>
      <c r="G341" s="55"/>
      <c r="H341" s="58">
        <v>6957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29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29</v>
      </c>
      <c r="P341" s="55"/>
      <c r="Q341" s="62">
        <f>REKAP[[#This Row],[Harga Satuan]]*REKAP[[#This Row],[Stok Akhir]]</f>
        <v>201753</v>
      </c>
      <c r="R341" s="61">
        <f>IF(REKAP[[#This Row],[Stok Aktual]]&lt;&gt;"",REKAP[[#This Row],[Stok Aktual]]-REKAP[[#This Row],[Stok Akhir]],0)</f>
        <v>0</v>
      </c>
      <c r="S341" s="132"/>
      <c r="T341" s="137">
        <f>IF(REKAP[[#This Row],[Selisih]]&lt;=-1,REKAP[[#This Row],[Harga Satuan]]*REKAP[[#This Row],[Selisih]],0)</f>
        <v>0</v>
      </c>
    </row>
    <row r="342" spans="1:20" x14ac:dyDescent="0.25">
      <c r="A342" s="55" t="s">
        <v>534</v>
      </c>
      <c r="B342" s="55" t="s">
        <v>3327</v>
      </c>
      <c r="C342" s="55" t="s">
        <v>3358</v>
      </c>
      <c r="D342" s="56" t="s">
        <v>3386</v>
      </c>
      <c r="E342" s="57" t="s">
        <v>3347</v>
      </c>
      <c r="F342" s="75" t="s">
        <v>251</v>
      </c>
      <c r="G342" s="55"/>
      <c r="H342" s="58">
        <v>657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0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0</v>
      </c>
      <c r="P342" s="55"/>
      <c r="Q342" s="62">
        <f>REKAP[[#This Row],[Harga Satuan]]*REKAP[[#This Row],[Stok Akhir]]</f>
        <v>0</v>
      </c>
      <c r="R342" s="61">
        <f>IF(REKAP[[#This Row],[Stok Aktual]]&lt;&gt;"",REKAP[[#This Row],[Stok Aktual]]-REKAP[[#This Row],[Stok Akhir]],0)</f>
        <v>0</v>
      </c>
      <c r="S342" s="132"/>
      <c r="T342" s="137">
        <f>IF(REKAP[[#This Row],[Selisih]]&lt;=-1,REKAP[[#This Row],[Harga Satuan]]*REKAP[[#This Row],[Selisih]],0)</f>
        <v>0</v>
      </c>
    </row>
    <row r="343" spans="1:20" x14ac:dyDescent="0.25">
      <c r="A343" s="55" t="s">
        <v>535</v>
      </c>
      <c r="B343" s="55" t="s">
        <v>3327</v>
      </c>
      <c r="C343" s="55" t="s">
        <v>3358</v>
      </c>
      <c r="D343" s="56" t="s">
        <v>3387</v>
      </c>
      <c r="E343" s="57" t="s">
        <v>3347</v>
      </c>
      <c r="F343" s="75" t="s">
        <v>251</v>
      </c>
      <c r="G343" s="55"/>
      <c r="H343" s="58">
        <v>14000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33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33</v>
      </c>
      <c r="P343" s="55"/>
      <c r="Q343" s="62">
        <f>REKAP[[#This Row],[Harga Satuan]]*REKAP[[#This Row],[Stok Akhir]]</f>
        <v>462000</v>
      </c>
      <c r="R343" s="61">
        <f>IF(REKAP[[#This Row],[Stok Aktual]]&lt;&gt;"",REKAP[[#This Row],[Stok Aktual]]-REKAP[[#This Row],[Stok Akhir]],0)</f>
        <v>0</v>
      </c>
      <c r="S343" s="132"/>
      <c r="T343" s="137">
        <f>IF(REKAP[[#This Row],[Selisih]]&lt;=-1,REKAP[[#This Row],[Harga Satuan]]*REKAP[[#This Row],[Selisih]],0)</f>
        <v>0</v>
      </c>
    </row>
    <row r="344" spans="1:20" x14ac:dyDescent="0.25">
      <c r="A344" s="55" t="s">
        <v>536</v>
      </c>
      <c r="B344" s="55" t="s">
        <v>3327</v>
      </c>
      <c r="C344" s="55" t="s">
        <v>3358</v>
      </c>
      <c r="D344" s="56" t="s">
        <v>3388</v>
      </c>
      <c r="E344" s="57" t="s">
        <v>3347</v>
      </c>
      <c r="F344" s="75" t="s">
        <v>251</v>
      </c>
      <c r="G344" s="55"/>
      <c r="H344" s="58">
        <v>1500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21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21</v>
      </c>
      <c r="P344" s="55"/>
      <c r="Q344" s="62">
        <f>REKAP[[#This Row],[Harga Satuan]]*REKAP[[#This Row],[Stok Akhir]]</f>
        <v>31500</v>
      </c>
      <c r="R344" s="61">
        <f>IF(REKAP[[#This Row],[Stok Aktual]]&lt;&gt;"",REKAP[[#This Row],[Stok Aktual]]-REKAP[[#This Row],[Stok Akhir]],0)</f>
        <v>0</v>
      </c>
      <c r="S344" s="132"/>
      <c r="T344" s="137">
        <f>IF(REKAP[[#This Row],[Selisih]]&lt;=-1,REKAP[[#This Row],[Harga Satuan]]*REKAP[[#This Row],[Selisih]],0)</f>
        <v>0</v>
      </c>
    </row>
    <row r="345" spans="1:20" x14ac:dyDescent="0.25">
      <c r="A345" s="55" t="s">
        <v>537</v>
      </c>
      <c r="B345" s="55" t="s">
        <v>3327</v>
      </c>
      <c r="C345" s="55" t="s">
        <v>3358</v>
      </c>
      <c r="D345" s="56" t="s">
        <v>155</v>
      </c>
      <c r="E345" s="57" t="s">
        <v>3347</v>
      </c>
      <c r="F345" s="75" t="s">
        <v>251</v>
      </c>
      <c r="G345" s="55"/>
      <c r="H345" s="58">
        <v>12500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21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21</v>
      </c>
      <c r="P345" s="55"/>
      <c r="Q345" s="62">
        <f>REKAP[[#This Row],[Harga Satuan]]*REKAP[[#This Row],[Stok Akhir]]</f>
        <v>262500</v>
      </c>
      <c r="R345" s="61">
        <f>IF(REKAP[[#This Row],[Stok Aktual]]&lt;&gt;"",REKAP[[#This Row],[Stok Aktual]]-REKAP[[#This Row],[Stok Akhir]],0)</f>
        <v>0</v>
      </c>
      <c r="S345" s="132"/>
      <c r="T345" s="137">
        <f>IF(REKAP[[#This Row],[Selisih]]&lt;=-1,REKAP[[#This Row],[Harga Satuan]]*REKAP[[#This Row],[Selisih]],0)</f>
        <v>0</v>
      </c>
    </row>
    <row r="346" spans="1:20" x14ac:dyDescent="0.25">
      <c r="A346" s="55" t="s">
        <v>538</v>
      </c>
      <c r="B346" s="55" t="s">
        <v>3327</v>
      </c>
      <c r="C346" s="55" t="s">
        <v>3358</v>
      </c>
      <c r="D346" s="56" t="s">
        <v>3389</v>
      </c>
      <c r="E346" s="57" t="s">
        <v>3347</v>
      </c>
      <c r="F346" s="75" t="s">
        <v>251</v>
      </c>
      <c r="G346" s="55"/>
      <c r="H346" s="58">
        <v>14041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2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2</v>
      </c>
      <c r="P346" s="55"/>
      <c r="Q346" s="62">
        <f>REKAP[[#This Row],[Harga Satuan]]*REKAP[[#This Row],[Stok Akhir]]</f>
        <v>28082</v>
      </c>
      <c r="R346" s="61">
        <f>IF(REKAP[[#This Row],[Stok Aktual]]&lt;&gt;"",REKAP[[#This Row],[Stok Aktual]]-REKAP[[#This Row],[Stok Akhir]],0)</f>
        <v>0</v>
      </c>
      <c r="S346" s="132"/>
      <c r="T346" s="137">
        <f>IF(REKAP[[#This Row],[Selisih]]&lt;=-1,REKAP[[#This Row],[Harga Satuan]]*REKAP[[#This Row],[Selisih]],0)</f>
        <v>0</v>
      </c>
    </row>
    <row r="347" spans="1:20" x14ac:dyDescent="0.25">
      <c r="A347" s="55" t="s">
        <v>539</v>
      </c>
      <c r="B347" s="55" t="s">
        <v>3327</v>
      </c>
      <c r="C347" s="55" t="s">
        <v>3358</v>
      </c>
      <c r="D347" s="56" t="s">
        <v>25</v>
      </c>
      <c r="E347" s="57" t="s">
        <v>3347</v>
      </c>
      <c r="F347" s="75" t="s">
        <v>251</v>
      </c>
      <c r="G347" s="55" t="s">
        <v>243</v>
      </c>
      <c r="H347" s="58">
        <v>3188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15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15</v>
      </c>
      <c r="P347" s="55"/>
      <c r="Q347" s="62">
        <f>REKAP[[#This Row],[Harga Satuan]]*REKAP[[#This Row],[Stok Akhir]]</f>
        <v>47820</v>
      </c>
      <c r="R347" s="61">
        <f>IF(REKAP[[#This Row],[Stok Aktual]]&lt;&gt;"",REKAP[[#This Row],[Stok Aktual]]-REKAP[[#This Row],[Stok Akhir]],0)</f>
        <v>0</v>
      </c>
      <c r="S347" s="132"/>
      <c r="T347" s="137">
        <f>IF(REKAP[[#This Row],[Selisih]]&lt;=-1,REKAP[[#This Row],[Harga Satuan]]*REKAP[[#This Row],[Selisih]],0)</f>
        <v>0</v>
      </c>
    </row>
    <row r="348" spans="1:20" x14ac:dyDescent="0.25">
      <c r="A348" s="55" t="s">
        <v>540</v>
      </c>
      <c r="B348" s="55" t="s">
        <v>3359</v>
      </c>
      <c r="C348" s="55" t="s">
        <v>3358</v>
      </c>
      <c r="D348" s="56" t="s">
        <v>31</v>
      </c>
      <c r="E348" s="57" t="s">
        <v>3329</v>
      </c>
      <c r="F348" s="75" t="s">
        <v>251</v>
      </c>
      <c r="G348" s="55"/>
      <c r="H348" s="58">
        <v>3500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2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2</v>
      </c>
      <c r="P348" s="55"/>
      <c r="Q348" s="62">
        <f>REKAP[[#This Row],[Harga Satuan]]*REKAP[[#This Row],[Stok Akhir]]</f>
        <v>7000</v>
      </c>
      <c r="R348" s="61">
        <f>IF(REKAP[[#This Row],[Stok Aktual]]&lt;&gt;"",REKAP[[#This Row],[Stok Aktual]]-REKAP[[#This Row],[Stok Akhir]],0)</f>
        <v>0</v>
      </c>
      <c r="S348" s="132"/>
      <c r="T348" s="137">
        <f>IF(REKAP[[#This Row],[Selisih]]&lt;=-1,REKAP[[#This Row],[Harga Satuan]]*REKAP[[#This Row],[Selisih]],0)</f>
        <v>0</v>
      </c>
    </row>
    <row r="349" spans="1:20" x14ac:dyDescent="0.25">
      <c r="A349" s="55" t="s">
        <v>541</v>
      </c>
      <c r="B349" s="55" t="s">
        <v>3359</v>
      </c>
      <c r="C349" s="55" t="s">
        <v>3358</v>
      </c>
      <c r="D349" s="56" t="s">
        <v>3390</v>
      </c>
      <c r="E349" s="57" t="s">
        <v>3329</v>
      </c>
      <c r="F349" s="75" t="s">
        <v>251</v>
      </c>
      <c r="G349" s="55"/>
      <c r="H349" s="58">
        <v>10000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17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17</v>
      </c>
      <c r="P349" s="55"/>
      <c r="Q349" s="62">
        <f>REKAP[[#This Row],[Harga Satuan]]*REKAP[[#This Row],[Stok Akhir]]</f>
        <v>170000</v>
      </c>
      <c r="R349" s="61">
        <f>IF(REKAP[[#This Row],[Stok Aktual]]&lt;&gt;"",REKAP[[#This Row],[Stok Aktual]]-REKAP[[#This Row],[Stok Akhir]],0)</f>
        <v>0</v>
      </c>
      <c r="S349" s="132"/>
      <c r="T349" s="137">
        <f>IF(REKAP[[#This Row],[Selisih]]&lt;=-1,REKAP[[#This Row],[Harga Satuan]]*REKAP[[#This Row],[Selisih]],0)</f>
        <v>0</v>
      </c>
    </row>
    <row r="350" spans="1:20" x14ac:dyDescent="0.25">
      <c r="A350" s="55" t="s">
        <v>542</v>
      </c>
      <c r="B350" s="55" t="s">
        <v>3392</v>
      </c>
      <c r="C350" s="55" t="s">
        <v>3391</v>
      </c>
      <c r="D350" s="56" t="s">
        <v>218</v>
      </c>
      <c r="E350" s="57" t="s">
        <v>3404</v>
      </c>
      <c r="F350" s="75" t="s">
        <v>251</v>
      </c>
      <c r="G350" s="55"/>
      <c r="H350" s="58">
        <v>2000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17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17</v>
      </c>
      <c r="P350" s="55"/>
      <c r="Q350" s="62">
        <f>REKAP[[#This Row],[Harga Satuan]]*REKAP[[#This Row],[Stok Akhir]]</f>
        <v>34000</v>
      </c>
      <c r="R350" s="61">
        <f>IF(REKAP[[#This Row],[Stok Aktual]]&lt;&gt;"",REKAP[[#This Row],[Stok Aktual]]-REKAP[[#This Row],[Stok Akhir]],0)</f>
        <v>0</v>
      </c>
      <c r="S350" s="132"/>
      <c r="T350" s="137">
        <f>IF(REKAP[[#This Row],[Selisih]]&lt;=-1,REKAP[[#This Row],[Harga Satuan]]*REKAP[[#This Row],[Selisih]],0)</f>
        <v>0</v>
      </c>
    </row>
    <row r="351" spans="1:20" x14ac:dyDescent="0.25">
      <c r="A351" s="55" t="s">
        <v>543</v>
      </c>
      <c r="B351" s="55" t="s">
        <v>3392</v>
      </c>
      <c r="C351" s="55" t="s">
        <v>3391</v>
      </c>
      <c r="D351" s="56" t="s">
        <v>219</v>
      </c>
      <c r="E351" s="57" t="s">
        <v>3404</v>
      </c>
      <c r="F351" s="75" t="s">
        <v>251</v>
      </c>
      <c r="G351" s="55"/>
      <c r="H351" s="58">
        <v>900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21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21</v>
      </c>
      <c r="P351" s="55"/>
      <c r="Q351" s="62">
        <f>REKAP[[#This Row],[Harga Satuan]]*REKAP[[#This Row],[Stok Akhir]]</f>
        <v>18900</v>
      </c>
      <c r="R351" s="61">
        <f>IF(REKAP[[#This Row],[Stok Aktual]]&lt;&gt;"",REKAP[[#This Row],[Stok Aktual]]-REKAP[[#This Row],[Stok Akhir]],0)</f>
        <v>0</v>
      </c>
      <c r="S351" s="132"/>
      <c r="T351" s="137">
        <f>IF(REKAP[[#This Row],[Selisih]]&lt;=-1,REKAP[[#This Row],[Harga Satuan]]*REKAP[[#This Row],[Selisih]],0)</f>
        <v>0</v>
      </c>
    </row>
    <row r="352" spans="1:20" x14ac:dyDescent="0.25">
      <c r="A352" s="55" t="s">
        <v>544</v>
      </c>
      <c r="B352" s="55" t="s">
        <v>220</v>
      </c>
      <c r="C352" s="55" t="s">
        <v>3393</v>
      </c>
      <c r="D352" s="56" t="s">
        <v>220</v>
      </c>
      <c r="E352" s="57" t="s">
        <v>3404</v>
      </c>
      <c r="F352" s="75" t="s">
        <v>251</v>
      </c>
      <c r="G352" s="55"/>
      <c r="H352" s="58">
        <v>750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12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12</v>
      </c>
      <c r="P352" s="55"/>
      <c r="Q352" s="62">
        <f>REKAP[[#This Row],[Harga Satuan]]*REKAP[[#This Row],[Stok Akhir]]</f>
        <v>9000</v>
      </c>
      <c r="R352" s="61">
        <f>IF(REKAP[[#This Row],[Stok Aktual]]&lt;&gt;"",REKAP[[#This Row],[Stok Aktual]]-REKAP[[#This Row],[Stok Akhir]],0)</f>
        <v>0</v>
      </c>
      <c r="S352" s="132"/>
      <c r="T352" s="137">
        <f>IF(REKAP[[#This Row],[Selisih]]&lt;=-1,REKAP[[#This Row],[Harga Satuan]]*REKAP[[#This Row],[Selisih]],0)</f>
        <v>0</v>
      </c>
    </row>
    <row r="353" spans="1:20" x14ac:dyDescent="0.25">
      <c r="A353" s="55" t="s">
        <v>545</v>
      </c>
      <c r="B353" s="55" t="s">
        <v>221</v>
      </c>
      <c r="C353" s="55" t="s">
        <v>3393</v>
      </c>
      <c r="D353" s="56" t="s">
        <v>221</v>
      </c>
      <c r="E353" s="57" t="s">
        <v>3404</v>
      </c>
      <c r="F353" s="75" t="s">
        <v>251</v>
      </c>
      <c r="G353" s="55"/>
      <c r="H353" s="58">
        <v>646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0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0</v>
      </c>
      <c r="P353" s="55"/>
      <c r="Q353" s="62">
        <f>REKAP[[#This Row],[Harga Satuan]]*REKAP[[#This Row],[Stok Akhir]]</f>
        <v>0</v>
      </c>
      <c r="R353" s="61">
        <f>IF(REKAP[[#This Row],[Stok Aktual]]&lt;&gt;"",REKAP[[#This Row],[Stok Aktual]]-REKAP[[#This Row],[Stok Akhir]],0)</f>
        <v>0</v>
      </c>
      <c r="S353" s="132"/>
      <c r="T353" s="137">
        <f>IF(REKAP[[#This Row],[Selisih]]&lt;=-1,REKAP[[#This Row],[Harga Satuan]]*REKAP[[#This Row],[Selisih]],0)</f>
        <v>0</v>
      </c>
    </row>
    <row r="354" spans="1:20" x14ac:dyDescent="0.25">
      <c r="A354" s="55" t="s">
        <v>546</v>
      </c>
      <c r="B354" s="55" t="s">
        <v>222</v>
      </c>
      <c r="C354" s="55" t="s">
        <v>3393</v>
      </c>
      <c r="D354" s="56" t="s">
        <v>222</v>
      </c>
      <c r="E354" s="57" t="s">
        <v>3404</v>
      </c>
      <c r="F354" s="75" t="s">
        <v>251</v>
      </c>
      <c r="G354" s="55"/>
      <c r="H354" s="58">
        <v>300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8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8</v>
      </c>
      <c r="P354" s="55"/>
      <c r="Q354" s="62">
        <f>REKAP[[#This Row],[Harga Satuan]]*REKAP[[#This Row],[Stok Akhir]]</f>
        <v>2400</v>
      </c>
      <c r="R354" s="61">
        <f>IF(REKAP[[#This Row],[Stok Aktual]]&lt;&gt;"",REKAP[[#This Row],[Stok Aktual]]-REKAP[[#This Row],[Stok Akhir]],0)</f>
        <v>0</v>
      </c>
      <c r="S354" s="132"/>
      <c r="T354" s="137">
        <f>IF(REKAP[[#This Row],[Selisih]]&lt;=-1,REKAP[[#This Row],[Harga Satuan]]*REKAP[[#This Row],[Selisih]],0)</f>
        <v>0</v>
      </c>
    </row>
    <row r="355" spans="1:20" x14ac:dyDescent="0.25">
      <c r="A355" s="55" t="s">
        <v>547</v>
      </c>
      <c r="B355" s="55" t="s">
        <v>223</v>
      </c>
      <c r="C355" s="55" t="s">
        <v>3393</v>
      </c>
      <c r="D355" s="56" t="s">
        <v>223</v>
      </c>
      <c r="E355" s="57" t="s">
        <v>3404</v>
      </c>
      <c r="F355" s="75" t="s">
        <v>251</v>
      </c>
      <c r="G355" s="55"/>
      <c r="H355" s="58">
        <v>1050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1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1</v>
      </c>
      <c r="P355" s="55"/>
      <c r="Q355" s="62">
        <f>REKAP[[#This Row],[Harga Satuan]]*REKAP[[#This Row],[Stok Akhir]]</f>
        <v>1050</v>
      </c>
      <c r="R355" s="61">
        <f>IF(REKAP[[#This Row],[Stok Aktual]]&lt;&gt;"",REKAP[[#This Row],[Stok Aktual]]-REKAP[[#This Row],[Stok Akhir]],0)</f>
        <v>0</v>
      </c>
      <c r="S355" s="132"/>
      <c r="T355" s="137">
        <f>IF(REKAP[[#This Row],[Selisih]]&lt;=-1,REKAP[[#This Row],[Harga Satuan]]*REKAP[[#This Row],[Selisih]],0)</f>
        <v>0</v>
      </c>
    </row>
    <row r="356" spans="1:20" x14ac:dyDescent="0.25">
      <c r="A356" s="55" t="s">
        <v>548</v>
      </c>
      <c r="B356" s="55" t="s">
        <v>224</v>
      </c>
      <c r="C356" s="55" t="s">
        <v>3393</v>
      </c>
      <c r="D356" s="56" t="s">
        <v>224</v>
      </c>
      <c r="E356" s="57" t="s">
        <v>3404</v>
      </c>
      <c r="F356" s="75" t="s">
        <v>251</v>
      </c>
      <c r="G356" s="55"/>
      <c r="H356" s="58">
        <v>1050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6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6</v>
      </c>
      <c r="P356" s="55"/>
      <c r="Q356" s="62">
        <f>REKAP[[#This Row],[Harga Satuan]]*REKAP[[#This Row],[Stok Akhir]]</f>
        <v>6300</v>
      </c>
      <c r="R356" s="61">
        <f>IF(REKAP[[#This Row],[Stok Aktual]]&lt;&gt;"",REKAP[[#This Row],[Stok Aktual]]-REKAP[[#This Row],[Stok Akhir]],0)</f>
        <v>0</v>
      </c>
      <c r="S356" s="132"/>
      <c r="T356" s="137">
        <f>IF(REKAP[[#This Row],[Selisih]]&lt;=-1,REKAP[[#This Row],[Harga Satuan]]*REKAP[[#This Row],[Selisih]],0)</f>
        <v>0</v>
      </c>
    </row>
    <row r="357" spans="1:20" x14ac:dyDescent="0.25">
      <c r="A357" s="55" t="s">
        <v>549</v>
      </c>
      <c r="B357" s="55" t="s">
        <v>225</v>
      </c>
      <c r="C357" s="55" t="s">
        <v>3393</v>
      </c>
      <c r="D357" s="56" t="s">
        <v>225</v>
      </c>
      <c r="E357" s="57" t="s">
        <v>3404</v>
      </c>
      <c r="F357" s="75" t="s">
        <v>251</v>
      </c>
      <c r="G357" s="55"/>
      <c r="H357" s="58">
        <v>1250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25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25</v>
      </c>
      <c r="P357" s="55"/>
      <c r="Q357" s="62">
        <f>REKAP[[#This Row],[Harga Satuan]]*REKAP[[#This Row],[Stok Akhir]]</f>
        <v>31250</v>
      </c>
      <c r="R357" s="61">
        <f>IF(REKAP[[#This Row],[Stok Aktual]]&lt;&gt;"",REKAP[[#This Row],[Stok Aktual]]-REKAP[[#This Row],[Stok Akhir]],0)</f>
        <v>0</v>
      </c>
      <c r="S357" s="132"/>
      <c r="T357" s="137">
        <f>IF(REKAP[[#This Row],[Selisih]]&lt;=-1,REKAP[[#This Row],[Harga Satuan]]*REKAP[[#This Row],[Selisih]],0)</f>
        <v>0</v>
      </c>
    </row>
    <row r="358" spans="1:20" x14ac:dyDescent="0.25">
      <c r="A358" s="55" t="s">
        <v>550</v>
      </c>
      <c r="B358" s="55" t="s">
        <v>226</v>
      </c>
      <c r="C358" s="55" t="s">
        <v>3393</v>
      </c>
      <c r="D358" s="56" t="s">
        <v>226</v>
      </c>
      <c r="E358" s="57" t="s">
        <v>3404</v>
      </c>
      <c r="F358" s="75" t="s">
        <v>251</v>
      </c>
      <c r="G358" s="55"/>
      <c r="H358" s="58">
        <v>1250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0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0</v>
      </c>
      <c r="P358" s="55"/>
      <c r="Q358" s="62">
        <f>REKAP[[#This Row],[Harga Satuan]]*REKAP[[#This Row],[Stok Akhir]]</f>
        <v>0</v>
      </c>
      <c r="R358" s="61">
        <f>IF(REKAP[[#This Row],[Stok Aktual]]&lt;&gt;"",REKAP[[#This Row],[Stok Aktual]]-REKAP[[#This Row],[Stok Akhir]],0)</f>
        <v>0</v>
      </c>
      <c r="S358" s="132"/>
      <c r="T358" s="137">
        <f>IF(REKAP[[#This Row],[Selisih]]&lt;=-1,REKAP[[#This Row],[Harga Satuan]]*REKAP[[#This Row],[Selisih]],0)</f>
        <v>0</v>
      </c>
    </row>
    <row r="359" spans="1:20" x14ac:dyDescent="0.25">
      <c r="A359" s="55" t="s">
        <v>551</v>
      </c>
      <c r="B359" s="55" t="s">
        <v>227</v>
      </c>
      <c r="C359" s="55" t="s">
        <v>3393</v>
      </c>
      <c r="D359" s="56" t="s">
        <v>227</v>
      </c>
      <c r="E359" s="57" t="s">
        <v>3404</v>
      </c>
      <c r="F359" s="75" t="s">
        <v>251</v>
      </c>
      <c r="G359" s="55"/>
      <c r="H359" s="58">
        <v>1275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93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93</v>
      </c>
      <c r="P359" s="55"/>
      <c r="Q359" s="62">
        <f>REKAP[[#This Row],[Harga Satuan]]*REKAP[[#This Row],[Stok Akhir]]</f>
        <v>118575</v>
      </c>
      <c r="R359" s="61">
        <f>IF(REKAP[[#This Row],[Stok Aktual]]&lt;&gt;"",REKAP[[#This Row],[Stok Aktual]]-REKAP[[#This Row],[Stok Akhir]],0)</f>
        <v>0</v>
      </c>
      <c r="S359" s="132"/>
      <c r="T359" s="137">
        <f>IF(REKAP[[#This Row],[Selisih]]&lt;=-1,REKAP[[#This Row],[Harga Satuan]]*REKAP[[#This Row],[Selisih]],0)</f>
        <v>0</v>
      </c>
    </row>
    <row r="360" spans="1:20" x14ac:dyDescent="0.25">
      <c r="A360" s="55" t="s">
        <v>552</v>
      </c>
      <c r="B360" s="55" t="s">
        <v>228</v>
      </c>
      <c r="C360" s="55" t="s">
        <v>3393</v>
      </c>
      <c r="D360" s="56" t="s">
        <v>228</v>
      </c>
      <c r="E360" s="57" t="s">
        <v>3404</v>
      </c>
      <c r="F360" s="75" t="s">
        <v>251</v>
      </c>
      <c r="G360" s="55"/>
      <c r="H360" s="58">
        <v>120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7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7</v>
      </c>
      <c r="P360" s="55"/>
      <c r="Q360" s="62">
        <f>REKAP[[#This Row],[Harga Satuan]]*REKAP[[#This Row],[Stok Akhir]]</f>
        <v>840</v>
      </c>
      <c r="R360" s="61">
        <f>IF(REKAP[[#This Row],[Stok Aktual]]&lt;&gt;"",REKAP[[#This Row],[Stok Aktual]]-REKAP[[#This Row],[Stok Akhir]],0)</f>
        <v>0</v>
      </c>
      <c r="S360" s="132"/>
      <c r="T360" s="137">
        <f>IF(REKAP[[#This Row],[Selisih]]&lt;=-1,REKAP[[#This Row],[Harga Satuan]]*REKAP[[#This Row],[Selisih]],0)</f>
        <v>0</v>
      </c>
    </row>
    <row r="361" spans="1:20" x14ac:dyDescent="0.25">
      <c r="A361" s="55" t="s">
        <v>553</v>
      </c>
      <c r="B361" s="55" t="s">
        <v>229</v>
      </c>
      <c r="C361" s="55" t="s">
        <v>3393</v>
      </c>
      <c r="D361" s="56" t="s">
        <v>229</v>
      </c>
      <c r="E361" s="57" t="s">
        <v>3404</v>
      </c>
      <c r="F361" s="75" t="s">
        <v>251</v>
      </c>
      <c r="G361" s="55"/>
      <c r="H361" s="58">
        <v>100</v>
      </c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4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4</v>
      </c>
      <c r="P361" s="55"/>
      <c r="Q361" s="62">
        <f>REKAP[[#This Row],[Harga Satuan]]*REKAP[[#This Row],[Stok Akhir]]</f>
        <v>400</v>
      </c>
      <c r="R361" s="61">
        <f>IF(REKAP[[#This Row],[Stok Aktual]]&lt;&gt;"",REKAP[[#This Row],[Stok Aktual]]-REKAP[[#This Row],[Stok Akhir]],0)</f>
        <v>0</v>
      </c>
      <c r="S361" s="132"/>
      <c r="T361" s="137">
        <f>IF(REKAP[[#This Row],[Selisih]]&lt;=-1,REKAP[[#This Row],[Harga Satuan]]*REKAP[[#This Row],[Selisih]],0)</f>
        <v>0</v>
      </c>
    </row>
    <row r="362" spans="1:20" x14ac:dyDescent="0.25">
      <c r="A362" s="55" t="s">
        <v>554</v>
      </c>
      <c r="B362" s="55" t="s">
        <v>230</v>
      </c>
      <c r="C362" s="55" t="s">
        <v>3393</v>
      </c>
      <c r="D362" s="56" t="s">
        <v>230</v>
      </c>
      <c r="E362" s="57" t="s">
        <v>3404</v>
      </c>
      <c r="F362" s="75" t="s">
        <v>251</v>
      </c>
      <c r="G362" s="55"/>
      <c r="H362" s="58">
        <v>100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10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10</v>
      </c>
      <c r="P362" s="55"/>
      <c r="Q362" s="62">
        <f>REKAP[[#This Row],[Harga Satuan]]*REKAP[[#This Row],[Stok Akhir]]</f>
        <v>1000</v>
      </c>
      <c r="R362" s="61">
        <f>IF(REKAP[[#This Row],[Stok Aktual]]&lt;&gt;"",REKAP[[#This Row],[Stok Aktual]]-REKAP[[#This Row],[Stok Akhir]],0)</f>
        <v>0</v>
      </c>
      <c r="S362" s="132"/>
      <c r="T362" s="137">
        <f>IF(REKAP[[#This Row],[Selisih]]&lt;=-1,REKAP[[#This Row],[Harga Satuan]]*REKAP[[#This Row],[Selisih]],0)</f>
        <v>0</v>
      </c>
    </row>
    <row r="363" spans="1:20" x14ac:dyDescent="0.25">
      <c r="A363" s="55" t="s">
        <v>555</v>
      </c>
      <c r="B363" s="55" t="s">
        <v>231</v>
      </c>
      <c r="C363" s="55" t="s">
        <v>3393</v>
      </c>
      <c r="D363" s="56" t="s">
        <v>231</v>
      </c>
      <c r="E363" s="57" t="s">
        <v>3404</v>
      </c>
      <c r="F363" s="75" t="s">
        <v>251</v>
      </c>
      <c r="G363" s="55"/>
      <c r="H363" s="58">
        <v>3000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7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7</v>
      </c>
      <c r="P363" s="55"/>
      <c r="Q363" s="62">
        <f>REKAP[[#This Row],[Harga Satuan]]*REKAP[[#This Row],[Stok Akhir]]</f>
        <v>21000</v>
      </c>
      <c r="R363" s="61">
        <f>IF(REKAP[[#This Row],[Stok Aktual]]&lt;&gt;"",REKAP[[#This Row],[Stok Aktual]]-REKAP[[#This Row],[Stok Akhir]],0)</f>
        <v>0</v>
      </c>
      <c r="S363" s="132"/>
      <c r="T363" s="137">
        <f>IF(REKAP[[#This Row],[Selisih]]&lt;=-1,REKAP[[#This Row],[Harga Satuan]]*REKAP[[#This Row],[Selisih]],0)</f>
        <v>0</v>
      </c>
    </row>
    <row r="364" spans="1:20" x14ac:dyDescent="0.25">
      <c r="A364" s="55" t="s">
        <v>556</v>
      </c>
      <c r="B364" s="55" t="s">
        <v>232</v>
      </c>
      <c r="C364" s="55" t="s">
        <v>3393</v>
      </c>
      <c r="D364" s="56" t="s">
        <v>232</v>
      </c>
      <c r="E364" s="57" t="s">
        <v>3404</v>
      </c>
      <c r="F364" s="75" t="s">
        <v>251</v>
      </c>
      <c r="G364" s="55"/>
      <c r="H364" s="58">
        <v>4600</v>
      </c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0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0</v>
      </c>
      <c r="P364" s="55"/>
      <c r="Q364" s="62">
        <f>REKAP[[#This Row],[Harga Satuan]]*REKAP[[#This Row],[Stok Akhir]]</f>
        <v>0</v>
      </c>
      <c r="R364" s="61">
        <f>IF(REKAP[[#This Row],[Stok Aktual]]&lt;&gt;"",REKAP[[#This Row],[Stok Aktual]]-REKAP[[#This Row],[Stok Akhir]],0)</f>
        <v>0</v>
      </c>
      <c r="S364" s="132"/>
      <c r="T364" s="137">
        <f>IF(REKAP[[#This Row],[Selisih]]&lt;=-1,REKAP[[#This Row],[Harga Satuan]]*REKAP[[#This Row],[Selisih]],0)</f>
        <v>0</v>
      </c>
    </row>
    <row r="365" spans="1:20" x14ac:dyDescent="0.25">
      <c r="A365" s="55" t="s">
        <v>557</v>
      </c>
      <c r="B365" s="55" t="s">
        <v>233</v>
      </c>
      <c r="C365" s="55" t="s">
        <v>3393</v>
      </c>
      <c r="D365" s="56" t="s">
        <v>233</v>
      </c>
      <c r="E365" s="57" t="s">
        <v>3404</v>
      </c>
      <c r="F365" s="75" t="s">
        <v>251</v>
      </c>
      <c r="G365" s="55"/>
      <c r="H365" s="58">
        <v>3500</v>
      </c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0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>
        <f>IF(REKAP[[#This Row],[Stok Aktual]]&lt;&gt;"",REKAP[[#This Row],[Stok Aktual]]-REKAP[[#This Row],[Stok Akhir]],0)</f>
        <v>0</v>
      </c>
      <c r="S365" s="132"/>
      <c r="T365" s="137">
        <f>IF(REKAP[[#This Row],[Selisih]]&lt;=-1,REKAP[[#This Row],[Harga Satuan]]*REKAP[[#This Row],[Selisih]],0)</f>
        <v>0</v>
      </c>
    </row>
    <row r="366" spans="1:20" x14ac:dyDescent="0.25">
      <c r="A366" s="55" t="s">
        <v>558</v>
      </c>
      <c r="B366" s="55" t="s">
        <v>234</v>
      </c>
      <c r="C366" s="55" t="s">
        <v>3393</v>
      </c>
      <c r="D366" s="56" t="s">
        <v>234</v>
      </c>
      <c r="E366" s="57" t="s">
        <v>3404</v>
      </c>
      <c r="F366" s="75" t="s">
        <v>251</v>
      </c>
      <c r="G366" s="55"/>
      <c r="H366" s="58">
        <v>3500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0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>
        <f>IF(REKAP[[#This Row],[Stok Aktual]]&lt;&gt;"",REKAP[[#This Row],[Stok Aktual]]-REKAP[[#This Row],[Stok Akhir]],0)</f>
        <v>0</v>
      </c>
      <c r="S366" s="132"/>
      <c r="T366" s="137">
        <f>IF(REKAP[[#This Row],[Selisih]]&lt;=-1,REKAP[[#This Row],[Harga Satuan]]*REKAP[[#This Row],[Selisih]],0)</f>
        <v>0</v>
      </c>
    </row>
    <row r="367" spans="1:20" x14ac:dyDescent="0.25">
      <c r="A367" s="55" t="s">
        <v>559</v>
      </c>
      <c r="B367" s="55" t="s">
        <v>3395</v>
      </c>
      <c r="C367" s="55" t="s">
        <v>3394</v>
      </c>
      <c r="D367" s="56" t="s">
        <v>3396</v>
      </c>
      <c r="E367" s="57" t="s">
        <v>3404</v>
      </c>
      <c r="F367" s="75" t="s">
        <v>251</v>
      </c>
      <c r="G367" s="55"/>
      <c r="H367" s="58">
        <v>575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13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13</v>
      </c>
      <c r="P367" s="55"/>
      <c r="Q367" s="62">
        <f>REKAP[[#This Row],[Harga Satuan]]*REKAP[[#This Row],[Stok Akhir]]</f>
        <v>7475</v>
      </c>
      <c r="R367" s="61">
        <f>IF(REKAP[[#This Row],[Stok Aktual]]&lt;&gt;"",REKAP[[#This Row],[Stok Aktual]]-REKAP[[#This Row],[Stok Akhir]],0)</f>
        <v>0</v>
      </c>
      <c r="S367" s="132"/>
      <c r="T367" s="137">
        <f>IF(REKAP[[#This Row],[Selisih]]&lt;=-1,REKAP[[#This Row],[Harga Satuan]]*REKAP[[#This Row],[Selisih]],0)</f>
        <v>0</v>
      </c>
    </row>
    <row r="368" spans="1:20" x14ac:dyDescent="0.25">
      <c r="A368" s="55" t="s">
        <v>560</v>
      </c>
      <c r="B368" s="55" t="s">
        <v>3395</v>
      </c>
      <c r="C368" s="55" t="s">
        <v>3394</v>
      </c>
      <c r="D368" s="56" t="s">
        <v>3397</v>
      </c>
      <c r="E368" s="57" t="s">
        <v>3404</v>
      </c>
      <c r="F368" s="75" t="s">
        <v>251</v>
      </c>
      <c r="G368" s="55"/>
      <c r="H368" s="58">
        <v>200</v>
      </c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34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34</v>
      </c>
      <c r="P368" s="55"/>
      <c r="Q368" s="62">
        <f>REKAP[[#This Row],[Harga Satuan]]*REKAP[[#This Row],[Stok Akhir]]</f>
        <v>6800</v>
      </c>
      <c r="R368" s="61">
        <f>IF(REKAP[[#This Row],[Stok Aktual]]&lt;&gt;"",REKAP[[#This Row],[Stok Aktual]]-REKAP[[#This Row],[Stok Akhir]],0)</f>
        <v>0</v>
      </c>
      <c r="S368" s="132"/>
      <c r="T368" s="137">
        <f>IF(REKAP[[#This Row],[Selisih]]&lt;=-1,REKAP[[#This Row],[Harga Satuan]]*REKAP[[#This Row],[Selisih]],0)</f>
        <v>0</v>
      </c>
    </row>
    <row r="369" spans="1:20" x14ac:dyDescent="0.25">
      <c r="A369" s="55" t="s">
        <v>561</v>
      </c>
      <c r="B369" s="55" t="s">
        <v>3395</v>
      </c>
      <c r="C369" s="55" t="s">
        <v>3394</v>
      </c>
      <c r="D369" s="56" t="s">
        <v>3398</v>
      </c>
      <c r="E369" s="57" t="s">
        <v>3404</v>
      </c>
      <c r="F369" s="75" t="s">
        <v>251</v>
      </c>
      <c r="G369" s="55"/>
      <c r="H369" s="58">
        <v>60</v>
      </c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0</v>
      </c>
      <c r="K369" s="60">
        <f>REKAP[[#This Row],[Trx In]]+REKAP[[#This Row],[Trx Out]]</f>
        <v>0</v>
      </c>
      <c r="L369" s="55">
        <v>102</v>
      </c>
      <c r="M369" s="74">
        <f>SUMIF(MASUK!$C:$C,REKAP[[#This Row],[ID]],MASUK!$H:$H)</f>
        <v>0</v>
      </c>
      <c r="N369" s="74">
        <f>SUMIF(KELUAR!$C:$C,REKAP[[#This Row],[ID]],KELUAR!$H:$H)</f>
        <v>0</v>
      </c>
      <c r="O369" s="74">
        <f>REKAP[[#This Row],[Stok Awal]]+REKAP[[#This Row],[Masuk]]-REKAP[[#This Row],[Keluar]]</f>
        <v>102</v>
      </c>
      <c r="P369" s="55"/>
      <c r="Q369" s="62">
        <f>REKAP[[#This Row],[Harga Satuan]]*REKAP[[#This Row],[Stok Akhir]]</f>
        <v>6120</v>
      </c>
      <c r="R369" s="61">
        <f>IF(REKAP[[#This Row],[Stok Aktual]]&lt;&gt;"",REKAP[[#This Row],[Stok Aktual]]-REKAP[[#This Row],[Stok Akhir]],0)</f>
        <v>0</v>
      </c>
      <c r="S369" s="132"/>
      <c r="T369" s="137">
        <f>IF(REKAP[[#This Row],[Selisih]]&lt;=-1,REKAP[[#This Row],[Harga Satuan]]*REKAP[[#This Row],[Selisih]],0)</f>
        <v>0</v>
      </c>
    </row>
    <row r="370" spans="1:20" x14ac:dyDescent="0.25">
      <c r="A370" s="55" t="s">
        <v>562</v>
      </c>
      <c r="B370" s="55" t="s">
        <v>3395</v>
      </c>
      <c r="C370" s="55" t="s">
        <v>3394</v>
      </c>
      <c r="D370" s="56" t="s">
        <v>3399</v>
      </c>
      <c r="E370" s="57" t="s">
        <v>3404</v>
      </c>
      <c r="F370" s="75" t="s">
        <v>251</v>
      </c>
      <c r="G370" s="55"/>
      <c r="H370" s="58">
        <v>200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0</v>
      </c>
      <c r="K370" s="60">
        <f>REKAP[[#This Row],[Trx In]]+REKAP[[#This Row],[Trx Out]]</f>
        <v>0</v>
      </c>
      <c r="L370" s="55">
        <v>35</v>
      </c>
      <c r="M370" s="74">
        <f>SUMIF(MASUK!$C:$C,REKAP[[#This Row],[ID]],MASUK!$H:$H)</f>
        <v>0</v>
      </c>
      <c r="N370" s="74">
        <f>SUMIF(KELUAR!$C:$C,REKAP[[#This Row],[ID]],KELUAR!$H:$H)</f>
        <v>0</v>
      </c>
      <c r="O370" s="74">
        <f>REKAP[[#This Row],[Stok Awal]]+REKAP[[#This Row],[Masuk]]-REKAP[[#This Row],[Keluar]]</f>
        <v>35</v>
      </c>
      <c r="P370" s="55"/>
      <c r="Q370" s="62">
        <f>REKAP[[#This Row],[Harga Satuan]]*REKAP[[#This Row],[Stok Akhir]]</f>
        <v>7000</v>
      </c>
      <c r="R370" s="61">
        <f>IF(REKAP[[#This Row],[Stok Aktual]]&lt;&gt;"",REKAP[[#This Row],[Stok Aktual]]-REKAP[[#This Row],[Stok Akhir]],0)</f>
        <v>0</v>
      </c>
      <c r="S370" s="132"/>
      <c r="T370" s="137">
        <f>IF(REKAP[[#This Row],[Selisih]]&lt;=-1,REKAP[[#This Row],[Harga Satuan]]*REKAP[[#This Row],[Selisih]],0)</f>
        <v>0</v>
      </c>
    </row>
    <row r="371" spans="1:20" x14ac:dyDescent="0.25">
      <c r="A371" s="55" t="s">
        <v>563</v>
      </c>
      <c r="B371" s="55" t="s">
        <v>3395</v>
      </c>
      <c r="C371" s="55" t="s">
        <v>3394</v>
      </c>
      <c r="D371" s="56" t="s">
        <v>3400</v>
      </c>
      <c r="E371" s="57" t="s">
        <v>3404</v>
      </c>
      <c r="F371" s="75" t="s">
        <v>251</v>
      </c>
      <c r="G371" s="55"/>
      <c r="H371" s="58">
        <v>150</v>
      </c>
      <c r="I371" s="59">
        <f>IF(COUNTIF(MASUK[Kode Barang],REKAP[[#This Row],[ID]])=0,0,COUNTIF(MASUK[Kode Barang],REKAP[[#This Row],[ID]]))</f>
        <v>0</v>
      </c>
      <c r="J371" s="59">
        <f>IF(COUNTIF(MASUK8[Kode Barang],REKAP[[#This Row],[ID]])=0,0,COUNTIF(MASUK8[Kode Barang],REKAP[[#This Row],[ID]]))</f>
        <v>0</v>
      </c>
      <c r="K371" s="60">
        <f>REKAP[[#This Row],[Trx In]]+REKAP[[#This Row],[Trx Out]]</f>
        <v>0</v>
      </c>
      <c r="L371" s="55">
        <v>13</v>
      </c>
      <c r="M371" s="74">
        <f>SUMIF(MASUK!$C:$C,REKAP[[#This Row],[ID]],MASUK!$H:$H)</f>
        <v>0</v>
      </c>
      <c r="N371" s="74">
        <f>SUMIF(KELUAR!$C:$C,REKAP[[#This Row],[ID]],KELUAR!$H:$H)</f>
        <v>0</v>
      </c>
      <c r="O371" s="74">
        <f>REKAP[[#This Row],[Stok Awal]]+REKAP[[#This Row],[Masuk]]-REKAP[[#This Row],[Keluar]]</f>
        <v>13</v>
      </c>
      <c r="P371" s="55"/>
      <c r="Q371" s="62">
        <f>REKAP[[#This Row],[Harga Satuan]]*REKAP[[#This Row],[Stok Akhir]]</f>
        <v>1950</v>
      </c>
      <c r="R371" s="61">
        <f>IF(REKAP[[#This Row],[Stok Aktual]]&lt;&gt;"",REKAP[[#This Row],[Stok Aktual]]-REKAP[[#This Row],[Stok Akhir]],0)</f>
        <v>0</v>
      </c>
      <c r="S371" s="132"/>
      <c r="T371" s="137">
        <f>IF(REKAP[[#This Row],[Selisih]]&lt;=-1,REKAP[[#This Row],[Harga Satuan]]*REKAP[[#This Row],[Selisih]],0)</f>
        <v>0</v>
      </c>
    </row>
    <row r="372" spans="1:20" x14ac:dyDescent="0.25">
      <c r="A372" s="55" t="s">
        <v>564</v>
      </c>
      <c r="B372" s="55" t="s">
        <v>3395</v>
      </c>
      <c r="C372" s="55" t="s">
        <v>3394</v>
      </c>
      <c r="D372" s="56" t="s">
        <v>3401</v>
      </c>
      <c r="E372" s="57" t="s">
        <v>3404</v>
      </c>
      <c r="F372" s="75" t="s">
        <v>251</v>
      </c>
      <c r="G372" s="55"/>
      <c r="H372" s="58">
        <v>200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45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45</v>
      </c>
      <c r="P372" s="55"/>
      <c r="Q372" s="62">
        <f>REKAP[[#This Row],[Harga Satuan]]*REKAP[[#This Row],[Stok Akhir]]</f>
        <v>9000</v>
      </c>
      <c r="R372" s="61">
        <f>IF(REKAP[[#This Row],[Stok Aktual]]&lt;&gt;"",REKAP[[#This Row],[Stok Aktual]]-REKAP[[#This Row],[Stok Akhir]],0)</f>
        <v>0</v>
      </c>
      <c r="S372" s="132"/>
      <c r="T372" s="137">
        <f>IF(REKAP[[#This Row],[Selisih]]&lt;=-1,REKAP[[#This Row],[Harga Satuan]]*REKAP[[#This Row],[Selisih]],0)</f>
        <v>0</v>
      </c>
    </row>
    <row r="373" spans="1:20" x14ac:dyDescent="0.25">
      <c r="A373" s="55" t="s">
        <v>565</v>
      </c>
      <c r="B373" s="55" t="s">
        <v>3395</v>
      </c>
      <c r="C373" s="55" t="s">
        <v>3394</v>
      </c>
      <c r="D373" s="56" t="s">
        <v>3402</v>
      </c>
      <c r="E373" s="57" t="s">
        <v>3404</v>
      </c>
      <c r="F373" s="75" t="s">
        <v>251</v>
      </c>
      <c r="G373" s="55"/>
      <c r="H373" s="58">
        <v>200</v>
      </c>
      <c r="I373" s="59">
        <f>IF(COUNTIF(MASUK[Kode Barang],REKAP[[#This Row],[ID]])=0,0,COUNTIF(MASUK[Kode Barang],REKAP[[#This Row],[ID]]))</f>
        <v>0</v>
      </c>
      <c r="J373" s="59">
        <f>IF(COUNTIF(MASUK8[Kode Barang],REKAP[[#This Row],[ID]])=0,0,COUNTIF(MASUK8[Kode Barang],REKAP[[#This Row],[ID]]))</f>
        <v>0</v>
      </c>
      <c r="K373" s="60">
        <f>REKAP[[#This Row],[Trx In]]+REKAP[[#This Row],[Trx Out]]</f>
        <v>0</v>
      </c>
      <c r="L373" s="55">
        <v>36</v>
      </c>
      <c r="M373" s="74">
        <f>SUMIF(MASUK!$C:$C,REKAP[[#This Row],[ID]],MASUK!$H:$H)</f>
        <v>0</v>
      </c>
      <c r="N373" s="74">
        <f>SUMIF(KELUAR!$C:$C,REKAP[[#This Row],[ID]],KELUAR!$H:$H)</f>
        <v>0</v>
      </c>
      <c r="O373" s="74">
        <f>REKAP[[#This Row],[Stok Awal]]+REKAP[[#This Row],[Masuk]]-REKAP[[#This Row],[Keluar]]</f>
        <v>36</v>
      </c>
      <c r="P373" s="55"/>
      <c r="Q373" s="62">
        <f>REKAP[[#This Row],[Harga Satuan]]*REKAP[[#This Row],[Stok Akhir]]</f>
        <v>7200</v>
      </c>
      <c r="R373" s="61">
        <f>IF(REKAP[[#This Row],[Stok Aktual]]&lt;&gt;"",REKAP[[#This Row],[Stok Aktual]]-REKAP[[#This Row],[Stok Akhir]],0)</f>
        <v>0</v>
      </c>
      <c r="S373" s="132"/>
      <c r="T373" s="137">
        <f>IF(REKAP[[#This Row],[Selisih]]&lt;=-1,REKAP[[#This Row],[Harga Satuan]]*REKAP[[#This Row],[Selisih]],0)</f>
        <v>0</v>
      </c>
    </row>
    <row r="374" spans="1:20" x14ac:dyDescent="0.25">
      <c r="A374" s="55" t="s">
        <v>566</v>
      </c>
      <c r="B374" s="55" t="s">
        <v>3395</v>
      </c>
      <c r="C374" s="55" t="s">
        <v>3394</v>
      </c>
      <c r="D374" s="56" t="s">
        <v>3403</v>
      </c>
      <c r="E374" s="57" t="s">
        <v>3404</v>
      </c>
      <c r="F374" s="75" t="s">
        <v>251</v>
      </c>
      <c r="G374" s="55"/>
      <c r="H374" s="58">
        <v>200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25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25</v>
      </c>
      <c r="P374" s="55"/>
      <c r="Q374" s="62">
        <f>REKAP[[#This Row],[Harga Satuan]]*REKAP[[#This Row],[Stok Akhir]]</f>
        <v>5000</v>
      </c>
      <c r="R374" s="61">
        <f>IF(REKAP[[#This Row],[Stok Aktual]]&lt;&gt;"",REKAP[[#This Row],[Stok Aktual]]-REKAP[[#This Row],[Stok Akhir]],0)</f>
        <v>0</v>
      </c>
      <c r="S374" s="132"/>
      <c r="T374" s="137">
        <f>IF(REKAP[[#This Row],[Selisih]]&lt;=-1,REKAP[[#This Row],[Harga Satuan]]*REKAP[[#This Row],[Selisih]],0)</f>
        <v>0</v>
      </c>
    </row>
    <row r="375" spans="1:20" x14ac:dyDescent="0.25">
      <c r="A375" s="55" t="s">
        <v>567</v>
      </c>
      <c r="B375" s="55" t="s">
        <v>235</v>
      </c>
      <c r="C375" s="55" t="s">
        <v>3448</v>
      </c>
      <c r="D375" s="56" t="s">
        <v>235</v>
      </c>
      <c r="E375" s="57" t="s">
        <v>3448</v>
      </c>
      <c r="F375" s="75" t="s">
        <v>251</v>
      </c>
      <c r="G375" s="55"/>
      <c r="H375" s="58">
        <v>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0</v>
      </c>
      <c r="K375" s="60">
        <f>REKAP[[#This Row],[Trx In]]+REKAP[[#This Row],[Trx Out]]</f>
        <v>0</v>
      </c>
      <c r="L375" s="55">
        <v>0</v>
      </c>
      <c r="M375" s="74">
        <f>SUMIF(MASUK!$C:$C,REKAP[[#This Row],[ID]],MASUK!$H:$H)</f>
        <v>0</v>
      </c>
      <c r="N375" s="74">
        <f>SUMIF(KELUAR!$C:$C,REKAP[[#This Row],[ID]],KELUAR!$H:$H)</f>
        <v>0</v>
      </c>
      <c r="O375" s="74">
        <f>REKAP[[#This Row],[Stok Awal]]+REKAP[[#This Row],[Masuk]]-REKAP[[#This Row],[Keluar]]</f>
        <v>0</v>
      </c>
      <c r="P375" s="55"/>
      <c r="Q375" s="62">
        <f>REKAP[[#This Row],[Harga Satuan]]*REKAP[[#This Row],[Stok Akhir]]</f>
        <v>0</v>
      </c>
      <c r="R375" s="61">
        <f>IF(REKAP[[#This Row],[Stok Aktual]]&lt;&gt;"",REKAP[[#This Row],[Stok Aktual]]-REKAP[[#This Row],[Stok Akhir]],0)</f>
        <v>0</v>
      </c>
      <c r="S375" s="132"/>
      <c r="T375" s="137">
        <f>IF(REKAP[[#This Row],[Selisih]]&lt;=-1,REKAP[[#This Row],[Harga Satuan]]*REKAP[[#This Row],[Selisih]],0)</f>
        <v>0</v>
      </c>
    </row>
    <row r="376" spans="1:20" x14ac:dyDescent="0.25">
      <c r="A376" s="55" t="s">
        <v>568</v>
      </c>
      <c r="B376" s="55" t="s">
        <v>3407</v>
      </c>
      <c r="C376" s="55" t="s">
        <v>3406</v>
      </c>
      <c r="D376" s="56" t="s">
        <v>3409</v>
      </c>
      <c r="E376" s="57" t="s">
        <v>3408</v>
      </c>
      <c r="F376" s="75" t="s">
        <v>251</v>
      </c>
      <c r="G376" s="55"/>
      <c r="H376" s="58">
        <v>100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0</v>
      </c>
      <c r="K376" s="60">
        <f>REKAP[[#This Row],[Trx In]]+REKAP[[#This Row],[Trx Out]]</f>
        <v>0</v>
      </c>
      <c r="L376" s="55">
        <v>22</v>
      </c>
      <c r="M376" s="74">
        <f>SUMIF(MASUK!$C:$C,REKAP[[#This Row],[ID]],MASUK!$H:$H)</f>
        <v>0</v>
      </c>
      <c r="N376" s="74">
        <f>SUMIF(KELUAR!$C:$C,REKAP[[#This Row],[ID]],KELUAR!$H:$H)</f>
        <v>0</v>
      </c>
      <c r="O376" s="74">
        <f>REKAP[[#This Row],[Stok Awal]]+REKAP[[#This Row],[Masuk]]-REKAP[[#This Row],[Keluar]]</f>
        <v>22</v>
      </c>
      <c r="P376" s="55"/>
      <c r="Q376" s="62">
        <f>REKAP[[#This Row],[Harga Satuan]]*REKAP[[#This Row],[Stok Akhir]]</f>
        <v>2200</v>
      </c>
      <c r="R376" s="61">
        <f>IF(REKAP[[#This Row],[Stok Aktual]]&lt;&gt;"",REKAP[[#This Row],[Stok Aktual]]-REKAP[[#This Row],[Stok Akhir]],0)</f>
        <v>0</v>
      </c>
      <c r="S376" s="132"/>
      <c r="T376" s="137">
        <f>IF(REKAP[[#This Row],[Selisih]]&lt;=-1,REKAP[[#This Row],[Harga Satuan]]*REKAP[[#This Row],[Selisih]],0)</f>
        <v>0</v>
      </c>
    </row>
    <row r="377" spans="1:20" x14ac:dyDescent="0.25">
      <c r="A377" s="55" t="s">
        <v>569</v>
      </c>
      <c r="B377" s="55" t="s">
        <v>3407</v>
      </c>
      <c r="C377" s="55" t="s">
        <v>3406</v>
      </c>
      <c r="D377" s="56" t="s">
        <v>3410</v>
      </c>
      <c r="E377" s="57" t="s">
        <v>3408</v>
      </c>
      <c r="F377" s="75" t="s">
        <v>251</v>
      </c>
      <c r="G377" s="55"/>
      <c r="H377" s="58">
        <v>200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1</v>
      </c>
      <c r="K377" s="60">
        <f>REKAP[[#This Row],[Trx In]]+REKAP[[#This Row],[Trx Out]]</f>
        <v>1</v>
      </c>
      <c r="L377" s="55">
        <v>16</v>
      </c>
      <c r="M377" s="74">
        <f>SUMIF(MASUK!$C:$C,REKAP[[#This Row],[ID]],MASUK!$H:$H)</f>
        <v>0</v>
      </c>
      <c r="N377" s="74">
        <f>SUMIF(KELUAR!$C:$C,REKAP[[#This Row],[ID]],KELUAR!$H:$H)</f>
        <v>8</v>
      </c>
      <c r="O377" s="74">
        <f>REKAP[[#This Row],[Stok Awal]]+REKAP[[#This Row],[Masuk]]-REKAP[[#This Row],[Keluar]]</f>
        <v>8</v>
      </c>
      <c r="P377" s="55">
        <v>8</v>
      </c>
      <c r="Q377" s="62">
        <f>REKAP[[#This Row],[Harga Satuan]]*REKAP[[#This Row],[Stok Akhir]]</f>
        <v>1600</v>
      </c>
      <c r="R377" s="61">
        <f>IF(REKAP[[#This Row],[Stok Aktual]]&lt;&gt;"",REKAP[[#This Row],[Stok Aktual]]-REKAP[[#This Row],[Stok Akhir]],0)</f>
        <v>0</v>
      </c>
      <c r="S377" s="132"/>
      <c r="T377" s="137">
        <f>IF(REKAP[[#This Row],[Selisih]]&lt;=-1,REKAP[[#This Row],[Harga Satuan]]*REKAP[[#This Row],[Selisih]],0)</f>
        <v>0</v>
      </c>
    </row>
    <row r="378" spans="1:20" x14ac:dyDescent="0.25">
      <c r="A378" s="55" t="s">
        <v>570</v>
      </c>
      <c r="B378" s="55" t="s">
        <v>3407</v>
      </c>
      <c r="C378" s="55" t="s">
        <v>3406</v>
      </c>
      <c r="D378" s="56" t="s">
        <v>3411</v>
      </c>
      <c r="E378" s="57" t="s">
        <v>3408</v>
      </c>
      <c r="F378" s="75" t="s">
        <v>251</v>
      </c>
      <c r="G378" s="55"/>
      <c r="H378" s="58">
        <v>100</v>
      </c>
      <c r="I378" s="59">
        <f>IF(COUNTIF(MASUK[Kode Barang],REKAP[[#This Row],[ID]])=0,0,COUNTIF(MASUK[Kode Barang],REKAP[[#This Row],[ID]]))</f>
        <v>1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1</v>
      </c>
      <c r="L378" s="55">
        <v>15</v>
      </c>
      <c r="M378" s="74">
        <f>SUMIF(MASUK!$C:$C,REKAP[[#This Row],[ID]],MASUK!$H:$H)</f>
        <v>26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41</v>
      </c>
      <c r="P378" s="55">
        <v>41</v>
      </c>
      <c r="Q378" s="62">
        <f>REKAP[[#This Row],[Harga Satuan]]*REKAP[[#This Row],[Stok Akhir]]</f>
        <v>4100</v>
      </c>
      <c r="R378" s="61">
        <f>IF(REKAP[[#This Row],[Stok Aktual]]&lt;&gt;"",REKAP[[#This Row],[Stok Aktual]]-REKAP[[#This Row],[Stok Akhir]],0)</f>
        <v>0</v>
      </c>
      <c r="S378" s="132"/>
      <c r="T378" s="137">
        <f>IF(REKAP[[#This Row],[Selisih]]&lt;=-1,REKAP[[#This Row],[Harga Satuan]]*REKAP[[#This Row],[Selisih]],0)</f>
        <v>0</v>
      </c>
    </row>
    <row r="379" spans="1:20" x14ac:dyDescent="0.25">
      <c r="A379" s="55" t="s">
        <v>571</v>
      </c>
      <c r="B379" s="55" t="s">
        <v>3407</v>
      </c>
      <c r="C379" s="55" t="s">
        <v>3406</v>
      </c>
      <c r="D379" s="56" t="s">
        <v>3412</v>
      </c>
      <c r="E379" s="57" t="s">
        <v>3408</v>
      </c>
      <c r="F379" s="75" t="s">
        <v>251</v>
      </c>
      <c r="G379" s="55"/>
      <c r="H379" s="58">
        <v>300</v>
      </c>
      <c r="I379" s="59">
        <f>IF(COUNTIF(MASUK[Kode Barang],REKAP[[#This Row],[ID]])=0,0,COUNTIF(MASUK[Kode Barang],REKAP[[#This Row],[ID]]))</f>
        <v>0</v>
      </c>
      <c r="J379" s="59">
        <f>IF(COUNTIF(MASUK8[Kode Barang],REKAP[[#This Row],[ID]])=0,0,COUNTIF(MASUK8[Kode Barang],REKAP[[#This Row],[ID]]))</f>
        <v>0</v>
      </c>
      <c r="K379" s="60">
        <f>REKAP[[#This Row],[Trx In]]+REKAP[[#This Row],[Trx Out]]</f>
        <v>0</v>
      </c>
      <c r="L379" s="55">
        <v>12</v>
      </c>
      <c r="M379" s="74">
        <f>SUMIF(MASUK!$C:$C,REKAP[[#This Row],[ID]],MASUK!$H:$H)</f>
        <v>0</v>
      </c>
      <c r="N379" s="74">
        <f>SUMIF(KELUAR!$C:$C,REKAP[[#This Row],[ID]],KELUAR!$H:$H)</f>
        <v>0</v>
      </c>
      <c r="O379" s="74">
        <f>REKAP[[#This Row],[Stok Awal]]+REKAP[[#This Row],[Masuk]]-REKAP[[#This Row],[Keluar]]</f>
        <v>12</v>
      </c>
      <c r="P379" s="55"/>
      <c r="Q379" s="62">
        <f>REKAP[[#This Row],[Harga Satuan]]*REKAP[[#This Row],[Stok Akhir]]</f>
        <v>3600</v>
      </c>
      <c r="R379" s="61">
        <f>IF(REKAP[[#This Row],[Stok Aktual]]&lt;&gt;"",REKAP[[#This Row],[Stok Aktual]]-REKAP[[#This Row],[Stok Akhir]],0)</f>
        <v>0</v>
      </c>
      <c r="S379" s="132"/>
      <c r="T379" s="137">
        <f>IF(REKAP[[#This Row],[Selisih]]&lt;=-1,REKAP[[#This Row],[Harga Satuan]]*REKAP[[#This Row],[Selisih]],0)</f>
        <v>0</v>
      </c>
    </row>
    <row r="380" spans="1:20" x14ac:dyDescent="0.25">
      <c r="A380" s="55" t="s">
        <v>572</v>
      </c>
      <c r="B380" s="55" t="s">
        <v>3407</v>
      </c>
      <c r="C380" s="55" t="s">
        <v>3406</v>
      </c>
      <c r="D380" s="56" t="s">
        <v>3413</v>
      </c>
      <c r="E380" s="57" t="s">
        <v>3408</v>
      </c>
      <c r="F380" s="75" t="s">
        <v>251</v>
      </c>
      <c r="G380" s="55"/>
      <c r="H380" s="58">
        <v>100</v>
      </c>
      <c r="I380" s="59">
        <f>IF(COUNTIF(MASUK[Kode Barang],REKAP[[#This Row],[ID]])=0,0,COUNTIF(MASUK[Kode Barang],REKAP[[#This Row],[ID]]))</f>
        <v>1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1</v>
      </c>
      <c r="L380" s="55">
        <v>10</v>
      </c>
      <c r="M380" s="74">
        <f>SUMIF(MASUK!$C:$C,REKAP[[#This Row],[ID]],MASUK!$H:$H)</f>
        <v>16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26</v>
      </c>
      <c r="P380" s="55">
        <v>26</v>
      </c>
      <c r="Q380" s="62">
        <f>REKAP[[#This Row],[Harga Satuan]]*REKAP[[#This Row],[Stok Akhir]]</f>
        <v>2600</v>
      </c>
      <c r="R380" s="61">
        <f>IF(REKAP[[#This Row],[Stok Aktual]]&lt;&gt;"",REKAP[[#This Row],[Stok Aktual]]-REKAP[[#This Row],[Stok Akhir]],0)</f>
        <v>0</v>
      </c>
      <c r="S380" s="132"/>
      <c r="T380" s="137">
        <f>IF(REKAP[[#This Row],[Selisih]]&lt;=-1,REKAP[[#This Row],[Harga Satuan]]*REKAP[[#This Row],[Selisih]],0)</f>
        <v>0</v>
      </c>
    </row>
    <row r="381" spans="1:20" x14ac:dyDescent="0.25">
      <c r="A381" s="55" t="s">
        <v>573</v>
      </c>
      <c r="B381" s="55" t="s">
        <v>3407</v>
      </c>
      <c r="C381" s="55" t="s">
        <v>3406</v>
      </c>
      <c r="D381" s="56" t="s">
        <v>3414</v>
      </c>
      <c r="E381" s="57" t="s">
        <v>3408</v>
      </c>
      <c r="F381" s="75" t="s">
        <v>251</v>
      </c>
      <c r="G381" s="55"/>
      <c r="H381" s="58">
        <v>200</v>
      </c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>
        <v>10</v>
      </c>
      <c r="M381" s="74">
        <f>SUMIF(MASUK!$C:$C,REKAP[[#This Row],[ID]],MASUK!$H:$H)</f>
        <v>13</v>
      </c>
      <c r="N381" s="74">
        <f>SUMIF(KELUAR!$C:$C,REKAP[[#This Row],[ID]],KELUAR!$H:$H)</f>
        <v>8</v>
      </c>
      <c r="O381" s="74">
        <f>REKAP[[#This Row],[Stok Awal]]+REKAP[[#This Row],[Masuk]]-REKAP[[#This Row],[Keluar]]</f>
        <v>15</v>
      </c>
      <c r="P381" s="55">
        <v>15</v>
      </c>
      <c r="Q381" s="62">
        <f>REKAP[[#This Row],[Harga Satuan]]*REKAP[[#This Row],[Stok Akhir]]</f>
        <v>3000</v>
      </c>
      <c r="R381" s="61">
        <f>IF(REKAP[[#This Row],[Stok Aktual]]&lt;&gt;"",REKAP[[#This Row],[Stok Aktual]]-REKAP[[#This Row],[Stok Akhir]],0)</f>
        <v>0</v>
      </c>
      <c r="S381" s="132"/>
      <c r="T381" s="137">
        <f>IF(REKAP[[#This Row],[Selisih]]&lt;=-1,REKAP[[#This Row],[Harga Satuan]]*REKAP[[#This Row],[Selisih]],0)</f>
        <v>0</v>
      </c>
    </row>
    <row r="382" spans="1:20" x14ac:dyDescent="0.25">
      <c r="A382" s="55" t="s">
        <v>574</v>
      </c>
      <c r="B382" s="55" t="s">
        <v>3407</v>
      </c>
      <c r="C382" s="55" t="s">
        <v>3406</v>
      </c>
      <c r="D382" s="56" t="s">
        <v>3415</v>
      </c>
      <c r="E382" s="57" t="s">
        <v>3408</v>
      </c>
      <c r="F382" s="75" t="s">
        <v>251</v>
      </c>
      <c r="G382" s="55"/>
      <c r="H382" s="58">
        <v>300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30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30</v>
      </c>
      <c r="P382" s="55"/>
      <c r="Q382" s="62">
        <f>REKAP[[#This Row],[Harga Satuan]]*REKAP[[#This Row],[Stok Akhir]]</f>
        <v>9000</v>
      </c>
      <c r="R382" s="61">
        <f>IF(REKAP[[#This Row],[Stok Aktual]]&lt;&gt;"",REKAP[[#This Row],[Stok Aktual]]-REKAP[[#This Row],[Stok Akhir]],0)</f>
        <v>0</v>
      </c>
      <c r="S382" s="132"/>
      <c r="T382" s="137">
        <f>IF(REKAP[[#This Row],[Selisih]]&lt;=-1,REKAP[[#This Row],[Harga Satuan]]*REKAP[[#This Row],[Selisih]],0)</f>
        <v>0</v>
      </c>
    </row>
    <row r="383" spans="1:20" x14ac:dyDescent="0.25">
      <c r="A383" s="55" t="s">
        <v>575</v>
      </c>
      <c r="B383" s="55" t="s">
        <v>3407</v>
      </c>
      <c r="C383" s="55" t="s">
        <v>3406</v>
      </c>
      <c r="D383" s="56" t="s">
        <v>3416</v>
      </c>
      <c r="E383" s="57" t="s">
        <v>3408</v>
      </c>
      <c r="F383" s="75" t="s">
        <v>251</v>
      </c>
      <c r="G383" s="55"/>
      <c r="H383" s="58">
        <v>400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18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18</v>
      </c>
      <c r="P383" s="55"/>
      <c r="Q383" s="62">
        <f>REKAP[[#This Row],[Harga Satuan]]*REKAP[[#This Row],[Stok Akhir]]</f>
        <v>7200</v>
      </c>
      <c r="R383" s="61">
        <f>IF(REKAP[[#This Row],[Stok Aktual]]&lt;&gt;"",REKAP[[#This Row],[Stok Aktual]]-REKAP[[#This Row],[Stok Akhir]],0)</f>
        <v>0</v>
      </c>
      <c r="S383" s="132"/>
      <c r="T383" s="137">
        <f>IF(REKAP[[#This Row],[Selisih]]&lt;=-1,REKAP[[#This Row],[Harga Satuan]]*REKAP[[#This Row],[Selisih]],0)</f>
        <v>0</v>
      </c>
    </row>
    <row r="384" spans="1:20" x14ac:dyDescent="0.25">
      <c r="A384" s="55" t="s">
        <v>576</v>
      </c>
      <c r="B384" s="55" t="s">
        <v>3407</v>
      </c>
      <c r="C384" s="55" t="s">
        <v>3406</v>
      </c>
      <c r="D384" s="56" t="s">
        <v>3417</v>
      </c>
      <c r="E384" s="57" t="s">
        <v>3408</v>
      </c>
      <c r="F384" s="75" t="s">
        <v>251</v>
      </c>
      <c r="G384" s="55"/>
      <c r="H384" s="58">
        <v>1000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26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26</v>
      </c>
      <c r="P384" s="55"/>
      <c r="Q384" s="62">
        <f>REKAP[[#This Row],[Harga Satuan]]*REKAP[[#This Row],[Stok Akhir]]</f>
        <v>26000</v>
      </c>
      <c r="R384" s="61">
        <f>IF(REKAP[[#This Row],[Stok Aktual]]&lt;&gt;"",REKAP[[#This Row],[Stok Aktual]]-REKAP[[#This Row],[Stok Akhir]],0)</f>
        <v>0</v>
      </c>
      <c r="S384" s="132"/>
      <c r="T384" s="137">
        <f>IF(REKAP[[#This Row],[Selisih]]&lt;=-1,REKAP[[#This Row],[Harga Satuan]]*REKAP[[#This Row],[Selisih]],0)</f>
        <v>0</v>
      </c>
    </row>
    <row r="385" spans="1:20" x14ac:dyDescent="0.25">
      <c r="A385" s="55" t="s">
        <v>577</v>
      </c>
      <c r="B385" s="55" t="s">
        <v>3407</v>
      </c>
      <c r="C385" s="55" t="s">
        <v>3406</v>
      </c>
      <c r="D385" s="56" t="s">
        <v>3418</v>
      </c>
      <c r="E385" s="57" t="s">
        <v>3408</v>
      </c>
      <c r="F385" s="75" t="s">
        <v>251</v>
      </c>
      <c r="G385" s="55" t="s">
        <v>10</v>
      </c>
      <c r="H385" s="58">
        <v>1100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1</v>
      </c>
      <c r="K385" s="60">
        <f>REKAP[[#This Row],[Trx In]]+REKAP[[#This Row],[Trx Out]]</f>
        <v>1</v>
      </c>
      <c r="L385" s="55">
        <v>35</v>
      </c>
      <c r="M385" s="74">
        <f>SUMIF(MASUK!$C:$C,REKAP[[#This Row],[ID]],MASUK!$H:$H)</f>
        <v>0</v>
      </c>
      <c r="N385" s="74">
        <f>SUMIF(KELUAR!$C:$C,REKAP[[#This Row],[ID]],KELUAR!$H:$H)</f>
        <v>1</v>
      </c>
      <c r="O385" s="74">
        <f>REKAP[[#This Row],[Stok Awal]]+REKAP[[#This Row],[Masuk]]-REKAP[[#This Row],[Keluar]]</f>
        <v>34</v>
      </c>
      <c r="P385" s="55">
        <v>34</v>
      </c>
      <c r="Q385" s="62">
        <f>REKAP[[#This Row],[Harga Satuan]]*REKAP[[#This Row],[Stok Akhir]]</f>
        <v>37400</v>
      </c>
      <c r="R385" s="61">
        <f>IF(REKAP[[#This Row],[Stok Aktual]]&lt;&gt;"",REKAP[[#This Row],[Stok Aktual]]-REKAP[[#This Row],[Stok Akhir]],0)</f>
        <v>0</v>
      </c>
      <c r="S385" s="132"/>
      <c r="T385" s="137">
        <f>IF(REKAP[[#This Row],[Selisih]]&lt;=-1,REKAP[[#This Row],[Harga Satuan]]*REKAP[[#This Row],[Selisih]],0)</f>
        <v>0</v>
      </c>
    </row>
    <row r="386" spans="1:20" x14ac:dyDescent="0.25">
      <c r="A386" s="55" t="s">
        <v>578</v>
      </c>
      <c r="B386" s="55" t="s">
        <v>3419</v>
      </c>
      <c r="C386" s="55" t="s">
        <v>3406</v>
      </c>
      <c r="D386" s="56" t="s">
        <v>3412</v>
      </c>
      <c r="E386" s="57" t="s">
        <v>3329</v>
      </c>
      <c r="F386" s="75" t="s">
        <v>251</v>
      </c>
      <c r="G386" s="55"/>
      <c r="H386" s="58">
        <v>18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250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250</v>
      </c>
      <c r="P386" s="55"/>
      <c r="Q386" s="62">
        <f>REKAP[[#This Row],[Harga Satuan]]*REKAP[[#This Row],[Stok Akhir]]</f>
        <v>4500</v>
      </c>
      <c r="R386" s="61">
        <f>IF(REKAP[[#This Row],[Stok Aktual]]&lt;&gt;"",REKAP[[#This Row],[Stok Aktual]]-REKAP[[#This Row],[Stok Akhir]],0)</f>
        <v>0</v>
      </c>
      <c r="S386" s="132"/>
      <c r="T386" s="137">
        <f>IF(REKAP[[#This Row],[Selisih]]&lt;=-1,REKAP[[#This Row],[Harga Satuan]]*REKAP[[#This Row],[Selisih]],0)</f>
        <v>0</v>
      </c>
    </row>
    <row r="387" spans="1:20" x14ac:dyDescent="0.25">
      <c r="A387" s="55" t="s">
        <v>579</v>
      </c>
      <c r="B387" s="55" t="s">
        <v>3421</v>
      </c>
      <c r="C387" s="55" t="s">
        <v>3420</v>
      </c>
      <c r="D387" s="56" t="s">
        <v>3412</v>
      </c>
      <c r="E387" s="57" t="s">
        <v>3424</v>
      </c>
      <c r="F387" s="75" t="s">
        <v>251</v>
      </c>
      <c r="G387" s="55"/>
      <c r="H387" s="58">
        <v>100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22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22</v>
      </c>
      <c r="P387" s="55"/>
      <c r="Q387" s="62">
        <f>REKAP[[#This Row],[Harga Satuan]]*REKAP[[#This Row],[Stok Akhir]]</f>
        <v>2200</v>
      </c>
      <c r="R387" s="61">
        <f>IF(REKAP[[#This Row],[Stok Aktual]]&lt;&gt;"",REKAP[[#This Row],[Stok Aktual]]-REKAP[[#This Row],[Stok Akhir]],0)</f>
        <v>0</v>
      </c>
      <c r="S387" s="132"/>
      <c r="T387" s="137">
        <f>IF(REKAP[[#This Row],[Selisih]]&lt;=-1,REKAP[[#This Row],[Harga Satuan]]*REKAP[[#This Row],[Selisih]],0)</f>
        <v>0</v>
      </c>
    </row>
    <row r="388" spans="1:20" x14ac:dyDescent="0.25">
      <c r="A388" s="55" t="s">
        <v>580</v>
      </c>
      <c r="B388" s="55" t="s">
        <v>3421</v>
      </c>
      <c r="C388" s="55" t="s">
        <v>3420</v>
      </c>
      <c r="D388" s="56" t="s">
        <v>3413</v>
      </c>
      <c r="E388" s="57" t="s">
        <v>3424</v>
      </c>
      <c r="F388" s="75" t="s">
        <v>251</v>
      </c>
      <c r="G388" s="55"/>
      <c r="H388" s="58">
        <v>100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1</v>
      </c>
      <c r="K388" s="60">
        <f>REKAP[[#This Row],[Trx In]]+REKAP[[#This Row],[Trx Out]]</f>
        <v>1</v>
      </c>
      <c r="L388" s="55">
        <v>52</v>
      </c>
      <c r="M388" s="74">
        <f>SUMIF(MASUK!$C:$C,REKAP[[#This Row],[ID]],MASUK!$H:$H)</f>
        <v>0</v>
      </c>
      <c r="N388" s="74">
        <f>SUMIF(KELUAR!$C:$C,REKAP[[#This Row],[ID]],KELUAR!$H:$H)</f>
        <v>16</v>
      </c>
      <c r="O388" s="74">
        <f>REKAP[[#This Row],[Stok Awal]]+REKAP[[#This Row],[Masuk]]-REKAP[[#This Row],[Keluar]]</f>
        <v>36</v>
      </c>
      <c r="P388" s="55">
        <v>36</v>
      </c>
      <c r="Q388" s="62">
        <f>REKAP[[#This Row],[Harga Satuan]]*REKAP[[#This Row],[Stok Akhir]]</f>
        <v>3600</v>
      </c>
      <c r="R388" s="61">
        <f>IF(REKAP[[#This Row],[Stok Aktual]]&lt;&gt;"",REKAP[[#This Row],[Stok Aktual]]-REKAP[[#This Row],[Stok Akhir]],0)</f>
        <v>0</v>
      </c>
      <c r="S388" s="132"/>
      <c r="T388" s="137">
        <f>IF(REKAP[[#This Row],[Selisih]]&lt;=-1,REKAP[[#This Row],[Harga Satuan]]*REKAP[[#This Row],[Selisih]],0)</f>
        <v>0</v>
      </c>
    </row>
    <row r="389" spans="1:20" x14ac:dyDescent="0.25">
      <c r="A389" s="55" t="s">
        <v>581</v>
      </c>
      <c r="B389" s="55" t="s">
        <v>3421</v>
      </c>
      <c r="C389" s="55" t="s">
        <v>3420</v>
      </c>
      <c r="D389" s="56" t="s">
        <v>3414</v>
      </c>
      <c r="E389" s="57" t="s">
        <v>3424</v>
      </c>
      <c r="F389" s="75" t="s">
        <v>251</v>
      </c>
      <c r="G389" s="55"/>
      <c r="H389" s="58">
        <v>1750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55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55</v>
      </c>
      <c r="P389" s="55"/>
      <c r="Q389" s="62">
        <f>REKAP[[#This Row],[Harga Satuan]]*REKAP[[#This Row],[Stok Akhir]]</f>
        <v>96250</v>
      </c>
      <c r="R389" s="61">
        <f>IF(REKAP[[#This Row],[Stok Aktual]]&lt;&gt;"",REKAP[[#This Row],[Stok Aktual]]-REKAP[[#This Row],[Stok Akhir]],0)</f>
        <v>0</v>
      </c>
      <c r="S389" s="132"/>
      <c r="T389" s="137">
        <f>IF(REKAP[[#This Row],[Selisih]]&lt;=-1,REKAP[[#This Row],[Harga Satuan]]*REKAP[[#This Row],[Selisih]],0)</f>
        <v>0</v>
      </c>
    </row>
    <row r="390" spans="1:20" x14ac:dyDescent="0.25">
      <c r="A390" s="55" t="s">
        <v>582</v>
      </c>
      <c r="B390" s="55" t="s">
        <v>3421</v>
      </c>
      <c r="C390" s="55" t="s">
        <v>3420</v>
      </c>
      <c r="D390" s="56" t="s">
        <v>3415</v>
      </c>
      <c r="E390" s="57" t="s">
        <v>3424</v>
      </c>
      <c r="F390" s="75" t="s">
        <v>251</v>
      </c>
      <c r="G390" s="55" t="s">
        <v>10</v>
      </c>
      <c r="H390" s="58">
        <v>300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41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41</v>
      </c>
      <c r="P390" s="55"/>
      <c r="Q390" s="62">
        <f>REKAP[[#This Row],[Harga Satuan]]*REKAP[[#This Row],[Stok Akhir]]</f>
        <v>12300</v>
      </c>
      <c r="R390" s="61">
        <f>IF(REKAP[[#This Row],[Stok Aktual]]&lt;&gt;"",REKAP[[#This Row],[Stok Aktual]]-REKAP[[#This Row],[Stok Akhir]],0)</f>
        <v>0</v>
      </c>
      <c r="S390" s="132"/>
      <c r="T390" s="137">
        <f>IF(REKAP[[#This Row],[Selisih]]&lt;=-1,REKAP[[#This Row],[Harga Satuan]]*REKAP[[#This Row],[Selisih]],0)</f>
        <v>0</v>
      </c>
    </row>
    <row r="391" spans="1:20" x14ac:dyDescent="0.25">
      <c r="A391" s="55" t="s">
        <v>583</v>
      </c>
      <c r="B391" s="55" t="s">
        <v>3421</v>
      </c>
      <c r="C391" s="55" t="s">
        <v>3420</v>
      </c>
      <c r="D391" s="56" t="s">
        <v>3423</v>
      </c>
      <c r="E391" s="57" t="s">
        <v>3424</v>
      </c>
      <c r="F391" s="75" t="s">
        <v>251</v>
      </c>
      <c r="G391" s="55" t="s">
        <v>10</v>
      </c>
      <c r="H391" s="58">
        <v>500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16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16</v>
      </c>
      <c r="P391" s="55"/>
      <c r="Q391" s="62">
        <f>REKAP[[#This Row],[Harga Satuan]]*REKAP[[#This Row],[Stok Akhir]]</f>
        <v>8000</v>
      </c>
      <c r="R391" s="61">
        <f>IF(REKAP[[#This Row],[Stok Aktual]]&lt;&gt;"",REKAP[[#This Row],[Stok Aktual]]-REKAP[[#This Row],[Stok Akhir]],0)</f>
        <v>0</v>
      </c>
      <c r="S391" s="132"/>
      <c r="T391" s="137">
        <f>IF(REKAP[[#This Row],[Selisih]]&lt;=-1,REKAP[[#This Row],[Harga Satuan]]*REKAP[[#This Row],[Selisih]],0)</f>
        <v>0</v>
      </c>
    </row>
    <row r="392" spans="1:20" x14ac:dyDescent="0.25">
      <c r="A392" s="55" t="s">
        <v>584</v>
      </c>
      <c r="B392" s="55" t="s">
        <v>3422</v>
      </c>
      <c r="C392" s="55" t="s">
        <v>3420</v>
      </c>
      <c r="D392" s="56" t="s">
        <v>3412</v>
      </c>
      <c r="E392" s="57" t="s">
        <v>3329</v>
      </c>
      <c r="F392" s="75" t="s">
        <v>251</v>
      </c>
      <c r="G392" s="55"/>
      <c r="H392" s="58">
        <v>300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>
        <f>IF(REKAP[[#This Row],[Stok Aktual]]&lt;&gt;"",REKAP[[#This Row],[Stok Aktual]]-REKAP[[#This Row],[Stok Akhir]],0)</f>
        <v>0</v>
      </c>
      <c r="S392" s="132"/>
      <c r="T392" s="137">
        <f>IF(REKAP[[#This Row],[Selisih]]&lt;=-1,REKAP[[#This Row],[Harga Satuan]]*REKAP[[#This Row],[Selisih]],0)</f>
        <v>0</v>
      </c>
    </row>
    <row r="393" spans="1:20" x14ac:dyDescent="0.25">
      <c r="A393" s="55" t="s">
        <v>585</v>
      </c>
      <c r="B393" s="55" t="s">
        <v>3425</v>
      </c>
      <c r="C393" s="55" t="s">
        <v>3426</v>
      </c>
      <c r="D393" s="56" t="s">
        <v>3429</v>
      </c>
      <c r="E393" s="57" t="s">
        <v>3424</v>
      </c>
      <c r="F393" s="75" t="s">
        <v>251</v>
      </c>
      <c r="G393" s="55"/>
      <c r="H393" s="58">
        <v>100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11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11</v>
      </c>
      <c r="P393" s="55"/>
      <c r="Q393" s="62">
        <f>REKAP[[#This Row],[Harga Satuan]]*REKAP[[#This Row],[Stok Akhir]]</f>
        <v>1100</v>
      </c>
      <c r="R393" s="61">
        <f>IF(REKAP[[#This Row],[Stok Aktual]]&lt;&gt;"",REKAP[[#This Row],[Stok Aktual]]-REKAP[[#This Row],[Stok Akhir]],0)</f>
        <v>0</v>
      </c>
      <c r="S393" s="132"/>
      <c r="T393" s="137">
        <f>IF(REKAP[[#This Row],[Selisih]]&lt;=-1,REKAP[[#This Row],[Harga Satuan]]*REKAP[[#This Row],[Selisih]],0)</f>
        <v>0</v>
      </c>
    </row>
    <row r="394" spans="1:20" x14ac:dyDescent="0.25">
      <c r="A394" s="55" t="s">
        <v>586</v>
      </c>
      <c r="B394" s="55" t="s">
        <v>3425</v>
      </c>
      <c r="C394" s="55" t="s">
        <v>3426</v>
      </c>
      <c r="D394" s="56" t="s">
        <v>3410</v>
      </c>
      <c r="E394" s="57" t="s">
        <v>3424</v>
      </c>
      <c r="F394" s="75" t="s">
        <v>251</v>
      </c>
      <c r="G394" s="55"/>
      <c r="H394" s="58">
        <v>300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1</v>
      </c>
      <c r="K394" s="60">
        <f>REKAP[[#This Row],[Trx In]]+REKAP[[#This Row],[Trx Out]]</f>
        <v>1</v>
      </c>
      <c r="L394" s="55">
        <v>14</v>
      </c>
      <c r="M394" s="74">
        <f>SUMIF(MASUK!$C:$C,REKAP[[#This Row],[ID]],MASUK!$H:$H)</f>
        <v>0</v>
      </c>
      <c r="N394" s="74">
        <f>SUMIF(KELUAR!$C:$C,REKAP[[#This Row],[ID]],KELUAR!$H:$H)</f>
        <v>4</v>
      </c>
      <c r="O394" s="74">
        <f>REKAP[[#This Row],[Stok Awal]]+REKAP[[#This Row],[Masuk]]-REKAP[[#This Row],[Keluar]]</f>
        <v>10</v>
      </c>
      <c r="P394" s="55">
        <v>10</v>
      </c>
      <c r="Q394" s="62">
        <f>REKAP[[#This Row],[Harga Satuan]]*REKAP[[#This Row],[Stok Akhir]]</f>
        <v>3000</v>
      </c>
      <c r="R394" s="61">
        <f>IF(REKAP[[#This Row],[Stok Aktual]]&lt;&gt;"",REKAP[[#This Row],[Stok Aktual]]-REKAP[[#This Row],[Stok Akhir]],0)</f>
        <v>0</v>
      </c>
      <c r="S394" s="132"/>
      <c r="T394" s="137">
        <f>IF(REKAP[[#This Row],[Selisih]]&lt;=-1,REKAP[[#This Row],[Harga Satuan]]*REKAP[[#This Row],[Selisih]],0)</f>
        <v>0</v>
      </c>
    </row>
    <row r="395" spans="1:20" x14ac:dyDescent="0.25">
      <c r="A395" s="55" t="s">
        <v>587</v>
      </c>
      <c r="B395" s="55" t="s">
        <v>3425</v>
      </c>
      <c r="C395" s="55" t="s">
        <v>3426</v>
      </c>
      <c r="D395" s="56" t="s">
        <v>3411</v>
      </c>
      <c r="E395" s="57" t="s">
        <v>3424</v>
      </c>
      <c r="F395" s="75" t="s">
        <v>251</v>
      </c>
      <c r="G395" s="55" t="s">
        <v>10</v>
      </c>
      <c r="H395" s="58">
        <v>100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2</v>
      </c>
      <c r="K395" s="60">
        <f>REKAP[[#This Row],[Trx In]]+REKAP[[#This Row],[Trx Out]]</f>
        <v>2</v>
      </c>
      <c r="L395" s="55">
        <v>31</v>
      </c>
      <c r="M395" s="74">
        <f>SUMIF(MASUK!$C:$C,REKAP[[#This Row],[ID]],MASUK!$H:$H)</f>
        <v>0</v>
      </c>
      <c r="N395" s="74">
        <f>SUMIF(KELUAR!$C:$C,REKAP[[#This Row],[ID]],KELUAR!$H:$H)</f>
        <v>2</v>
      </c>
      <c r="O395" s="74">
        <f>REKAP[[#This Row],[Stok Awal]]+REKAP[[#This Row],[Masuk]]-REKAP[[#This Row],[Keluar]]</f>
        <v>29</v>
      </c>
      <c r="P395" s="55">
        <v>29</v>
      </c>
      <c r="Q395" s="62">
        <f>REKAP[[#This Row],[Harga Satuan]]*REKAP[[#This Row],[Stok Akhir]]</f>
        <v>2900</v>
      </c>
      <c r="R395" s="61">
        <f>IF(REKAP[[#This Row],[Stok Aktual]]&lt;&gt;"",REKAP[[#This Row],[Stok Aktual]]-REKAP[[#This Row],[Stok Akhir]],0)</f>
        <v>0</v>
      </c>
      <c r="S395" s="132"/>
      <c r="T395" s="137">
        <f>IF(REKAP[[#This Row],[Selisih]]&lt;=-1,REKAP[[#This Row],[Harga Satuan]]*REKAP[[#This Row],[Selisih]],0)</f>
        <v>0</v>
      </c>
    </row>
    <row r="396" spans="1:20" x14ac:dyDescent="0.25">
      <c r="A396" s="55" t="s">
        <v>588</v>
      </c>
      <c r="B396" s="55" t="s">
        <v>3425</v>
      </c>
      <c r="C396" s="55" t="s">
        <v>3426</v>
      </c>
      <c r="D396" s="56" t="s">
        <v>3412</v>
      </c>
      <c r="E396" s="57" t="s">
        <v>3424</v>
      </c>
      <c r="F396" s="75" t="s">
        <v>251</v>
      </c>
      <c r="G396" s="55"/>
      <c r="H396" s="58">
        <v>100</v>
      </c>
      <c r="I396" s="59">
        <f>IF(COUNTIF(MASUK[Kode Barang],REKAP[[#This Row],[ID]])=0,0,COUNTIF(MASUK[Kode Barang],REKAP[[#This Row],[ID]]))</f>
        <v>2</v>
      </c>
      <c r="J396" s="59">
        <f>IF(COUNTIF(MASUK8[Kode Barang],REKAP[[#This Row],[ID]])=0,0,COUNTIF(MASUK8[Kode Barang],REKAP[[#This Row],[ID]]))</f>
        <v>2</v>
      </c>
      <c r="K396" s="60">
        <f>REKAP[[#This Row],[Trx In]]+REKAP[[#This Row],[Trx Out]]</f>
        <v>4</v>
      </c>
      <c r="L396" s="55">
        <v>19</v>
      </c>
      <c r="M396" s="74">
        <f>SUMIF(MASUK!$C:$C,REKAP[[#This Row],[ID]],MASUK!$H:$H)</f>
        <v>12</v>
      </c>
      <c r="N396" s="74">
        <f>SUMIF(KELUAR!$C:$C,REKAP[[#This Row],[ID]],KELUAR!$H:$H)</f>
        <v>5</v>
      </c>
      <c r="O396" s="74">
        <f>REKAP[[#This Row],[Stok Awal]]+REKAP[[#This Row],[Masuk]]-REKAP[[#This Row],[Keluar]]</f>
        <v>26</v>
      </c>
      <c r="P396" s="55">
        <v>26</v>
      </c>
      <c r="Q396" s="62">
        <f>REKAP[[#This Row],[Harga Satuan]]*REKAP[[#This Row],[Stok Akhir]]</f>
        <v>2600</v>
      </c>
      <c r="R396" s="61">
        <f>IF(REKAP[[#This Row],[Stok Aktual]]&lt;&gt;"",REKAP[[#This Row],[Stok Aktual]]-REKAP[[#This Row],[Stok Akhir]],0)</f>
        <v>0</v>
      </c>
      <c r="S396" s="132"/>
      <c r="T396" s="137">
        <f>IF(REKAP[[#This Row],[Selisih]]&lt;=-1,REKAP[[#This Row],[Harga Satuan]]*REKAP[[#This Row],[Selisih]],0)</f>
        <v>0</v>
      </c>
    </row>
    <row r="397" spans="1:20" x14ac:dyDescent="0.25">
      <c r="A397" s="55" t="s">
        <v>589</v>
      </c>
      <c r="B397" s="55" t="s">
        <v>3427</v>
      </c>
      <c r="C397" s="55" t="s">
        <v>3427</v>
      </c>
      <c r="D397" s="56" t="s">
        <v>3412</v>
      </c>
      <c r="E397" s="57" t="s">
        <v>3424</v>
      </c>
      <c r="F397" s="75" t="s">
        <v>251</v>
      </c>
      <c r="G397" s="55" t="s">
        <v>10</v>
      </c>
      <c r="H397" s="58">
        <v>250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0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>
        <f>IF(REKAP[[#This Row],[Stok Aktual]]&lt;&gt;"",REKAP[[#This Row],[Stok Aktual]]-REKAP[[#This Row],[Stok Akhir]],0)</f>
        <v>0</v>
      </c>
      <c r="S397" s="132"/>
      <c r="T397" s="137">
        <f>IF(REKAP[[#This Row],[Selisih]]&lt;=-1,REKAP[[#This Row],[Harga Satuan]]*REKAP[[#This Row],[Selisih]],0)</f>
        <v>0</v>
      </c>
    </row>
    <row r="398" spans="1:20" x14ac:dyDescent="0.25">
      <c r="A398" s="55" t="s">
        <v>590</v>
      </c>
      <c r="B398" s="55" t="s">
        <v>3425</v>
      </c>
      <c r="C398" s="55" t="s">
        <v>3426</v>
      </c>
      <c r="D398" s="56" t="s">
        <v>3413</v>
      </c>
      <c r="E398" s="57" t="s">
        <v>3424</v>
      </c>
      <c r="F398" s="75" t="s">
        <v>251</v>
      </c>
      <c r="G398" s="55" t="s">
        <v>10</v>
      </c>
      <c r="H398" s="58">
        <v>120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14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14</v>
      </c>
      <c r="P398" s="55"/>
      <c r="Q398" s="62">
        <f>REKAP[[#This Row],[Harga Satuan]]*REKAP[[#This Row],[Stok Akhir]]</f>
        <v>1680</v>
      </c>
      <c r="R398" s="61">
        <f>IF(REKAP[[#This Row],[Stok Aktual]]&lt;&gt;"",REKAP[[#This Row],[Stok Aktual]]-REKAP[[#This Row],[Stok Akhir]],0)</f>
        <v>0</v>
      </c>
      <c r="S398" s="132"/>
      <c r="T398" s="137">
        <f>IF(REKAP[[#This Row],[Selisih]]&lt;=-1,REKAP[[#This Row],[Harga Satuan]]*REKAP[[#This Row],[Selisih]],0)</f>
        <v>0</v>
      </c>
    </row>
    <row r="399" spans="1:20" x14ac:dyDescent="0.25">
      <c r="A399" s="55" t="s">
        <v>591</v>
      </c>
      <c r="B399" s="55" t="s">
        <v>3427</v>
      </c>
      <c r="C399" s="55" t="s">
        <v>3427</v>
      </c>
      <c r="D399" s="56" t="s">
        <v>3413</v>
      </c>
      <c r="E399" s="57" t="s">
        <v>3424</v>
      </c>
      <c r="F399" s="75" t="s">
        <v>251</v>
      </c>
      <c r="G399" s="55" t="s">
        <v>10</v>
      </c>
      <c r="H399" s="58">
        <v>500</v>
      </c>
      <c r="I399" s="59">
        <f>IF(COUNTIF(MASUK[Kode Barang],REKAP[[#This Row],[ID]])=0,0,COUNTIF(MASUK[Kode Barang],REKAP[[#This Row],[ID]]))</f>
        <v>0</v>
      </c>
      <c r="J399" s="59">
        <f>IF(COUNTIF(MASUK8[Kode Barang],REKAP[[#This Row],[ID]])=0,0,COUNTIF(MASUK8[Kode Barang],REKAP[[#This Row],[ID]]))</f>
        <v>0</v>
      </c>
      <c r="K399" s="60">
        <f>REKAP[[#This Row],[Trx In]]+REKAP[[#This Row],[Trx Out]]</f>
        <v>0</v>
      </c>
      <c r="L399" s="55">
        <v>0</v>
      </c>
      <c r="M399" s="74">
        <f>SUMIF(MASUK!$C:$C,REKAP[[#This Row],[ID]],MASUK!$H:$H)</f>
        <v>0</v>
      </c>
      <c r="N399" s="74">
        <f>SUMIF(KELUAR!$C:$C,REKAP[[#This Row],[ID]],KELUAR!$H:$H)</f>
        <v>0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>
        <f>IF(REKAP[[#This Row],[Stok Aktual]]&lt;&gt;"",REKAP[[#This Row],[Stok Aktual]]-REKAP[[#This Row],[Stok Akhir]],0)</f>
        <v>0</v>
      </c>
      <c r="S399" s="132"/>
      <c r="T399" s="137">
        <f>IF(REKAP[[#This Row],[Selisih]]&lt;=-1,REKAP[[#This Row],[Harga Satuan]]*REKAP[[#This Row],[Selisih]],0)</f>
        <v>0</v>
      </c>
    </row>
    <row r="400" spans="1:20" x14ac:dyDescent="0.25">
      <c r="A400" s="55" t="s">
        <v>592</v>
      </c>
      <c r="B400" s="55" t="s">
        <v>3425</v>
      </c>
      <c r="C400" s="55" t="s">
        <v>3426</v>
      </c>
      <c r="D400" s="56" t="s">
        <v>3413</v>
      </c>
      <c r="E400" s="57" t="s">
        <v>3424</v>
      </c>
      <c r="F400" s="75" t="s">
        <v>251</v>
      </c>
      <c r="G400" s="55"/>
      <c r="H400" s="58">
        <v>250</v>
      </c>
      <c r="I400" s="59">
        <f>IF(COUNTIF(MASUK[Kode Barang],REKAP[[#This Row],[ID]])=0,0,COUNTIF(MASUK[Kode Barang],REKAP[[#This Row],[ID]]))</f>
        <v>0</v>
      </c>
      <c r="J400" s="59">
        <f>IF(COUNTIF(MASUK8[Kode Barang],REKAP[[#This Row],[ID]])=0,0,COUNTIF(MASUK8[Kode Barang],REKAP[[#This Row],[ID]]))</f>
        <v>0</v>
      </c>
      <c r="K400" s="60">
        <f>REKAP[[#This Row],[Trx In]]+REKAP[[#This Row],[Trx Out]]</f>
        <v>0</v>
      </c>
      <c r="L400" s="55">
        <v>4</v>
      </c>
      <c r="M400" s="74">
        <f>SUMIF(MASUK!$C:$C,REKAP[[#This Row],[ID]],MASUK!$H:$H)</f>
        <v>0</v>
      </c>
      <c r="N400" s="74">
        <f>SUMIF(KELUAR!$C:$C,REKAP[[#This Row],[ID]],KELUAR!$H:$H)</f>
        <v>0</v>
      </c>
      <c r="O400" s="74">
        <f>REKAP[[#This Row],[Stok Awal]]+REKAP[[#This Row],[Masuk]]-REKAP[[#This Row],[Keluar]]</f>
        <v>4</v>
      </c>
      <c r="P400" s="55"/>
      <c r="Q400" s="62">
        <f>REKAP[[#This Row],[Harga Satuan]]*REKAP[[#This Row],[Stok Akhir]]</f>
        <v>1000</v>
      </c>
      <c r="R400" s="61">
        <f>IF(REKAP[[#This Row],[Stok Aktual]]&lt;&gt;"",REKAP[[#This Row],[Stok Aktual]]-REKAP[[#This Row],[Stok Akhir]],0)</f>
        <v>0</v>
      </c>
      <c r="S400" s="132"/>
      <c r="T400" s="137">
        <f>IF(REKAP[[#This Row],[Selisih]]&lt;=-1,REKAP[[#This Row],[Harga Satuan]]*REKAP[[#This Row],[Selisih]],0)</f>
        <v>0</v>
      </c>
    </row>
    <row r="401" spans="1:20" x14ac:dyDescent="0.25">
      <c r="A401" s="55" t="s">
        <v>593</v>
      </c>
      <c r="B401" s="55" t="s">
        <v>3425</v>
      </c>
      <c r="C401" s="55" t="s">
        <v>3426</v>
      </c>
      <c r="D401" s="56" t="s">
        <v>3414</v>
      </c>
      <c r="E401" s="57" t="s">
        <v>3424</v>
      </c>
      <c r="F401" s="75" t="s">
        <v>251</v>
      </c>
      <c r="G401" s="55" t="s">
        <v>10</v>
      </c>
      <c r="H401" s="58">
        <v>700</v>
      </c>
      <c r="I401" s="59">
        <f>IF(COUNTIF(MASUK[Kode Barang],REKAP[[#This Row],[ID]])=0,0,COUNTIF(MASUK[Kode Barang],REKAP[[#This Row],[ID]]))</f>
        <v>2</v>
      </c>
      <c r="J401" s="59">
        <f>IF(COUNTIF(MASUK8[Kode Barang],REKAP[[#This Row],[ID]])=0,0,COUNTIF(MASUK8[Kode Barang],REKAP[[#This Row],[ID]]))</f>
        <v>2</v>
      </c>
      <c r="K401" s="60">
        <f>REKAP[[#This Row],[Trx In]]+REKAP[[#This Row],[Trx Out]]</f>
        <v>4</v>
      </c>
      <c r="L401" s="55">
        <v>9</v>
      </c>
      <c r="M401" s="74">
        <f>SUMIF(MASUK!$C:$C,REKAP[[#This Row],[ID]],MASUK!$H:$H)</f>
        <v>32</v>
      </c>
      <c r="N401" s="74">
        <f>SUMIF(KELUAR!$C:$C,REKAP[[#This Row],[ID]],KELUAR!$H:$H)</f>
        <v>20</v>
      </c>
      <c r="O401" s="74">
        <f>REKAP[[#This Row],[Stok Awal]]+REKAP[[#This Row],[Masuk]]-REKAP[[#This Row],[Keluar]]</f>
        <v>21</v>
      </c>
      <c r="P401" s="55">
        <v>21</v>
      </c>
      <c r="Q401" s="62">
        <f>REKAP[[#This Row],[Harga Satuan]]*REKAP[[#This Row],[Stok Akhir]]</f>
        <v>14700</v>
      </c>
      <c r="R401" s="61">
        <f>IF(REKAP[[#This Row],[Stok Aktual]]&lt;&gt;"",REKAP[[#This Row],[Stok Aktual]]-REKAP[[#This Row],[Stok Akhir]],0)</f>
        <v>0</v>
      </c>
      <c r="S401" s="132"/>
      <c r="T401" s="137">
        <f>IF(REKAP[[#This Row],[Selisih]]&lt;=-1,REKAP[[#This Row],[Harga Satuan]]*REKAP[[#This Row],[Selisih]],0)</f>
        <v>0</v>
      </c>
    </row>
    <row r="402" spans="1:20" x14ac:dyDescent="0.25">
      <c r="A402" s="55" t="s">
        <v>594</v>
      </c>
      <c r="B402" s="55" t="s">
        <v>3427</v>
      </c>
      <c r="C402" s="55" t="s">
        <v>3427</v>
      </c>
      <c r="D402" s="56" t="s">
        <v>3414</v>
      </c>
      <c r="E402" s="57" t="s">
        <v>3424</v>
      </c>
      <c r="F402" s="75" t="s">
        <v>251</v>
      </c>
      <c r="G402" s="55" t="s">
        <v>10</v>
      </c>
      <c r="H402" s="58">
        <v>1000</v>
      </c>
      <c r="I402" s="59">
        <f>IF(COUNTIF(MASUK[Kode Barang],REKAP[[#This Row],[ID]])=0,0,COUNTIF(MASUK[Kode Barang],REKAP[[#This Row],[ID]]))</f>
        <v>1</v>
      </c>
      <c r="J402" s="59">
        <f>IF(COUNTIF(MASUK8[Kode Barang],REKAP[[#This Row],[ID]])=0,0,COUNTIF(MASUK8[Kode Barang],REKAP[[#This Row],[ID]]))</f>
        <v>1</v>
      </c>
      <c r="K402" s="60">
        <f>REKAP[[#This Row],[Trx In]]+REKAP[[#This Row],[Trx Out]]</f>
        <v>2</v>
      </c>
      <c r="L402" s="55">
        <v>13</v>
      </c>
      <c r="M402" s="74">
        <f>SUMIF(MASUK!$C:$C,REKAP[[#This Row],[ID]],MASUK!$H:$H)</f>
        <v>8</v>
      </c>
      <c r="N402" s="74">
        <f>SUMIF(KELUAR!$C:$C,REKAP[[#This Row],[ID]],KELUAR!$H:$H)</f>
        <v>8</v>
      </c>
      <c r="O402" s="74">
        <f>REKAP[[#This Row],[Stok Awal]]+REKAP[[#This Row],[Masuk]]-REKAP[[#This Row],[Keluar]]</f>
        <v>13</v>
      </c>
      <c r="P402" s="55">
        <v>15</v>
      </c>
      <c r="Q402" s="62">
        <f>REKAP[[#This Row],[Harga Satuan]]*REKAP[[#This Row],[Stok Akhir]]</f>
        <v>13000</v>
      </c>
      <c r="R402" s="61">
        <f>IF(REKAP[[#This Row],[Stok Aktual]]&lt;&gt;"",REKAP[[#This Row],[Stok Aktual]]-REKAP[[#This Row],[Stok Akhir]],0)</f>
        <v>2</v>
      </c>
      <c r="S402" s="132"/>
      <c r="T402" s="137">
        <f>IF(REKAP[[#This Row],[Selisih]]&lt;=-1,REKAP[[#This Row],[Harga Satuan]]*REKAP[[#This Row],[Selisih]],0)</f>
        <v>0</v>
      </c>
    </row>
    <row r="403" spans="1:20" x14ac:dyDescent="0.25">
      <c r="A403" s="55" t="s">
        <v>595</v>
      </c>
      <c r="B403" s="55" t="s">
        <v>3425</v>
      </c>
      <c r="C403" s="55" t="s">
        <v>3426</v>
      </c>
      <c r="D403" s="56" t="s">
        <v>3415</v>
      </c>
      <c r="E403" s="57" t="s">
        <v>3424</v>
      </c>
      <c r="F403" s="75" t="s">
        <v>251</v>
      </c>
      <c r="G403" s="55"/>
      <c r="H403" s="58">
        <v>900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29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29</v>
      </c>
      <c r="P403" s="55"/>
      <c r="Q403" s="62">
        <f>REKAP[[#This Row],[Harga Satuan]]*REKAP[[#This Row],[Stok Akhir]]</f>
        <v>26100</v>
      </c>
      <c r="R403" s="61">
        <f>IF(REKAP[[#This Row],[Stok Aktual]]&lt;&gt;"",REKAP[[#This Row],[Stok Aktual]]-REKAP[[#This Row],[Stok Akhir]],0)</f>
        <v>0</v>
      </c>
      <c r="S403" s="132"/>
      <c r="T403" s="137">
        <f>IF(REKAP[[#This Row],[Selisih]]&lt;=-1,REKAP[[#This Row],[Harga Satuan]]*REKAP[[#This Row],[Selisih]],0)</f>
        <v>0</v>
      </c>
    </row>
    <row r="404" spans="1:20" x14ac:dyDescent="0.25">
      <c r="A404" s="55" t="s">
        <v>596</v>
      </c>
      <c r="B404" s="55" t="s">
        <v>3427</v>
      </c>
      <c r="C404" s="55" t="s">
        <v>3427</v>
      </c>
      <c r="D404" s="56" t="s">
        <v>3415</v>
      </c>
      <c r="E404" s="57" t="s">
        <v>3424</v>
      </c>
      <c r="F404" s="75" t="s">
        <v>251</v>
      </c>
      <c r="G404" s="55"/>
      <c r="H404" s="58">
        <v>1200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1</v>
      </c>
      <c r="K404" s="60">
        <f>REKAP[[#This Row],[Trx In]]+REKAP[[#This Row],[Trx Out]]</f>
        <v>1</v>
      </c>
      <c r="L404" s="55">
        <v>48</v>
      </c>
      <c r="M404" s="74">
        <f>SUMIF(MASUK!$C:$C,REKAP[[#This Row],[ID]],MASUK!$H:$H)</f>
        <v>0</v>
      </c>
      <c r="N404" s="74">
        <f>SUMIF(KELUAR!$C:$C,REKAP[[#This Row],[ID]],KELUAR!$H:$H)</f>
        <v>16</v>
      </c>
      <c r="O404" s="74">
        <f>REKAP[[#This Row],[Stok Awal]]+REKAP[[#This Row],[Masuk]]-REKAP[[#This Row],[Keluar]]</f>
        <v>32</v>
      </c>
      <c r="P404" s="55">
        <v>32</v>
      </c>
      <c r="Q404" s="62">
        <f>REKAP[[#This Row],[Harga Satuan]]*REKAP[[#This Row],[Stok Akhir]]</f>
        <v>38400</v>
      </c>
      <c r="R404" s="61">
        <f>IF(REKAP[[#This Row],[Stok Aktual]]&lt;&gt;"",REKAP[[#This Row],[Stok Aktual]]-REKAP[[#This Row],[Stok Akhir]],0)</f>
        <v>0</v>
      </c>
      <c r="S404" s="132"/>
      <c r="T404" s="137">
        <f>IF(REKAP[[#This Row],[Selisih]]&lt;=-1,REKAP[[#This Row],[Harga Satuan]]*REKAP[[#This Row],[Selisih]],0)</f>
        <v>0</v>
      </c>
    </row>
    <row r="405" spans="1:20" x14ac:dyDescent="0.25">
      <c r="A405" s="55" t="s">
        <v>597</v>
      </c>
      <c r="B405" s="55" t="s">
        <v>3425</v>
      </c>
      <c r="C405" s="55" t="s">
        <v>3426</v>
      </c>
      <c r="D405" s="56" t="s">
        <v>3430</v>
      </c>
      <c r="E405" s="57" t="s">
        <v>3424</v>
      </c>
      <c r="F405" s="75" t="s">
        <v>251</v>
      </c>
      <c r="G405" s="55"/>
      <c r="H405" s="58">
        <v>750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33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33</v>
      </c>
      <c r="P405" s="55"/>
      <c r="Q405" s="62">
        <f>REKAP[[#This Row],[Harga Satuan]]*REKAP[[#This Row],[Stok Akhir]]</f>
        <v>24750</v>
      </c>
      <c r="R405" s="61">
        <f>IF(REKAP[[#This Row],[Stok Aktual]]&lt;&gt;"",REKAP[[#This Row],[Stok Aktual]]-REKAP[[#This Row],[Stok Akhir]],0)</f>
        <v>0</v>
      </c>
      <c r="S405" s="132"/>
      <c r="T405" s="137">
        <f>IF(REKAP[[#This Row],[Selisih]]&lt;=-1,REKAP[[#This Row],[Harga Satuan]]*REKAP[[#This Row],[Selisih]],0)</f>
        <v>0</v>
      </c>
    </row>
    <row r="406" spans="1:20" x14ac:dyDescent="0.25">
      <c r="A406" s="55" t="s">
        <v>598</v>
      </c>
      <c r="B406" s="55" t="s">
        <v>3425</v>
      </c>
      <c r="C406" s="55" t="s">
        <v>3426</v>
      </c>
      <c r="D406" s="56" t="s">
        <v>3416</v>
      </c>
      <c r="E406" s="57" t="s">
        <v>3424</v>
      </c>
      <c r="F406" s="75" t="s">
        <v>251</v>
      </c>
      <c r="G406" s="55"/>
      <c r="H406" s="58">
        <v>1600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48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48</v>
      </c>
      <c r="P406" s="55"/>
      <c r="Q406" s="62">
        <f>REKAP[[#This Row],[Harga Satuan]]*REKAP[[#This Row],[Stok Akhir]]</f>
        <v>76800</v>
      </c>
      <c r="R406" s="61">
        <f>IF(REKAP[[#This Row],[Stok Aktual]]&lt;&gt;"",REKAP[[#This Row],[Stok Aktual]]-REKAP[[#This Row],[Stok Akhir]],0)</f>
        <v>0</v>
      </c>
      <c r="S406" s="132"/>
      <c r="T406" s="137">
        <f>IF(REKAP[[#This Row],[Selisih]]&lt;=-1,REKAP[[#This Row],[Harga Satuan]]*REKAP[[#This Row],[Selisih]],0)</f>
        <v>0</v>
      </c>
    </row>
    <row r="407" spans="1:20" x14ac:dyDescent="0.25">
      <c r="A407" s="55" t="s">
        <v>599</v>
      </c>
      <c r="B407" s="55" t="s">
        <v>3427</v>
      </c>
      <c r="C407" s="55" t="s">
        <v>3427</v>
      </c>
      <c r="D407" s="56" t="s">
        <v>3416</v>
      </c>
      <c r="E407" s="57" t="s">
        <v>3424</v>
      </c>
      <c r="F407" s="75" t="s">
        <v>251</v>
      </c>
      <c r="G407" s="55" t="s">
        <v>10</v>
      </c>
      <c r="H407" s="58">
        <v>2500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0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0</v>
      </c>
      <c r="P407" s="55"/>
      <c r="Q407" s="62">
        <f>REKAP[[#This Row],[Harga Satuan]]*REKAP[[#This Row],[Stok Akhir]]</f>
        <v>0</v>
      </c>
      <c r="R407" s="61">
        <f>IF(REKAP[[#This Row],[Stok Aktual]]&lt;&gt;"",REKAP[[#This Row],[Stok Aktual]]-REKAP[[#This Row],[Stok Akhir]],0)</f>
        <v>0</v>
      </c>
      <c r="S407" s="132"/>
      <c r="T407" s="137">
        <f>IF(REKAP[[#This Row],[Selisih]]&lt;=-1,REKAP[[#This Row],[Harga Satuan]]*REKAP[[#This Row],[Selisih]],0)</f>
        <v>0</v>
      </c>
    </row>
    <row r="408" spans="1:20" x14ac:dyDescent="0.25">
      <c r="A408" s="55" t="s">
        <v>600</v>
      </c>
      <c r="B408" s="55" t="s">
        <v>3425</v>
      </c>
      <c r="C408" s="55" t="s">
        <v>3426</v>
      </c>
      <c r="D408" s="56" t="s">
        <v>3417</v>
      </c>
      <c r="E408" s="57" t="s">
        <v>3424</v>
      </c>
      <c r="F408" s="75" t="s">
        <v>251</v>
      </c>
      <c r="G408" s="55"/>
      <c r="H408" s="58">
        <v>3500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15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15</v>
      </c>
      <c r="P408" s="55"/>
      <c r="Q408" s="62">
        <f>REKAP[[#This Row],[Harga Satuan]]*REKAP[[#This Row],[Stok Akhir]]</f>
        <v>52500</v>
      </c>
      <c r="R408" s="61">
        <f>IF(REKAP[[#This Row],[Stok Aktual]]&lt;&gt;"",REKAP[[#This Row],[Stok Aktual]]-REKAP[[#This Row],[Stok Akhir]],0)</f>
        <v>0</v>
      </c>
      <c r="S408" s="132"/>
      <c r="T408" s="137">
        <f>IF(REKAP[[#This Row],[Selisih]]&lt;=-1,REKAP[[#This Row],[Harga Satuan]]*REKAP[[#This Row],[Selisih]],0)</f>
        <v>0</v>
      </c>
    </row>
    <row r="409" spans="1:20" x14ac:dyDescent="0.25">
      <c r="A409" s="55" t="s">
        <v>601</v>
      </c>
      <c r="B409" s="55" t="s">
        <v>3425</v>
      </c>
      <c r="C409" s="55" t="s">
        <v>3426</v>
      </c>
      <c r="D409" s="56" t="s">
        <v>3418</v>
      </c>
      <c r="E409" s="57" t="s">
        <v>3424</v>
      </c>
      <c r="F409" s="75" t="s">
        <v>251</v>
      </c>
      <c r="G409" s="55" t="s">
        <v>10</v>
      </c>
      <c r="H409" s="58">
        <v>6500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1</v>
      </c>
      <c r="K409" s="60">
        <f>REKAP[[#This Row],[Trx In]]+REKAP[[#This Row],[Trx Out]]</f>
        <v>1</v>
      </c>
      <c r="L409" s="55">
        <v>30</v>
      </c>
      <c r="M409" s="74">
        <f>SUMIF(MASUK!$C:$C,REKAP[[#This Row],[ID]],MASUK!$H:$H)</f>
        <v>0</v>
      </c>
      <c r="N409" s="74">
        <f>SUMIF(KELUAR!$C:$C,REKAP[[#This Row],[ID]],KELUAR!$H:$H)</f>
        <v>1</v>
      </c>
      <c r="O409" s="74">
        <f>REKAP[[#This Row],[Stok Awal]]+REKAP[[#This Row],[Masuk]]-REKAP[[#This Row],[Keluar]]</f>
        <v>29</v>
      </c>
      <c r="P409" s="55">
        <v>29</v>
      </c>
      <c r="Q409" s="62">
        <f>REKAP[[#This Row],[Harga Satuan]]*REKAP[[#This Row],[Stok Akhir]]</f>
        <v>188500</v>
      </c>
      <c r="R409" s="61">
        <f>IF(REKAP[[#This Row],[Stok Aktual]]&lt;&gt;"",REKAP[[#This Row],[Stok Aktual]]-REKAP[[#This Row],[Stok Akhir]],0)</f>
        <v>0</v>
      </c>
      <c r="S409" s="139"/>
      <c r="T409" s="137">
        <f>IF(REKAP[[#This Row],[Selisih]]&lt;=-1,REKAP[[#This Row],[Harga Satuan]]*REKAP[[#This Row],[Selisih]],0)</f>
        <v>0</v>
      </c>
    </row>
    <row r="410" spans="1:20" x14ac:dyDescent="0.25">
      <c r="A410" s="55" t="s">
        <v>602</v>
      </c>
      <c r="B410" s="55" t="s">
        <v>3428</v>
      </c>
      <c r="C410" s="55" t="s">
        <v>3426</v>
      </c>
      <c r="D410" s="56" t="s">
        <v>3412</v>
      </c>
      <c r="E410" s="57" t="s">
        <v>3329</v>
      </c>
      <c r="F410" s="75" t="s">
        <v>251</v>
      </c>
      <c r="G410" s="55"/>
      <c r="H410" s="58">
        <v>300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3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3</v>
      </c>
      <c r="P410" s="55"/>
      <c r="Q410" s="62">
        <f>REKAP[[#This Row],[Harga Satuan]]*REKAP[[#This Row],[Stok Akhir]]</f>
        <v>900</v>
      </c>
      <c r="R410" s="61">
        <f>IF(REKAP[[#This Row],[Stok Aktual]]&lt;&gt;"",REKAP[[#This Row],[Stok Aktual]]-REKAP[[#This Row],[Stok Akhir]],0)</f>
        <v>0</v>
      </c>
      <c r="S410" s="132"/>
      <c r="T410" s="137">
        <f>IF(REKAP[[#This Row],[Selisih]]&lt;=-1,REKAP[[#This Row],[Harga Satuan]]*REKAP[[#This Row],[Selisih]],0)</f>
        <v>0</v>
      </c>
    </row>
    <row r="411" spans="1:20" x14ac:dyDescent="0.25">
      <c r="A411" s="55" t="s">
        <v>603</v>
      </c>
      <c r="B411" s="55" t="s">
        <v>3432</v>
      </c>
      <c r="C411" s="55" t="s">
        <v>3432</v>
      </c>
      <c r="D411" s="56" t="s">
        <v>3431</v>
      </c>
      <c r="E411" s="57" t="s">
        <v>3424</v>
      </c>
      <c r="F411" s="75" t="s">
        <v>251</v>
      </c>
      <c r="G411" s="55"/>
      <c r="H411" s="58">
        <v>400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>
        <f>IF(REKAP[[#This Row],[Stok Aktual]]&lt;&gt;"",REKAP[[#This Row],[Stok Aktual]]-REKAP[[#This Row],[Stok Akhir]],0)</f>
        <v>0</v>
      </c>
      <c r="S411" s="132"/>
      <c r="T411" s="137">
        <f>IF(REKAP[[#This Row],[Selisih]]&lt;=-1,REKAP[[#This Row],[Harga Satuan]]*REKAP[[#This Row],[Selisih]],0)</f>
        <v>0</v>
      </c>
    </row>
    <row r="412" spans="1:20" x14ac:dyDescent="0.25">
      <c r="A412" s="55" t="s">
        <v>604</v>
      </c>
      <c r="B412" s="55" t="s">
        <v>3434</v>
      </c>
      <c r="C412" s="55" t="s">
        <v>3442</v>
      </c>
      <c r="D412" s="56" t="s">
        <v>236</v>
      </c>
      <c r="E412" s="57" t="s">
        <v>3424</v>
      </c>
      <c r="F412" s="75" t="s">
        <v>251</v>
      </c>
      <c r="G412" s="55"/>
      <c r="H412" s="58">
        <v>700</v>
      </c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0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>
        <f>IF(REKAP[[#This Row],[Stok Aktual]]&lt;&gt;"",REKAP[[#This Row],[Stok Aktual]]-REKAP[[#This Row],[Stok Akhir]],0)</f>
        <v>0</v>
      </c>
      <c r="S412" s="132"/>
      <c r="T412" s="137">
        <f>IF(REKAP[[#This Row],[Selisih]]&lt;=-1,REKAP[[#This Row],[Harga Satuan]]*REKAP[[#This Row],[Selisih]],0)</f>
        <v>0</v>
      </c>
    </row>
    <row r="413" spans="1:20" x14ac:dyDescent="0.25">
      <c r="A413" s="55" t="s">
        <v>605</v>
      </c>
      <c r="B413" s="55" t="s">
        <v>3435</v>
      </c>
      <c r="C413" s="55" t="s">
        <v>3443</v>
      </c>
      <c r="D413" s="56" t="s">
        <v>237</v>
      </c>
      <c r="E413" s="57" t="s">
        <v>3424</v>
      </c>
      <c r="F413" s="75" t="s">
        <v>251</v>
      </c>
      <c r="G413" s="55"/>
      <c r="H413" s="58">
        <v>15000</v>
      </c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0</v>
      </c>
      <c r="K413" s="60">
        <f>REKAP[[#This Row],[Trx In]]+REKAP[[#This Row],[Trx Out]]</f>
        <v>0</v>
      </c>
      <c r="L413" s="55">
        <v>0</v>
      </c>
      <c r="M413" s="74">
        <f>SUMIF(MASUK!$C:$C,REKAP[[#This Row],[ID]],MASUK!$H:$H)</f>
        <v>0</v>
      </c>
      <c r="N413" s="74">
        <f>SUMIF(KELUAR!$C:$C,REKAP[[#This Row],[ID]],KELUAR!$H:$H)</f>
        <v>0</v>
      </c>
      <c r="O413" s="74">
        <f>REKAP[[#This Row],[Stok Awal]]+REKAP[[#This Row],[Masuk]]-REKAP[[#This Row],[Keluar]]</f>
        <v>0</v>
      </c>
      <c r="P413" s="55"/>
      <c r="Q413" s="62">
        <f>REKAP[[#This Row],[Harga Satuan]]*REKAP[[#This Row],[Stok Akhir]]</f>
        <v>0</v>
      </c>
      <c r="R413" s="61">
        <f>IF(REKAP[[#This Row],[Stok Aktual]]&lt;&gt;"",REKAP[[#This Row],[Stok Aktual]]-REKAP[[#This Row],[Stok Akhir]],0)</f>
        <v>0</v>
      </c>
      <c r="S413" s="132"/>
      <c r="T413" s="137">
        <f>IF(REKAP[[#This Row],[Selisih]]&lt;=-1,REKAP[[#This Row],[Harga Satuan]]*REKAP[[#This Row],[Selisih]],0)</f>
        <v>0</v>
      </c>
    </row>
    <row r="414" spans="1:20" x14ac:dyDescent="0.25">
      <c r="A414" s="55" t="s">
        <v>606</v>
      </c>
      <c r="B414" s="55" t="s">
        <v>3436</v>
      </c>
      <c r="C414" s="55" t="s">
        <v>3436</v>
      </c>
      <c r="D414" s="56" t="s">
        <v>3437</v>
      </c>
      <c r="E414" s="57" t="s">
        <v>3424</v>
      </c>
      <c r="F414" s="75" t="s">
        <v>251</v>
      </c>
      <c r="G414" s="55"/>
      <c r="H414" s="58">
        <v>25000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10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10</v>
      </c>
      <c r="P414" s="55"/>
      <c r="Q414" s="62">
        <f>REKAP[[#This Row],[Harga Satuan]]*REKAP[[#This Row],[Stok Akhir]]</f>
        <v>250000</v>
      </c>
      <c r="R414" s="61">
        <f>IF(REKAP[[#This Row],[Stok Aktual]]&lt;&gt;"",REKAP[[#This Row],[Stok Aktual]]-REKAP[[#This Row],[Stok Akhir]],0)</f>
        <v>0</v>
      </c>
      <c r="S414" s="132"/>
      <c r="T414" s="137">
        <f>IF(REKAP[[#This Row],[Selisih]]&lt;=-1,REKAP[[#This Row],[Harga Satuan]]*REKAP[[#This Row],[Selisih]],0)</f>
        <v>0</v>
      </c>
    </row>
    <row r="415" spans="1:20" x14ac:dyDescent="0.25">
      <c r="A415" s="55" t="s">
        <v>607</v>
      </c>
      <c r="B415" s="55" t="s">
        <v>3436</v>
      </c>
      <c r="C415" s="55" t="s">
        <v>3436</v>
      </c>
      <c r="D415" s="56" t="s">
        <v>3402</v>
      </c>
      <c r="E415" s="57" t="s">
        <v>3424</v>
      </c>
      <c r="F415" s="75" t="s">
        <v>251</v>
      </c>
      <c r="G415" s="55"/>
      <c r="H415" s="58">
        <v>30000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6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6</v>
      </c>
      <c r="P415" s="55"/>
      <c r="Q415" s="62">
        <f>REKAP[[#This Row],[Harga Satuan]]*REKAP[[#This Row],[Stok Akhir]]</f>
        <v>180000</v>
      </c>
      <c r="R415" s="61">
        <f>IF(REKAP[[#This Row],[Stok Aktual]]&lt;&gt;"",REKAP[[#This Row],[Stok Aktual]]-REKAP[[#This Row],[Stok Akhir]],0)</f>
        <v>0</v>
      </c>
      <c r="S415" s="132"/>
      <c r="T415" s="137">
        <f>IF(REKAP[[#This Row],[Selisih]]&lt;=-1,REKAP[[#This Row],[Harga Satuan]]*REKAP[[#This Row],[Selisih]],0)</f>
        <v>0</v>
      </c>
    </row>
    <row r="416" spans="1:20" x14ac:dyDescent="0.25">
      <c r="A416" s="55" t="s">
        <v>608</v>
      </c>
      <c r="B416" s="55" t="s">
        <v>238</v>
      </c>
      <c r="C416" s="55" t="s">
        <v>238</v>
      </c>
      <c r="D416" s="56" t="s">
        <v>239</v>
      </c>
      <c r="E416" s="57" t="s">
        <v>3424</v>
      </c>
      <c r="F416" s="75" t="s">
        <v>251</v>
      </c>
      <c r="G416" s="55"/>
      <c r="H416" s="58">
        <v>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97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97</v>
      </c>
      <c r="P416" s="55"/>
      <c r="Q416" s="62">
        <f>REKAP[[#This Row],[Harga Satuan]]*REKAP[[#This Row],[Stok Akhir]]</f>
        <v>0</v>
      </c>
      <c r="R416" s="61">
        <f>IF(REKAP[[#This Row],[Stok Aktual]]&lt;&gt;"",REKAP[[#This Row],[Stok Aktual]]-REKAP[[#This Row],[Stok Akhir]],0)</f>
        <v>0</v>
      </c>
      <c r="S416" s="132"/>
      <c r="T416" s="137">
        <f>IF(REKAP[[#This Row],[Selisih]]&lt;=-1,REKAP[[#This Row],[Harga Satuan]]*REKAP[[#This Row],[Selisih]],0)</f>
        <v>0</v>
      </c>
    </row>
    <row r="417" spans="1:20" x14ac:dyDescent="0.25">
      <c r="A417" s="55" t="s">
        <v>609</v>
      </c>
      <c r="B417" s="55" t="s">
        <v>238</v>
      </c>
      <c r="C417" s="55" t="s">
        <v>238</v>
      </c>
      <c r="D417" s="56" t="s">
        <v>240</v>
      </c>
      <c r="E417" s="57" t="s">
        <v>3424</v>
      </c>
      <c r="F417" s="75" t="s">
        <v>251</v>
      </c>
      <c r="G417" s="55"/>
      <c r="H417" s="58">
        <v>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98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98</v>
      </c>
      <c r="P417" s="55"/>
      <c r="Q417" s="62">
        <f>REKAP[[#This Row],[Harga Satuan]]*REKAP[[#This Row],[Stok Akhir]]</f>
        <v>0</v>
      </c>
      <c r="R417" s="61">
        <f>IF(REKAP[[#This Row],[Stok Aktual]]&lt;&gt;"",REKAP[[#This Row],[Stok Aktual]]-REKAP[[#This Row],[Stok Akhir]],0)</f>
        <v>0</v>
      </c>
      <c r="S417" s="132"/>
      <c r="T417" s="137">
        <f>IF(REKAP[[#This Row],[Selisih]]&lt;=-1,REKAP[[#This Row],[Harga Satuan]]*REKAP[[#This Row],[Selisih]],0)</f>
        <v>0</v>
      </c>
    </row>
    <row r="418" spans="1:20" x14ac:dyDescent="0.25">
      <c r="A418" s="55" t="s">
        <v>610</v>
      </c>
      <c r="B418" s="55" t="s">
        <v>238</v>
      </c>
      <c r="C418" s="55" t="s">
        <v>238</v>
      </c>
      <c r="D418" s="56" t="s">
        <v>241</v>
      </c>
      <c r="E418" s="57" t="s">
        <v>3424</v>
      </c>
      <c r="F418" s="75" t="s">
        <v>251</v>
      </c>
      <c r="G418" s="55"/>
      <c r="H418" s="58">
        <v>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95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95</v>
      </c>
      <c r="P418" s="55"/>
      <c r="Q418" s="62">
        <f>REKAP[[#This Row],[Harga Satuan]]*REKAP[[#This Row],[Stok Akhir]]</f>
        <v>0</v>
      </c>
      <c r="R418" s="61">
        <f>IF(REKAP[[#This Row],[Stok Aktual]]&lt;&gt;"",REKAP[[#This Row],[Stok Aktual]]-REKAP[[#This Row],[Stok Akhir]],0)</f>
        <v>0</v>
      </c>
      <c r="S418" s="132"/>
      <c r="T418" s="137">
        <f>IF(REKAP[[#This Row],[Selisih]]&lt;=-1,REKAP[[#This Row],[Harga Satuan]]*REKAP[[#This Row],[Selisih]],0)</f>
        <v>0</v>
      </c>
    </row>
    <row r="419" spans="1:20" x14ac:dyDescent="0.25">
      <c r="A419" s="55" t="s">
        <v>611</v>
      </c>
      <c r="B419" s="55" t="s">
        <v>3439</v>
      </c>
      <c r="C419" s="55" t="s">
        <v>3439</v>
      </c>
      <c r="D419" s="56" t="s">
        <v>3438</v>
      </c>
      <c r="E419" s="57" t="s">
        <v>3424</v>
      </c>
      <c r="F419" s="75" t="s">
        <v>251</v>
      </c>
      <c r="G419" s="55"/>
      <c r="H419" s="58">
        <v>700</v>
      </c>
      <c r="I419" s="59">
        <f>IF(COUNTIF(MASUK[Kode Barang],REKAP[[#This Row],[ID]])=0,0,COUNTIF(MASUK[Kode Barang],REKAP[[#This Row],[ID]]))</f>
        <v>0</v>
      </c>
      <c r="J419" s="59">
        <f>IF(COUNTIF(MASUK8[Kode Barang],REKAP[[#This Row],[ID]])=0,0,COUNTIF(MASUK8[Kode Barang],REKAP[[#This Row],[ID]]))</f>
        <v>0</v>
      </c>
      <c r="K419" s="60">
        <f>REKAP[[#This Row],[Trx In]]+REKAP[[#This Row],[Trx Out]]</f>
        <v>0</v>
      </c>
      <c r="L419" s="55">
        <v>79</v>
      </c>
      <c r="M419" s="74">
        <f>SUMIF(MASUK!$C:$C,REKAP[[#This Row],[ID]],MASUK!$H:$H)</f>
        <v>0</v>
      </c>
      <c r="N419" s="74">
        <f>SUMIF(KELUAR!$C:$C,REKAP[[#This Row],[ID]],KELUAR!$H:$H)</f>
        <v>0</v>
      </c>
      <c r="O419" s="74">
        <f>REKAP[[#This Row],[Stok Awal]]+REKAP[[#This Row],[Masuk]]-REKAP[[#This Row],[Keluar]]</f>
        <v>79</v>
      </c>
      <c r="P419" s="55"/>
      <c r="Q419" s="62">
        <f>REKAP[[#This Row],[Harga Satuan]]*REKAP[[#This Row],[Stok Akhir]]</f>
        <v>55300</v>
      </c>
      <c r="R419" s="61">
        <f>IF(REKAP[[#This Row],[Stok Aktual]]&lt;&gt;"",REKAP[[#This Row],[Stok Aktual]]-REKAP[[#This Row],[Stok Akhir]],0)</f>
        <v>0</v>
      </c>
      <c r="S419" s="132"/>
      <c r="T419" s="137">
        <f>IF(REKAP[[#This Row],[Selisih]]&lt;=-1,REKAP[[#This Row],[Harga Satuan]]*REKAP[[#This Row],[Selisih]],0)</f>
        <v>0</v>
      </c>
    </row>
    <row r="420" spans="1:20" x14ac:dyDescent="0.25">
      <c r="A420" s="55" t="s">
        <v>612</v>
      </c>
      <c r="B420" s="55" t="s">
        <v>3434</v>
      </c>
      <c r="C420" s="55" t="s">
        <v>3442</v>
      </c>
      <c r="D420" s="56" t="s">
        <v>3440</v>
      </c>
      <c r="E420" s="57" t="s">
        <v>3424</v>
      </c>
      <c r="F420" s="75" t="s">
        <v>251</v>
      </c>
      <c r="G420" s="55"/>
      <c r="H420" s="58">
        <v>200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10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10</v>
      </c>
      <c r="P420" s="55"/>
      <c r="Q420" s="62">
        <f>REKAP[[#This Row],[Harga Satuan]]*REKAP[[#This Row],[Stok Akhir]]</f>
        <v>2000</v>
      </c>
      <c r="R420" s="61">
        <f>IF(REKAP[[#This Row],[Stok Aktual]]&lt;&gt;"",REKAP[[#This Row],[Stok Aktual]]-REKAP[[#This Row],[Stok Akhir]],0)</f>
        <v>0</v>
      </c>
      <c r="S420" s="132"/>
      <c r="T420" s="137">
        <f>IF(REKAP[[#This Row],[Selisih]]&lt;=-1,REKAP[[#This Row],[Harga Satuan]]*REKAP[[#This Row],[Selisih]],0)</f>
        <v>0</v>
      </c>
    </row>
    <row r="421" spans="1:20" x14ac:dyDescent="0.25">
      <c r="A421" s="55" t="s">
        <v>613</v>
      </c>
      <c r="B421" s="55" t="s">
        <v>3434</v>
      </c>
      <c r="C421" s="55" t="s">
        <v>3442</v>
      </c>
      <c r="D421" s="56" t="s">
        <v>3444</v>
      </c>
      <c r="E421" s="57" t="s">
        <v>3424</v>
      </c>
      <c r="F421" s="75" t="s">
        <v>251</v>
      </c>
      <c r="G421" s="55"/>
      <c r="H421" s="58">
        <v>500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10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10</v>
      </c>
      <c r="P421" s="55"/>
      <c r="Q421" s="62">
        <f>REKAP[[#This Row],[Harga Satuan]]*REKAP[[#This Row],[Stok Akhir]]</f>
        <v>5000</v>
      </c>
      <c r="R421" s="61">
        <f>IF(REKAP[[#This Row],[Stok Aktual]]&lt;&gt;"",REKAP[[#This Row],[Stok Aktual]]-REKAP[[#This Row],[Stok Akhir]],0)</f>
        <v>0</v>
      </c>
      <c r="S421" s="132"/>
      <c r="T421" s="137">
        <f>IF(REKAP[[#This Row],[Selisih]]&lt;=-1,REKAP[[#This Row],[Harga Satuan]]*REKAP[[#This Row],[Selisih]],0)</f>
        <v>0</v>
      </c>
    </row>
    <row r="422" spans="1:20" x14ac:dyDescent="0.25">
      <c r="A422" s="55" t="s">
        <v>614</v>
      </c>
      <c r="B422" s="55" t="s">
        <v>3434</v>
      </c>
      <c r="C422" s="55" t="s">
        <v>3442</v>
      </c>
      <c r="D422" s="56" t="s">
        <v>3445</v>
      </c>
      <c r="E422" s="57" t="s">
        <v>3424</v>
      </c>
      <c r="F422" s="75" t="s">
        <v>251</v>
      </c>
      <c r="G422" s="55"/>
      <c r="H422" s="58">
        <v>2000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25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25</v>
      </c>
      <c r="P422" s="55"/>
      <c r="Q422" s="62">
        <f>REKAP[[#This Row],[Harga Satuan]]*REKAP[[#This Row],[Stok Akhir]]</f>
        <v>50000</v>
      </c>
      <c r="R422" s="61">
        <f>IF(REKAP[[#This Row],[Stok Aktual]]&lt;&gt;"",REKAP[[#This Row],[Stok Aktual]]-REKAP[[#This Row],[Stok Akhir]],0)</f>
        <v>0</v>
      </c>
      <c r="S422" s="132"/>
      <c r="T422" s="137">
        <f>IF(REKAP[[#This Row],[Selisih]]&lt;=-1,REKAP[[#This Row],[Harga Satuan]]*REKAP[[#This Row],[Selisih]],0)</f>
        <v>0</v>
      </c>
    </row>
    <row r="423" spans="1:20" x14ac:dyDescent="0.25">
      <c r="A423" s="55" t="s">
        <v>615</v>
      </c>
      <c r="B423" s="55" t="s">
        <v>3434</v>
      </c>
      <c r="C423" s="55" t="s">
        <v>3442</v>
      </c>
      <c r="D423" s="56" t="s">
        <v>3446</v>
      </c>
      <c r="E423" s="57" t="s">
        <v>3424</v>
      </c>
      <c r="F423" s="75" t="s">
        <v>251</v>
      </c>
      <c r="G423" s="55"/>
      <c r="H423" s="58">
        <v>5000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2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2</v>
      </c>
      <c r="P423" s="55"/>
      <c r="Q423" s="62">
        <f>REKAP[[#This Row],[Harga Satuan]]*REKAP[[#This Row],[Stok Akhir]]</f>
        <v>10000</v>
      </c>
      <c r="R423" s="61">
        <f>IF(REKAP[[#This Row],[Stok Aktual]]&lt;&gt;"",REKAP[[#This Row],[Stok Aktual]]-REKAP[[#This Row],[Stok Akhir]],0)</f>
        <v>0</v>
      </c>
      <c r="S423" s="132"/>
      <c r="T423" s="137">
        <f>IF(REKAP[[#This Row],[Selisih]]&lt;=-1,REKAP[[#This Row],[Harga Satuan]]*REKAP[[#This Row],[Selisih]],0)</f>
        <v>0</v>
      </c>
    </row>
    <row r="424" spans="1:20" x14ac:dyDescent="0.25">
      <c r="A424" s="55" t="s">
        <v>616</v>
      </c>
      <c r="B424" s="55" t="s">
        <v>3434</v>
      </c>
      <c r="C424" s="55" t="s">
        <v>3442</v>
      </c>
      <c r="D424" s="56" t="s">
        <v>3447</v>
      </c>
      <c r="E424" s="57" t="s">
        <v>3424</v>
      </c>
      <c r="F424" s="75" t="s">
        <v>251</v>
      </c>
      <c r="G424" s="55"/>
      <c r="H424" s="58">
        <v>1000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47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47</v>
      </c>
      <c r="P424" s="55"/>
      <c r="Q424" s="62">
        <f>REKAP[[#This Row],[Harga Satuan]]*REKAP[[#This Row],[Stok Akhir]]</f>
        <v>47000</v>
      </c>
      <c r="R424" s="61">
        <f>IF(REKAP[[#This Row],[Stok Aktual]]&lt;&gt;"",REKAP[[#This Row],[Stok Aktual]]-REKAP[[#This Row],[Stok Akhir]],0)</f>
        <v>0</v>
      </c>
      <c r="S424" s="132"/>
      <c r="T424" s="137">
        <f>IF(REKAP[[#This Row],[Selisih]]&lt;=-1,REKAP[[#This Row],[Harga Satuan]]*REKAP[[#This Row],[Selisih]],0)</f>
        <v>0</v>
      </c>
    </row>
    <row r="425" spans="1:20" x14ac:dyDescent="0.25">
      <c r="A425" s="55" t="s">
        <v>617</v>
      </c>
      <c r="B425" s="55" t="s">
        <v>3435</v>
      </c>
      <c r="C425" s="55" t="s">
        <v>3433</v>
      </c>
      <c r="D425" s="56" t="s">
        <v>3441</v>
      </c>
      <c r="E425" s="57" t="s">
        <v>3424</v>
      </c>
      <c r="F425" s="75" t="s">
        <v>251</v>
      </c>
      <c r="G425" s="55"/>
      <c r="H425" s="58">
        <v>18500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0</v>
      </c>
      <c r="P425" s="55"/>
      <c r="Q425" s="62">
        <f>REKAP[[#This Row],[Harga Satuan]]*REKAP[[#This Row],[Stok Akhir]]</f>
        <v>0</v>
      </c>
      <c r="R425" s="61">
        <f>IF(REKAP[[#This Row],[Stok Aktual]]&lt;&gt;"",REKAP[[#This Row],[Stok Aktual]]-REKAP[[#This Row],[Stok Akhir]],0)</f>
        <v>0</v>
      </c>
      <c r="S425" s="132"/>
      <c r="T425" s="137">
        <f>IF(REKAP[[#This Row],[Selisih]]&lt;=-1,REKAP[[#This Row],[Harga Satuan]]*REKAP[[#This Row],[Selisih]],0)</f>
        <v>0</v>
      </c>
    </row>
    <row r="426" spans="1:20" x14ac:dyDescent="0.25">
      <c r="A426" s="63" t="s">
        <v>3770</v>
      </c>
      <c r="B426" s="55" t="s">
        <v>3427</v>
      </c>
      <c r="C426" s="55"/>
      <c r="D426" s="56" t="s">
        <v>3771</v>
      </c>
      <c r="E426" s="57" t="s">
        <v>3424</v>
      </c>
      <c r="F426" s="75" t="s">
        <v>251</v>
      </c>
      <c r="G426" s="55"/>
      <c r="H426" s="58"/>
      <c r="I426" s="59">
        <f>IF(COUNTIF(MASUK[Kode Barang],REKAP[[#This Row],[ID]])=0,0,COUNTIF(MASUK[Kode Barang],REKAP[[#This Row],[ID]]))</f>
        <v>1</v>
      </c>
      <c r="J426" s="59">
        <f>IF(COUNTIF(MASUK8[Kode Barang],REKAP[[#This Row],[ID]])=0,0,COUNTIF(MASUK8[Kode Barang],REKAP[[#This Row],[ID]]))</f>
        <v>1</v>
      </c>
      <c r="K426" s="60">
        <f>REKAP[[#This Row],[Trx In]]+REKAP[[#This Row],[Trx Out]]</f>
        <v>2</v>
      </c>
      <c r="L426" s="55"/>
      <c r="M426" s="74">
        <f>SUMIF(MASUK!$C:$C,REKAP[[#This Row],[ID]],MASUK!$H:$H)</f>
        <v>8</v>
      </c>
      <c r="N426" s="74">
        <f>SUMIF(KELUAR!$C:$C,REKAP[[#This Row],[ID]],KELUAR!$H:$H)</f>
        <v>8</v>
      </c>
      <c r="O426" s="74">
        <f>REKAP[[#This Row],[Stok Awal]]+REKAP[[#This Row],[Masuk]]-REKAP[[#This Row],[Keluar]]</f>
        <v>0</v>
      </c>
      <c r="P426" s="55">
        <v>0</v>
      </c>
      <c r="Q426" s="62">
        <f>REKAP[[#This Row],[Harga Satuan]]*REKAP[[#This Row],[Stok Akhir]]</f>
        <v>0</v>
      </c>
      <c r="R426" s="61">
        <f>IF(REKAP[[#This Row],[Stok Aktual]]&lt;&gt;"",REKAP[[#This Row],[Stok Aktual]]-REKAP[[#This Row],[Stok Akhir]],0)</f>
        <v>0</v>
      </c>
      <c r="S426" s="132"/>
      <c r="T426" s="137">
        <f>IF(REKAP[[#This Row],[Selisih]]&lt;=-1,REKAP[[#This Row],[Harga Satuan]]*REKAP[[#This Row],[Selisih]],0)</f>
        <v>0</v>
      </c>
    </row>
    <row r="427" spans="1:20" x14ac:dyDescent="0.25">
      <c r="A427" s="63" t="s">
        <v>3772</v>
      </c>
      <c r="B427" s="55" t="s">
        <v>3427</v>
      </c>
      <c r="C427" s="55"/>
      <c r="D427" s="56" t="s">
        <v>3774</v>
      </c>
      <c r="E427" s="57" t="s">
        <v>3424</v>
      </c>
      <c r="F427" s="75" t="s">
        <v>251</v>
      </c>
      <c r="G427" s="55"/>
      <c r="H427" s="58"/>
      <c r="I427" s="59">
        <f>IF(COUNTIF(MASUK[Kode Barang],REKAP[[#This Row],[ID]])=0,0,COUNTIF(MASUK[Kode Barang],REKAP[[#This Row],[ID]]))</f>
        <v>1</v>
      </c>
      <c r="J427" s="59">
        <f>IF(COUNTIF(MASUK8[Kode Barang],REKAP[[#This Row],[ID]])=0,0,COUNTIF(MASUK8[Kode Barang],REKAP[[#This Row],[ID]]))</f>
        <v>1</v>
      </c>
      <c r="K427" s="60">
        <f>REKAP[[#This Row],[Trx In]]+REKAP[[#This Row],[Trx Out]]</f>
        <v>2</v>
      </c>
      <c r="L427" s="55">
        <v>0</v>
      </c>
      <c r="M427" s="74">
        <f>SUMIF(MASUK!$C:$C,REKAP[[#This Row],[ID]],MASUK!$H:$H)</f>
        <v>3</v>
      </c>
      <c r="N427" s="74">
        <f>SUMIF(KELUAR!$C:$C,REKAP[[#This Row],[ID]],KELUAR!$H:$H)</f>
        <v>3</v>
      </c>
      <c r="O427" s="74">
        <f>REKAP[[#This Row],[Stok Awal]]+REKAP[[#This Row],[Masuk]]-REKAP[[#This Row],[Keluar]]</f>
        <v>0</v>
      </c>
      <c r="P427" s="55">
        <v>0</v>
      </c>
      <c r="Q427" s="62">
        <f>REKAP[[#This Row],[Harga Satuan]]*REKAP[[#This Row],[Stok Akhir]]</f>
        <v>0</v>
      </c>
      <c r="R427" s="61">
        <f>IF(REKAP[[#This Row],[Stok Aktual]]&lt;&gt;"",REKAP[[#This Row],[Stok Aktual]]-REKAP[[#This Row],[Stok Akhir]],0)</f>
        <v>0</v>
      </c>
      <c r="S427" s="132"/>
      <c r="T427" s="137">
        <f>IF(REKAP[[#This Row],[Selisih]]&lt;=-1,REKAP[[#This Row],[Harga Satuan]]*REKAP[[#This Row],[Selisih]],0)</f>
        <v>0</v>
      </c>
    </row>
    <row r="428" spans="1:20" x14ac:dyDescent="0.25">
      <c r="A428" s="63" t="s">
        <v>3775</v>
      </c>
      <c r="B428" s="55" t="s">
        <v>3427</v>
      </c>
      <c r="C428" s="55"/>
      <c r="D428" s="56" t="s">
        <v>3773</v>
      </c>
      <c r="E428" s="57" t="s">
        <v>3424</v>
      </c>
      <c r="F428" s="75" t="s">
        <v>251</v>
      </c>
      <c r="G428" s="55"/>
      <c r="H428" s="58"/>
      <c r="I428" s="59">
        <f>IF(COUNTIF(MASUK[Kode Barang],REKAP[[#This Row],[ID]])=0,0,COUNTIF(MASUK[Kode Barang],REKAP[[#This Row],[ID]]))</f>
        <v>1</v>
      </c>
      <c r="J428" s="59">
        <f>IF(COUNTIF(MASUK8[Kode Barang],REKAP[[#This Row],[ID]])=0,0,COUNTIF(MASUK8[Kode Barang],REKAP[[#This Row],[ID]]))</f>
        <v>1</v>
      </c>
      <c r="K428" s="60">
        <f>REKAP[[#This Row],[Trx In]]+REKAP[[#This Row],[Trx Out]]</f>
        <v>2</v>
      </c>
      <c r="L428" s="55"/>
      <c r="M428" s="74">
        <f>SUMIF(MASUK!$C:$C,REKAP[[#This Row],[ID]],MASUK!$H:$H)</f>
        <v>4</v>
      </c>
      <c r="N428" s="74">
        <f>SUMIF(KELUAR!$C:$C,REKAP[[#This Row],[ID]],KELUAR!$H:$H)</f>
        <v>3</v>
      </c>
      <c r="O428" s="74">
        <f>REKAP[[#This Row],[Stok Awal]]+REKAP[[#This Row],[Masuk]]-REKAP[[#This Row],[Keluar]]</f>
        <v>1</v>
      </c>
      <c r="P428" s="55">
        <v>1</v>
      </c>
      <c r="Q428" s="62">
        <f>REKAP[[#This Row],[Harga Satuan]]*REKAP[[#This Row],[Stok Akhir]]</f>
        <v>0</v>
      </c>
      <c r="R428" s="61">
        <f>IF(REKAP[[#This Row],[Stok Aktual]]&lt;&gt;"",REKAP[[#This Row],[Stok Aktual]]-REKAP[[#This Row],[Stok Akhir]],0)</f>
        <v>0</v>
      </c>
      <c r="S428" s="132"/>
      <c r="T428" s="137">
        <f>IF(REKAP[[#This Row],[Selisih]]&lt;=-1,REKAP[[#This Row],[Harga Satuan]]*REKAP[[#This Row],[Selisih]],0)</f>
        <v>0</v>
      </c>
    </row>
    <row r="429" spans="1:20" x14ac:dyDescent="0.25">
      <c r="A429" s="63" t="s">
        <v>3776</v>
      </c>
      <c r="B429" s="55" t="s">
        <v>3420</v>
      </c>
      <c r="C429" s="55"/>
      <c r="D429" s="56" t="s">
        <v>3777</v>
      </c>
      <c r="E429" s="57" t="s">
        <v>3424</v>
      </c>
      <c r="F429" s="75" t="s">
        <v>251</v>
      </c>
      <c r="G429" s="55"/>
      <c r="H429" s="58"/>
      <c r="I429" s="59">
        <f>IF(COUNTIF(MASUK[Kode Barang],REKAP[[#This Row],[ID]])=0,0,COUNTIF(MASUK[Kode Barang],REKAP[[#This Row],[ID]]))</f>
        <v>1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2</v>
      </c>
      <c r="L429" s="55"/>
      <c r="M429" s="74">
        <f>SUMIF(MASUK!$C:$C,REKAP[[#This Row],[ID]],MASUK!$H:$H)</f>
        <v>8</v>
      </c>
      <c r="N429" s="74">
        <f>SUMIF(KELUAR!$C:$C,REKAP[[#This Row],[ID]],KELUAR!$H:$H)</f>
        <v>8</v>
      </c>
      <c r="O429" s="74">
        <f>REKAP[[#This Row],[Stok Awal]]+REKAP[[#This Row],[Masuk]]-REKAP[[#This Row],[Keluar]]</f>
        <v>0</v>
      </c>
      <c r="P429" s="55">
        <v>0</v>
      </c>
      <c r="Q429" s="62">
        <f>REKAP[[#This Row],[Harga Satuan]]*REKAP[[#This Row],[Stok Akhir]]</f>
        <v>0</v>
      </c>
      <c r="R429" s="61">
        <f>IF(REKAP[[#This Row],[Stok Aktual]]&lt;&gt;"",REKAP[[#This Row],[Stok Aktual]]-REKAP[[#This Row],[Stok Akhir]],0)</f>
        <v>0</v>
      </c>
      <c r="S429" s="132"/>
      <c r="T429" s="137">
        <f>IF(REKAP[[#This Row],[Selisih]]&lt;=-1,REKAP[[#This Row],[Harga Satuan]]*REKAP[[#This Row],[Selisih]],0)</f>
        <v>0</v>
      </c>
    </row>
    <row r="430" spans="1:20" x14ac:dyDescent="0.25">
      <c r="A430" s="63" t="s">
        <v>3778</v>
      </c>
      <c r="B430" s="55" t="s">
        <v>3420</v>
      </c>
      <c r="C430" s="55"/>
      <c r="D430" s="56" t="s">
        <v>3779</v>
      </c>
      <c r="E430" s="57" t="s">
        <v>3424</v>
      </c>
      <c r="F430" s="75" t="s">
        <v>251</v>
      </c>
      <c r="G430" s="55"/>
      <c r="H430" s="58"/>
      <c r="I430" s="59">
        <f>IF(COUNTIF(MASUK[Kode Barang],REKAP[[#This Row],[ID]])=0,0,COUNTIF(MASUK[Kode Barang],REKAP[[#This Row],[ID]]))</f>
        <v>1</v>
      </c>
      <c r="J430" s="59">
        <f>IF(COUNTIF(MASUK8[Kode Barang],REKAP[[#This Row],[ID]])=0,0,COUNTIF(MASUK8[Kode Barang],REKAP[[#This Row],[ID]]))</f>
        <v>1</v>
      </c>
      <c r="K430" s="60">
        <f>REKAP[[#This Row],[Trx In]]+REKAP[[#This Row],[Trx Out]]</f>
        <v>2</v>
      </c>
      <c r="L430" s="55"/>
      <c r="M430" s="74">
        <f>SUMIF(MASUK!$C:$C,REKAP[[#This Row],[ID]],MASUK!$H:$H)</f>
        <v>4</v>
      </c>
      <c r="N430" s="74">
        <f>SUMIF(KELUAR!$C:$C,REKAP[[#This Row],[ID]],KELUAR!$H:$H)</f>
        <v>3</v>
      </c>
      <c r="O430" s="74">
        <f>REKAP[[#This Row],[Stok Awal]]+REKAP[[#This Row],[Masuk]]-REKAP[[#This Row],[Keluar]]</f>
        <v>1</v>
      </c>
      <c r="P430" s="55">
        <v>1</v>
      </c>
      <c r="Q430" s="62">
        <f>REKAP[[#This Row],[Harga Satuan]]*REKAP[[#This Row],[Stok Akhir]]</f>
        <v>0</v>
      </c>
      <c r="R430" s="61">
        <f>IF(REKAP[[#This Row],[Stok Aktual]]&lt;&gt;"",REKAP[[#This Row],[Stok Aktual]]-REKAP[[#This Row],[Stok Akhir]],0)</f>
        <v>0</v>
      </c>
      <c r="S430" s="132"/>
      <c r="T430" s="137">
        <f>IF(REKAP[[#This Row],[Selisih]]&lt;=-1,REKAP[[#This Row],[Harga Satuan]]*REKAP[[#This Row],[Selisih]],0)</f>
        <v>0</v>
      </c>
    </row>
    <row r="431" spans="1:20" x14ac:dyDescent="0.25">
      <c r="A431" s="63" t="s">
        <v>3791</v>
      </c>
      <c r="B431" s="55" t="s">
        <v>3420</v>
      </c>
      <c r="C431" s="55"/>
      <c r="D431" s="56" t="s">
        <v>3792</v>
      </c>
      <c r="E431" s="57" t="s">
        <v>3424</v>
      </c>
      <c r="F431" s="75" t="s">
        <v>251</v>
      </c>
      <c r="G431" s="55"/>
      <c r="H431" s="58"/>
      <c r="I431" s="59">
        <f>IF(COUNTIF(MASUK[Kode Barang],REKAP[[#This Row],[ID]])=0,0,COUNTIF(MASUK[Kode Barang],REKAP[[#This Row],[ID]]))</f>
        <v>1</v>
      </c>
      <c r="J431" s="59">
        <f>IF(COUNTIF(MASUK8[Kode Barang],REKAP[[#This Row],[ID]])=0,0,COUNTIF(MASUK8[Kode Barang],REKAP[[#This Row],[ID]]))</f>
        <v>1</v>
      </c>
      <c r="K431" s="60">
        <f>REKAP[[#This Row],[Trx In]]+REKAP[[#This Row],[Trx Out]]</f>
        <v>2</v>
      </c>
      <c r="L431" s="55">
        <v>0</v>
      </c>
      <c r="M431" s="74">
        <f>SUMIF(MASUK!$C:$C,REKAP[[#This Row],[ID]],MASUK!$H:$H)</f>
        <v>8</v>
      </c>
      <c r="N431" s="74">
        <f>SUMIF(KELUAR!$C:$C,REKAP[[#This Row],[ID]],KELUAR!$H:$H)</f>
        <v>3</v>
      </c>
      <c r="O431" s="74">
        <f>REKAP[[#This Row],[Stok Awal]]+REKAP[[#This Row],[Masuk]]-REKAP[[#This Row],[Keluar]]</f>
        <v>5</v>
      </c>
      <c r="P431" s="55">
        <v>8</v>
      </c>
      <c r="Q431" s="62">
        <f>REKAP[[#This Row],[Harga Satuan]]*REKAP[[#This Row],[Stok Akhir]]</f>
        <v>0</v>
      </c>
      <c r="R431" s="61">
        <f>IF(REKAP[[#This Row],[Stok Aktual]]&lt;&gt;"",REKAP[[#This Row],[Stok Aktual]]-REKAP[[#This Row],[Stok Akhir]],0)</f>
        <v>3</v>
      </c>
      <c r="S431" s="132"/>
      <c r="T431" s="137">
        <f>IF(REKAP[[#This Row],[Selisih]]&lt;=-1,REKAP[[#This Row],[Harga Satuan]]*REKAP[[#This Row],[Selisih]],0)</f>
        <v>0</v>
      </c>
    </row>
    <row r="432" spans="1:20" x14ac:dyDescent="0.25">
      <c r="A432" s="55" t="s">
        <v>3162</v>
      </c>
      <c r="B432" s="55" t="s">
        <v>3120</v>
      </c>
      <c r="C432" s="55" t="s">
        <v>3120</v>
      </c>
      <c r="D432" s="56" t="s">
        <v>3121</v>
      </c>
      <c r="E432" s="57"/>
      <c r="F432" s="75" t="s">
        <v>3161</v>
      </c>
      <c r="G432" s="55" t="s">
        <v>3122</v>
      </c>
      <c r="H432" s="58">
        <v>29500</v>
      </c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0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0</v>
      </c>
      <c r="P432" s="55"/>
      <c r="Q432" s="62">
        <f>REKAP[[#This Row],[Harga Satuan]]*REKAP[[#This Row],[Stok Akhir]]</f>
        <v>0</v>
      </c>
      <c r="R432" s="61">
        <f>IF(REKAP[[#This Row],[Stok Aktual]]&lt;&gt;"",REKAP[[#This Row],[Stok Aktual]]-REKAP[[#This Row],[Stok Akhir]],0)</f>
        <v>0</v>
      </c>
      <c r="S432" s="132"/>
      <c r="T432" s="137">
        <f>IF(REKAP[[#This Row],[Selisih]]&lt;=-1,REKAP[[#This Row],[Harga Satuan]]*REKAP[[#This Row],[Selisih]],0)</f>
        <v>0</v>
      </c>
    </row>
    <row r="433" spans="1:20" x14ac:dyDescent="0.25">
      <c r="A433" s="55" t="s">
        <v>3163</v>
      </c>
      <c r="B433" s="55" t="s">
        <v>3123</v>
      </c>
      <c r="C433" s="55" t="s">
        <v>3123</v>
      </c>
      <c r="D433" s="56"/>
      <c r="E433" s="57"/>
      <c r="F433" s="75" t="s">
        <v>3161</v>
      </c>
      <c r="G433" s="55"/>
      <c r="H433" s="58">
        <v>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>
        <f>IF(REKAP[[#This Row],[Stok Aktual]]&lt;&gt;"",REKAP[[#This Row],[Stok Aktual]]-REKAP[[#This Row],[Stok Akhir]],0)</f>
        <v>0</v>
      </c>
      <c r="S433" s="132"/>
      <c r="T433" s="137">
        <f>IF(REKAP[[#This Row],[Selisih]]&lt;=-1,REKAP[[#This Row],[Harga Satuan]]*REKAP[[#This Row],[Selisih]],0)</f>
        <v>0</v>
      </c>
    </row>
    <row r="434" spans="1:20" x14ac:dyDescent="0.25">
      <c r="A434" s="55" t="s">
        <v>3164</v>
      </c>
      <c r="B434" s="55" t="s">
        <v>3124</v>
      </c>
      <c r="C434" s="55" t="s">
        <v>3655</v>
      </c>
      <c r="D434" s="56" t="s">
        <v>3125</v>
      </c>
      <c r="E434" s="57"/>
      <c r="F434" s="75" t="s">
        <v>3161</v>
      </c>
      <c r="G434" s="55" t="s">
        <v>3126</v>
      </c>
      <c r="H434" s="58">
        <v>77000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>
        <f>IF(REKAP[[#This Row],[Stok Aktual]]&lt;&gt;"",REKAP[[#This Row],[Stok Aktual]]-REKAP[[#This Row],[Stok Akhir]],0)</f>
        <v>0</v>
      </c>
      <c r="S434" s="132"/>
      <c r="T434" s="137">
        <f>IF(REKAP[[#This Row],[Selisih]]&lt;=-1,REKAP[[#This Row],[Harga Satuan]]*REKAP[[#This Row],[Selisih]],0)</f>
        <v>0</v>
      </c>
    </row>
    <row r="435" spans="1:20" x14ac:dyDescent="0.25">
      <c r="A435" s="55" t="s">
        <v>3165</v>
      </c>
      <c r="B435" s="55" t="s">
        <v>3127</v>
      </c>
      <c r="C435" s="55" t="s">
        <v>3656</v>
      </c>
      <c r="D435" s="56" t="s">
        <v>3125</v>
      </c>
      <c r="E435" s="57"/>
      <c r="F435" s="75" t="s">
        <v>3161</v>
      </c>
      <c r="G435" s="55" t="s">
        <v>3128</v>
      </c>
      <c r="H435" s="58">
        <v>67500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0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0</v>
      </c>
      <c r="P435" s="55"/>
      <c r="Q435" s="62">
        <f>REKAP[[#This Row],[Harga Satuan]]*REKAP[[#This Row],[Stok Akhir]]</f>
        <v>0</v>
      </c>
      <c r="R435" s="61">
        <f>IF(REKAP[[#This Row],[Stok Aktual]]&lt;&gt;"",REKAP[[#This Row],[Stok Aktual]]-REKAP[[#This Row],[Stok Akhir]],0)</f>
        <v>0</v>
      </c>
      <c r="S435" s="132"/>
      <c r="T435" s="137">
        <f>IF(REKAP[[#This Row],[Selisih]]&lt;=-1,REKAP[[#This Row],[Harga Satuan]]*REKAP[[#This Row],[Selisih]],0)</f>
        <v>0</v>
      </c>
    </row>
    <row r="436" spans="1:20" x14ac:dyDescent="0.25">
      <c r="A436" s="55" t="s">
        <v>3166</v>
      </c>
      <c r="B436" s="55" t="s">
        <v>3129</v>
      </c>
      <c r="C436" s="55" t="s">
        <v>3129</v>
      </c>
      <c r="D436" s="56" t="s">
        <v>3125</v>
      </c>
      <c r="E436" s="57"/>
      <c r="F436" s="75" t="s">
        <v>3161</v>
      </c>
      <c r="G436" s="55" t="s">
        <v>3130</v>
      </c>
      <c r="H436" s="58">
        <v>38400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0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>
        <f>IF(REKAP[[#This Row],[Stok Aktual]]&lt;&gt;"",REKAP[[#This Row],[Stok Aktual]]-REKAP[[#This Row],[Stok Akhir]],0)</f>
        <v>0</v>
      </c>
      <c r="S436" s="132"/>
      <c r="T436" s="137">
        <f>IF(REKAP[[#This Row],[Selisih]]&lt;=-1,REKAP[[#This Row],[Harga Satuan]]*REKAP[[#This Row],[Selisih]],0)</f>
        <v>0</v>
      </c>
    </row>
    <row r="437" spans="1:20" x14ac:dyDescent="0.25">
      <c r="A437" s="55" t="s">
        <v>3167</v>
      </c>
      <c r="B437" s="55" t="s">
        <v>3131</v>
      </c>
      <c r="C437" s="55" t="s">
        <v>3657</v>
      </c>
      <c r="D437" s="56" t="s">
        <v>3125</v>
      </c>
      <c r="E437" s="57"/>
      <c r="F437" s="75" t="s">
        <v>3161</v>
      </c>
      <c r="G437" s="55" t="s">
        <v>3130</v>
      </c>
      <c r="H437" s="58">
        <v>55000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0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>
        <f>IF(REKAP[[#This Row],[Stok Aktual]]&lt;&gt;"",REKAP[[#This Row],[Stok Aktual]]-REKAP[[#This Row],[Stok Akhir]],0)</f>
        <v>0</v>
      </c>
      <c r="S437" s="132"/>
      <c r="T437" s="137">
        <f>IF(REKAP[[#This Row],[Selisih]]&lt;=-1,REKAP[[#This Row],[Harga Satuan]]*REKAP[[#This Row],[Selisih]],0)</f>
        <v>0</v>
      </c>
    </row>
    <row r="438" spans="1:20" x14ac:dyDescent="0.25">
      <c r="A438" s="55" t="s">
        <v>3168</v>
      </c>
      <c r="B438" s="55" t="s">
        <v>3132</v>
      </c>
      <c r="C438" s="55" t="s">
        <v>3132</v>
      </c>
      <c r="D438" s="56"/>
      <c r="E438" s="57"/>
      <c r="F438" s="75" t="s">
        <v>3161</v>
      </c>
      <c r="G438" s="55" t="s">
        <v>3122</v>
      </c>
      <c r="H438" s="58">
        <v>280000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0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0</v>
      </c>
      <c r="P438" s="55"/>
      <c r="Q438" s="62">
        <f>REKAP[[#This Row],[Harga Satuan]]*REKAP[[#This Row],[Stok Akhir]]</f>
        <v>0</v>
      </c>
      <c r="R438" s="61">
        <f>IF(REKAP[[#This Row],[Stok Aktual]]&lt;&gt;"",REKAP[[#This Row],[Stok Aktual]]-REKAP[[#This Row],[Stok Akhir]],0)</f>
        <v>0</v>
      </c>
      <c r="S438" s="132"/>
      <c r="T438" s="137">
        <f>IF(REKAP[[#This Row],[Selisih]]&lt;=-1,REKAP[[#This Row],[Harga Satuan]]*REKAP[[#This Row],[Selisih]],0)</f>
        <v>0</v>
      </c>
    </row>
    <row r="439" spans="1:20" x14ac:dyDescent="0.25">
      <c r="A439" s="55" t="s">
        <v>3169</v>
      </c>
      <c r="B439" s="55" t="s">
        <v>3133</v>
      </c>
      <c r="C439" s="55" t="s">
        <v>3133</v>
      </c>
      <c r="D439" s="56"/>
      <c r="E439" s="57"/>
      <c r="F439" s="75" t="s">
        <v>3161</v>
      </c>
      <c r="G439" s="55" t="s">
        <v>3122</v>
      </c>
      <c r="H439" s="58">
        <v>130000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>
        <f>IF(REKAP[[#This Row],[Stok Aktual]]&lt;&gt;"",REKAP[[#This Row],[Stok Aktual]]-REKAP[[#This Row],[Stok Akhir]],0)</f>
        <v>0</v>
      </c>
      <c r="S439" s="132"/>
      <c r="T439" s="137">
        <f>IF(REKAP[[#This Row],[Selisih]]&lt;=-1,REKAP[[#This Row],[Harga Satuan]]*REKAP[[#This Row],[Selisih]],0)</f>
        <v>0</v>
      </c>
    </row>
    <row r="440" spans="1:20" x14ac:dyDescent="0.25">
      <c r="A440" s="55" t="s">
        <v>3170</v>
      </c>
      <c r="B440" s="55" t="s">
        <v>3134</v>
      </c>
      <c r="C440" s="55" t="s">
        <v>3134</v>
      </c>
      <c r="D440" s="56" t="s">
        <v>3125</v>
      </c>
      <c r="E440" s="57"/>
      <c r="F440" s="75" t="s">
        <v>3161</v>
      </c>
      <c r="G440" s="55" t="s">
        <v>3130</v>
      </c>
      <c r="H440" s="58">
        <v>180000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0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>
        <f>IF(REKAP[[#This Row],[Stok Aktual]]&lt;&gt;"",REKAP[[#This Row],[Stok Aktual]]-REKAP[[#This Row],[Stok Akhir]],0)</f>
        <v>0</v>
      </c>
      <c r="S440" s="132"/>
      <c r="T440" s="137">
        <f>IF(REKAP[[#This Row],[Selisih]]&lt;=-1,REKAP[[#This Row],[Harga Satuan]]*REKAP[[#This Row],[Selisih]],0)</f>
        <v>0</v>
      </c>
    </row>
    <row r="441" spans="1:20" x14ac:dyDescent="0.25">
      <c r="A441" s="55" t="s">
        <v>3171</v>
      </c>
      <c r="B441" s="55" t="s">
        <v>3135</v>
      </c>
      <c r="C441" s="55" t="s">
        <v>3135</v>
      </c>
      <c r="D441" s="56" t="s">
        <v>3125</v>
      </c>
      <c r="E441" s="57"/>
      <c r="F441" s="75" t="s">
        <v>3161</v>
      </c>
      <c r="G441" s="55" t="s">
        <v>3130</v>
      </c>
      <c r="H441" s="58">
        <v>145000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0</v>
      </c>
      <c r="P441" s="55"/>
      <c r="Q441" s="62">
        <f>REKAP[[#This Row],[Harga Satuan]]*REKAP[[#This Row],[Stok Akhir]]</f>
        <v>0</v>
      </c>
      <c r="R441" s="61">
        <f>IF(REKAP[[#This Row],[Stok Aktual]]&lt;&gt;"",REKAP[[#This Row],[Stok Aktual]]-REKAP[[#This Row],[Stok Akhir]],0)</f>
        <v>0</v>
      </c>
      <c r="S441" s="132"/>
      <c r="T441" s="137">
        <f>IF(REKAP[[#This Row],[Selisih]]&lt;=-1,REKAP[[#This Row],[Harga Satuan]]*REKAP[[#This Row],[Selisih]],0)</f>
        <v>0</v>
      </c>
    </row>
    <row r="442" spans="1:20" x14ac:dyDescent="0.25">
      <c r="A442" s="55" t="s">
        <v>3172</v>
      </c>
      <c r="B442" s="55" t="s">
        <v>3136</v>
      </c>
      <c r="C442" s="55" t="s">
        <v>3136</v>
      </c>
      <c r="D442" s="56" t="s">
        <v>3125</v>
      </c>
      <c r="E442" s="57"/>
      <c r="F442" s="75" t="s">
        <v>3161</v>
      </c>
      <c r="G442" s="55" t="s">
        <v>3130</v>
      </c>
      <c r="H442" s="58">
        <v>300000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0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>
        <f>IF(REKAP[[#This Row],[Stok Aktual]]&lt;&gt;"",REKAP[[#This Row],[Stok Aktual]]-REKAP[[#This Row],[Stok Akhir]],0)</f>
        <v>0</v>
      </c>
      <c r="S442" s="132"/>
      <c r="T442" s="137">
        <f>IF(REKAP[[#This Row],[Selisih]]&lt;=-1,REKAP[[#This Row],[Harga Satuan]]*REKAP[[#This Row],[Selisih]],0)</f>
        <v>0</v>
      </c>
    </row>
    <row r="443" spans="1:20" x14ac:dyDescent="0.25">
      <c r="A443" s="55" t="s">
        <v>3173</v>
      </c>
      <c r="B443" s="55" t="s">
        <v>3137</v>
      </c>
      <c r="C443" s="55" t="s">
        <v>3137</v>
      </c>
      <c r="D443" s="56" t="s">
        <v>3138</v>
      </c>
      <c r="E443" s="57"/>
      <c r="F443" s="75" t="s">
        <v>3161</v>
      </c>
      <c r="G443" s="55" t="s">
        <v>3122</v>
      </c>
      <c r="H443" s="58">
        <v>225000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0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0</v>
      </c>
      <c r="P443" s="55"/>
      <c r="Q443" s="62">
        <f>REKAP[[#This Row],[Harga Satuan]]*REKAP[[#This Row],[Stok Akhir]]</f>
        <v>0</v>
      </c>
      <c r="R443" s="61">
        <f>IF(REKAP[[#This Row],[Stok Aktual]]&lt;&gt;"",REKAP[[#This Row],[Stok Aktual]]-REKAP[[#This Row],[Stok Akhir]],0)</f>
        <v>0</v>
      </c>
      <c r="S443" s="132"/>
      <c r="T443" s="137">
        <f>IF(REKAP[[#This Row],[Selisih]]&lt;=-1,REKAP[[#This Row],[Harga Satuan]]*REKAP[[#This Row],[Selisih]],0)</f>
        <v>0</v>
      </c>
    </row>
    <row r="444" spans="1:20" x14ac:dyDescent="0.25">
      <c r="A444" s="55" t="s">
        <v>3174</v>
      </c>
      <c r="B444" s="55" t="s">
        <v>3139</v>
      </c>
      <c r="C444" s="55" t="s">
        <v>3139</v>
      </c>
      <c r="D444" s="56" t="s">
        <v>3140</v>
      </c>
      <c r="E444" s="57"/>
      <c r="F444" s="75" t="s">
        <v>3161</v>
      </c>
      <c r="G444" s="55" t="s">
        <v>3122</v>
      </c>
      <c r="H444" s="58">
        <v>510000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>
        <f>IF(REKAP[[#This Row],[Stok Aktual]]&lt;&gt;"",REKAP[[#This Row],[Stok Aktual]]-REKAP[[#This Row],[Stok Akhir]],0)</f>
        <v>0</v>
      </c>
      <c r="S444" s="132"/>
      <c r="T444" s="137">
        <f>IF(REKAP[[#This Row],[Selisih]]&lt;=-1,REKAP[[#This Row],[Harga Satuan]]*REKAP[[#This Row],[Selisih]],0)</f>
        <v>0</v>
      </c>
    </row>
    <row r="445" spans="1:20" x14ac:dyDescent="0.25">
      <c r="A445" s="55" t="s">
        <v>3175</v>
      </c>
      <c r="B445" s="55" t="s">
        <v>3141</v>
      </c>
      <c r="C445" s="55" t="s">
        <v>3141</v>
      </c>
      <c r="D445" s="56"/>
      <c r="E445" s="57"/>
      <c r="F445" s="75" t="s">
        <v>3161</v>
      </c>
      <c r="G445" s="55" t="s">
        <v>3142</v>
      </c>
      <c r="H445" s="58">
        <v>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>
        <f>IF(REKAP[[#This Row],[Stok Aktual]]&lt;&gt;"",REKAP[[#This Row],[Stok Aktual]]-REKAP[[#This Row],[Stok Akhir]],0)</f>
        <v>0</v>
      </c>
      <c r="S445" s="132"/>
      <c r="T445" s="137">
        <f>IF(REKAP[[#This Row],[Selisih]]&lt;=-1,REKAP[[#This Row],[Harga Satuan]]*REKAP[[#This Row],[Selisih]],0)</f>
        <v>0</v>
      </c>
    </row>
    <row r="446" spans="1:20" x14ac:dyDescent="0.25">
      <c r="A446" s="55" t="s">
        <v>3176</v>
      </c>
      <c r="B446" s="55" t="s">
        <v>3143</v>
      </c>
      <c r="C446" s="55" t="s">
        <v>3143</v>
      </c>
      <c r="D446" s="56"/>
      <c r="E446" s="57"/>
      <c r="F446" s="75" t="s">
        <v>3161</v>
      </c>
      <c r="G446" s="55" t="s">
        <v>3142</v>
      </c>
      <c r="H446" s="58">
        <v>0</v>
      </c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0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0</v>
      </c>
      <c r="P446" s="55"/>
      <c r="Q446" s="62">
        <f>REKAP[[#This Row],[Harga Satuan]]*REKAP[[#This Row],[Stok Akhir]]</f>
        <v>0</v>
      </c>
      <c r="R446" s="61">
        <f>IF(REKAP[[#This Row],[Stok Aktual]]&lt;&gt;"",REKAP[[#This Row],[Stok Aktual]]-REKAP[[#This Row],[Stok Akhir]],0)</f>
        <v>0</v>
      </c>
      <c r="S446" s="132"/>
      <c r="T446" s="137">
        <f>IF(REKAP[[#This Row],[Selisih]]&lt;=-1,REKAP[[#This Row],[Harga Satuan]]*REKAP[[#This Row],[Selisih]],0)</f>
        <v>0</v>
      </c>
    </row>
    <row r="447" spans="1:20" x14ac:dyDescent="0.25">
      <c r="A447" s="55" t="s">
        <v>3177</v>
      </c>
      <c r="B447" s="55" t="s">
        <v>3144</v>
      </c>
      <c r="C447" s="55" t="s">
        <v>3144</v>
      </c>
      <c r="D447" s="56"/>
      <c r="E447" s="57"/>
      <c r="F447" s="75" t="s">
        <v>3161</v>
      </c>
      <c r="G447" s="55" t="s">
        <v>3142</v>
      </c>
      <c r="H447" s="58">
        <v>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0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0</v>
      </c>
      <c r="P447" s="55"/>
      <c r="Q447" s="62">
        <f>REKAP[[#This Row],[Harga Satuan]]*REKAP[[#This Row],[Stok Akhir]]</f>
        <v>0</v>
      </c>
      <c r="R447" s="61">
        <f>IF(REKAP[[#This Row],[Stok Aktual]]&lt;&gt;"",REKAP[[#This Row],[Stok Aktual]]-REKAP[[#This Row],[Stok Akhir]],0)</f>
        <v>0</v>
      </c>
      <c r="S447" s="132"/>
      <c r="T447" s="137">
        <f>IF(REKAP[[#This Row],[Selisih]]&lt;=-1,REKAP[[#This Row],[Harga Satuan]]*REKAP[[#This Row],[Selisih]],0)</f>
        <v>0</v>
      </c>
    </row>
    <row r="448" spans="1:20" x14ac:dyDescent="0.25">
      <c r="A448" s="55" t="s">
        <v>3178</v>
      </c>
      <c r="B448" s="55" t="s">
        <v>3145</v>
      </c>
      <c r="C448" s="55" t="s">
        <v>3145</v>
      </c>
      <c r="D448" s="56" t="s">
        <v>3125</v>
      </c>
      <c r="E448" s="57"/>
      <c r="F448" s="75" t="s">
        <v>3161</v>
      </c>
      <c r="G448" s="55" t="s">
        <v>3122</v>
      </c>
      <c r="H448" s="58">
        <v>106000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>
        <f>IF(REKAP[[#This Row],[Stok Aktual]]&lt;&gt;"",REKAP[[#This Row],[Stok Aktual]]-REKAP[[#This Row],[Stok Akhir]],0)</f>
        <v>0</v>
      </c>
      <c r="S448" s="132"/>
      <c r="T448" s="137">
        <f>IF(REKAP[[#This Row],[Selisih]]&lt;=-1,REKAP[[#This Row],[Harga Satuan]]*REKAP[[#This Row],[Selisih]],0)</f>
        <v>0</v>
      </c>
    </row>
    <row r="449" spans="1:20" x14ac:dyDescent="0.25">
      <c r="A449" s="55" t="s">
        <v>3179</v>
      </c>
      <c r="B449" s="55" t="s">
        <v>3146</v>
      </c>
      <c r="C449" s="55" t="s">
        <v>3146</v>
      </c>
      <c r="D449" s="56" t="s">
        <v>3125</v>
      </c>
      <c r="E449" s="57"/>
      <c r="F449" s="75" t="s">
        <v>3161</v>
      </c>
      <c r="G449" s="55" t="s">
        <v>3122</v>
      </c>
      <c r="H449" s="58">
        <v>51150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0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0</v>
      </c>
      <c r="P449" s="55"/>
      <c r="Q449" s="62">
        <f>REKAP[[#This Row],[Harga Satuan]]*REKAP[[#This Row],[Stok Akhir]]</f>
        <v>0</v>
      </c>
      <c r="R449" s="61">
        <f>IF(REKAP[[#This Row],[Stok Aktual]]&lt;&gt;"",REKAP[[#This Row],[Stok Aktual]]-REKAP[[#This Row],[Stok Akhir]],0)</f>
        <v>0</v>
      </c>
      <c r="S449" s="132"/>
      <c r="T449" s="137">
        <f>IF(REKAP[[#This Row],[Selisih]]&lt;=-1,REKAP[[#This Row],[Harga Satuan]]*REKAP[[#This Row],[Selisih]],0)</f>
        <v>0</v>
      </c>
    </row>
    <row r="450" spans="1:20" x14ac:dyDescent="0.25">
      <c r="A450" s="55" t="s">
        <v>3180</v>
      </c>
      <c r="B450" s="55" t="s">
        <v>3147</v>
      </c>
      <c r="C450" s="55" t="s">
        <v>3147</v>
      </c>
      <c r="D450" s="56" t="s">
        <v>3125</v>
      </c>
      <c r="E450" s="57"/>
      <c r="F450" s="75" t="s">
        <v>3161</v>
      </c>
      <c r="G450" s="55" t="s">
        <v>3130</v>
      </c>
      <c r="H450" s="58">
        <v>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0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0</v>
      </c>
      <c r="P450" s="55"/>
      <c r="Q450" s="62">
        <f>REKAP[[#This Row],[Harga Satuan]]*REKAP[[#This Row],[Stok Akhir]]</f>
        <v>0</v>
      </c>
      <c r="R450" s="61">
        <f>IF(REKAP[[#This Row],[Stok Aktual]]&lt;&gt;"",REKAP[[#This Row],[Stok Aktual]]-REKAP[[#This Row],[Stok Akhir]],0)</f>
        <v>0</v>
      </c>
      <c r="S450" s="132"/>
      <c r="T450" s="137">
        <f>IF(REKAP[[#This Row],[Selisih]]&lt;=-1,REKAP[[#This Row],[Harga Satuan]]*REKAP[[#This Row],[Selisih]],0)</f>
        <v>0</v>
      </c>
    </row>
    <row r="451" spans="1:20" x14ac:dyDescent="0.25">
      <c r="A451" s="55" t="s">
        <v>3181</v>
      </c>
      <c r="B451" s="55" t="s">
        <v>3148</v>
      </c>
      <c r="C451" s="55" t="s">
        <v>3658</v>
      </c>
      <c r="D451" s="56" t="s">
        <v>3125</v>
      </c>
      <c r="E451" s="57"/>
      <c r="F451" s="75" t="s">
        <v>3161</v>
      </c>
      <c r="G451" s="55" t="s">
        <v>3130</v>
      </c>
      <c r="H451" s="58">
        <v>185000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>
        <f>IF(REKAP[[#This Row],[Stok Aktual]]&lt;&gt;"",REKAP[[#This Row],[Stok Aktual]]-REKAP[[#This Row],[Stok Akhir]],0)</f>
        <v>0</v>
      </c>
      <c r="S451" s="132"/>
      <c r="T451" s="137">
        <f>IF(REKAP[[#This Row],[Selisih]]&lt;=-1,REKAP[[#This Row],[Harga Satuan]]*REKAP[[#This Row],[Selisih]],0)</f>
        <v>0</v>
      </c>
    </row>
    <row r="452" spans="1:20" x14ac:dyDescent="0.25">
      <c r="A452" s="55" t="s">
        <v>3182</v>
      </c>
      <c r="B452" s="55" t="s">
        <v>3149</v>
      </c>
      <c r="C452" s="55" t="s">
        <v>3149</v>
      </c>
      <c r="D452" s="56"/>
      <c r="E452" s="57"/>
      <c r="F452" s="75" t="s">
        <v>3161</v>
      </c>
      <c r="G452" s="55"/>
      <c r="H452" s="58">
        <v>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>
        <f>IF(REKAP[[#This Row],[Stok Aktual]]&lt;&gt;"",REKAP[[#This Row],[Stok Aktual]]-REKAP[[#This Row],[Stok Akhir]],0)</f>
        <v>0</v>
      </c>
      <c r="S452" s="132"/>
      <c r="T452" s="137">
        <f>IF(REKAP[[#This Row],[Selisih]]&lt;=-1,REKAP[[#This Row],[Harga Satuan]]*REKAP[[#This Row],[Selisih]],0)</f>
        <v>0</v>
      </c>
    </row>
    <row r="453" spans="1:20" x14ac:dyDescent="0.25">
      <c r="A453" s="55" t="s">
        <v>3183</v>
      </c>
      <c r="B453" s="55" t="s">
        <v>3150</v>
      </c>
      <c r="C453" s="55" t="s">
        <v>3150</v>
      </c>
      <c r="D453" s="56" t="s">
        <v>3125</v>
      </c>
      <c r="E453" s="57"/>
      <c r="F453" s="75" t="s">
        <v>3161</v>
      </c>
      <c r="G453" s="55" t="s">
        <v>3130</v>
      </c>
      <c r="H453" s="58">
        <v>284287.5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>
        <f>IF(REKAP[[#This Row],[Stok Aktual]]&lt;&gt;"",REKAP[[#This Row],[Stok Aktual]]-REKAP[[#This Row],[Stok Akhir]],0)</f>
        <v>0</v>
      </c>
      <c r="S453" s="132"/>
      <c r="T453" s="137">
        <f>IF(REKAP[[#This Row],[Selisih]]&lt;=-1,REKAP[[#This Row],[Harga Satuan]]*REKAP[[#This Row],[Selisih]],0)</f>
        <v>0</v>
      </c>
    </row>
    <row r="454" spans="1:20" x14ac:dyDescent="0.25">
      <c r="A454" s="55" t="s">
        <v>3184</v>
      </c>
      <c r="B454" s="55" t="s">
        <v>3151</v>
      </c>
      <c r="C454" s="55" t="s">
        <v>3151</v>
      </c>
      <c r="D454" s="56"/>
      <c r="E454" s="57"/>
      <c r="F454" s="75" t="s">
        <v>3161</v>
      </c>
      <c r="G454" s="55" t="s">
        <v>3152</v>
      </c>
      <c r="H454" s="58">
        <v>25000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85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85</v>
      </c>
      <c r="P454" s="55"/>
      <c r="Q454" s="62">
        <f>REKAP[[#This Row],[Harga Satuan]]*REKAP[[#This Row],[Stok Akhir]]</f>
        <v>2125000</v>
      </c>
      <c r="R454" s="61">
        <f>IF(REKAP[[#This Row],[Stok Aktual]]&lt;&gt;"",REKAP[[#This Row],[Stok Aktual]]-REKAP[[#This Row],[Stok Akhir]],0)</f>
        <v>0</v>
      </c>
      <c r="S454" s="132"/>
      <c r="T454" s="137">
        <f>IF(REKAP[[#This Row],[Selisih]]&lt;=-1,REKAP[[#This Row],[Harga Satuan]]*REKAP[[#This Row],[Selisih]],0)</f>
        <v>0</v>
      </c>
    </row>
    <row r="455" spans="1:20" x14ac:dyDescent="0.25">
      <c r="A455" s="55" t="s">
        <v>3185</v>
      </c>
      <c r="B455" s="55" t="s">
        <v>3153</v>
      </c>
      <c r="C455" s="55" t="s">
        <v>3153</v>
      </c>
      <c r="D455" s="56"/>
      <c r="E455" s="57"/>
      <c r="F455" s="75" t="s">
        <v>3161</v>
      </c>
      <c r="G455" s="55"/>
      <c r="H455" s="58">
        <v>1870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>
        <f>IF(REKAP[[#This Row],[Stok Aktual]]&lt;&gt;"",REKAP[[#This Row],[Stok Aktual]]-REKAP[[#This Row],[Stok Akhir]],0)</f>
        <v>0</v>
      </c>
      <c r="S455" s="132"/>
      <c r="T455" s="137">
        <f>IF(REKAP[[#This Row],[Selisih]]&lt;=-1,REKAP[[#This Row],[Harga Satuan]]*REKAP[[#This Row],[Selisih]],0)</f>
        <v>0</v>
      </c>
    </row>
    <row r="456" spans="1:20" x14ac:dyDescent="0.25">
      <c r="A456" s="55" t="s">
        <v>3186</v>
      </c>
      <c r="B456" s="55" t="s">
        <v>3154</v>
      </c>
      <c r="C456" s="55" t="s">
        <v>3154</v>
      </c>
      <c r="D456" s="56"/>
      <c r="E456" s="57"/>
      <c r="F456" s="75" t="s">
        <v>3161</v>
      </c>
      <c r="G456" s="55" t="s">
        <v>3122</v>
      </c>
      <c r="H456" s="58">
        <v>150000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>
        <f>IF(REKAP[[#This Row],[Stok Aktual]]&lt;&gt;"",REKAP[[#This Row],[Stok Aktual]]-REKAP[[#This Row],[Stok Akhir]],0)</f>
        <v>0</v>
      </c>
      <c r="S456" s="132"/>
      <c r="T456" s="137">
        <f>IF(REKAP[[#This Row],[Selisih]]&lt;=-1,REKAP[[#This Row],[Harga Satuan]]*REKAP[[#This Row],[Selisih]],0)</f>
        <v>0</v>
      </c>
    </row>
    <row r="457" spans="1:20" x14ac:dyDescent="0.25">
      <c r="A457" s="55" t="s">
        <v>3187</v>
      </c>
      <c r="B457" s="55" t="s">
        <v>3155</v>
      </c>
      <c r="C457" s="55" t="s">
        <v>3659</v>
      </c>
      <c r="D457" s="56" t="s">
        <v>3125</v>
      </c>
      <c r="E457" s="57"/>
      <c r="F457" s="75" t="s">
        <v>3161</v>
      </c>
      <c r="G457" s="55" t="s">
        <v>3130</v>
      </c>
      <c r="H457" s="58">
        <v>548700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>
        <f>IF(REKAP[[#This Row],[Stok Aktual]]&lt;&gt;"",REKAP[[#This Row],[Stok Aktual]]-REKAP[[#This Row],[Stok Akhir]],0)</f>
        <v>0</v>
      </c>
      <c r="S457" s="132"/>
      <c r="T457" s="137">
        <f>IF(REKAP[[#This Row],[Selisih]]&lt;=-1,REKAP[[#This Row],[Harga Satuan]]*REKAP[[#This Row],[Selisih]],0)</f>
        <v>0</v>
      </c>
    </row>
    <row r="458" spans="1:20" x14ac:dyDescent="0.25">
      <c r="A458" s="55" t="s">
        <v>3188</v>
      </c>
      <c r="B458" s="55" t="s">
        <v>3156</v>
      </c>
      <c r="C458" s="55" t="s">
        <v>3156</v>
      </c>
      <c r="D458" s="56"/>
      <c r="E458" s="57"/>
      <c r="F458" s="75" t="s">
        <v>3161</v>
      </c>
      <c r="G458" s="55" t="s">
        <v>3152</v>
      </c>
      <c r="H458" s="58">
        <v>30000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0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0</v>
      </c>
      <c r="P458" s="55"/>
      <c r="Q458" s="62">
        <f>REKAP[[#This Row],[Harga Satuan]]*REKAP[[#This Row],[Stok Akhir]]</f>
        <v>0</v>
      </c>
      <c r="R458" s="61">
        <f>IF(REKAP[[#This Row],[Stok Aktual]]&lt;&gt;"",REKAP[[#This Row],[Stok Aktual]]-REKAP[[#This Row],[Stok Akhir]],0)</f>
        <v>0</v>
      </c>
      <c r="S458" s="132"/>
      <c r="T458" s="137">
        <f>IF(REKAP[[#This Row],[Selisih]]&lt;=-1,REKAP[[#This Row],[Harga Satuan]]*REKAP[[#This Row],[Selisih]],0)</f>
        <v>0</v>
      </c>
    </row>
    <row r="459" spans="1:20" x14ac:dyDescent="0.25">
      <c r="A459" s="55" t="s">
        <v>3189</v>
      </c>
      <c r="B459" s="55" t="s">
        <v>3157</v>
      </c>
      <c r="C459" s="55" t="s">
        <v>3660</v>
      </c>
      <c r="D459" s="56" t="s">
        <v>3125</v>
      </c>
      <c r="E459" s="57"/>
      <c r="F459" s="75" t="s">
        <v>3161</v>
      </c>
      <c r="G459" s="55" t="s">
        <v>3130</v>
      </c>
      <c r="H459" s="58">
        <v>498500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0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0</v>
      </c>
      <c r="P459" s="55"/>
      <c r="Q459" s="62">
        <f>REKAP[[#This Row],[Harga Satuan]]*REKAP[[#This Row],[Stok Akhir]]</f>
        <v>0</v>
      </c>
      <c r="R459" s="61">
        <f>IF(REKAP[[#This Row],[Stok Aktual]]&lt;&gt;"",REKAP[[#This Row],[Stok Aktual]]-REKAP[[#This Row],[Stok Akhir]],0)</f>
        <v>0</v>
      </c>
      <c r="S459" s="132"/>
      <c r="T459" s="137">
        <f>IF(REKAP[[#This Row],[Selisih]]&lt;=-1,REKAP[[#This Row],[Harga Satuan]]*REKAP[[#This Row],[Selisih]],0)</f>
        <v>0</v>
      </c>
    </row>
    <row r="460" spans="1:20" x14ac:dyDescent="0.25">
      <c r="A460" s="55" t="s">
        <v>3190</v>
      </c>
      <c r="B460" s="55" t="s">
        <v>3158</v>
      </c>
      <c r="C460" s="55" t="s">
        <v>3158</v>
      </c>
      <c r="D460" s="56" t="s">
        <v>3125</v>
      </c>
      <c r="E460" s="57"/>
      <c r="F460" s="75" t="s">
        <v>3161</v>
      </c>
      <c r="G460" s="55" t="s">
        <v>3130</v>
      </c>
      <c r="H460" s="58">
        <v>614125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>
        <f>IF(REKAP[[#This Row],[Stok Aktual]]&lt;&gt;"",REKAP[[#This Row],[Stok Aktual]]-REKAP[[#This Row],[Stok Akhir]],0)</f>
        <v>0</v>
      </c>
      <c r="S460" s="132"/>
      <c r="T460" s="137">
        <f>IF(REKAP[[#This Row],[Selisih]]&lt;=-1,REKAP[[#This Row],[Harga Satuan]]*REKAP[[#This Row],[Selisih]],0)</f>
        <v>0</v>
      </c>
    </row>
    <row r="461" spans="1:20" x14ac:dyDescent="0.25">
      <c r="A461" s="55" t="s">
        <v>3191</v>
      </c>
      <c r="B461" s="55" t="s">
        <v>3159</v>
      </c>
      <c r="C461" s="55" t="s">
        <v>3159</v>
      </c>
      <c r="D461" s="56"/>
      <c r="E461" s="57"/>
      <c r="F461" s="75" t="s">
        <v>3161</v>
      </c>
      <c r="G461" s="55"/>
      <c r="H461" s="58">
        <v>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0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0</v>
      </c>
      <c r="P461" s="55"/>
      <c r="Q461" s="62">
        <f>REKAP[[#This Row],[Harga Satuan]]*REKAP[[#This Row],[Stok Akhir]]</f>
        <v>0</v>
      </c>
      <c r="R461" s="61">
        <f>IF(REKAP[[#This Row],[Stok Aktual]]&lt;&gt;"",REKAP[[#This Row],[Stok Aktual]]-REKAP[[#This Row],[Stok Akhir]],0)</f>
        <v>0</v>
      </c>
      <c r="S461" s="132"/>
      <c r="T461" s="137">
        <f>IF(REKAP[[#This Row],[Selisih]]&lt;=-1,REKAP[[#This Row],[Harga Satuan]]*REKAP[[#This Row],[Selisih]],0)</f>
        <v>0</v>
      </c>
    </row>
    <row r="462" spans="1:20" x14ac:dyDescent="0.25">
      <c r="A462" s="55" t="s">
        <v>3192</v>
      </c>
      <c r="B462" s="55" t="s">
        <v>3160</v>
      </c>
      <c r="C462" s="55" t="s">
        <v>3160</v>
      </c>
      <c r="D462" s="56"/>
      <c r="E462" s="57"/>
      <c r="F462" s="75" t="s">
        <v>3161</v>
      </c>
      <c r="G462" s="55"/>
      <c r="H462" s="58">
        <v>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>
        <f>IF(REKAP[[#This Row],[Stok Aktual]]&lt;&gt;"",REKAP[[#This Row],[Stok Aktual]]-REKAP[[#This Row],[Stok Akhir]],0)</f>
        <v>0</v>
      </c>
      <c r="S462" s="132"/>
      <c r="T462" s="137">
        <f>IF(REKAP[[#This Row],[Selisih]]&lt;=-1,REKAP[[#This Row],[Harga Satuan]]*REKAP[[#This Row],[Selisih]],0)</f>
        <v>0</v>
      </c>
    </row>
    <row r="463" spans="1:20" x14ac:dyDescent="0.25">
      <c r="A463" s="55" t="s">
        <v>691</v>
      </c>
      <c r="B463" s="55" t="s">
        <v>618</v>
      </c>
      <c r="C463" s="55" t="s">
        <v>618</v>
      </c>
      <c r="D463" s="56"/>
      <c r="E463" s="57"/>
      <c r="F463" s="75" t="s">
        <v>801</v>
      </c>
      <c r="G463" s="55"/>
      <c r="H463" s="58">
        <v>20000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1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1</v>
      </c>
      <c r="P463" s="55"/>
      <c r="Q463" s="62">
        <f>REKAP[[#This Row],[Harga Satuan]]*REKAP[[#This Row],[Stok Akhir]]</f>
        <v>20000</v>
      </c>
      <c r="R463" s="61">
        <f>IF(REKAP[[#This Row],[Stok Aktual]]&lt;&gt;"",REKAP[[#This Row],[Stok Aktual]]-REKAP[[#This Row],[Stok Akhir]],0)</f>
        <v>0</v>
      </c>
      <c r="S463" s="132"/>
      <c r="T463" s="137">
        <f>IF(REKAP[[#This Row],[Selisih]]&lt;=-1,REKAP[[#This Row],[Harga Satuan]]*REKAP[[#This Row],[Selisih]],0)</f>
        <v>0</v>
      </c>
    </row>
    <row r="464" spans="1:20" x14ac:dyDescent="0.25">
      <c r="A464" s="55" t="s">
        <v>692</v>
      </c>
      <c r="B464" s="55" t="s">
        <v>619</v>
      </c>
      <c r="C464" s="55" t="s">
        <v>3635</v>
      </c>
      <c r="D464" s="56" t="s">
        <v>3636</v>
      </c>
      <c r="E464" s="57"/>
      <c r="F464" s="75" t="s">
        <v>801</v>
      </c>
      <c r="G464" s="55" t="s">
        <v>826</v>
      </c>
      <c r="H464" s="58">
        <v>5000</v>
      </c>
      <c r="I464" s="59">
        <f>IF(COUNTIF(MASUK[Kode Barang],REKAP[[#This Row],[ID]])=0,0,COUNTIF(MASUK[Kode Barang],REKAP[[#This Row],[ID]]))</f>
        <v>1</v>
      </c>
      <c r="J464" s="59">
        <f>IF(COUNTIF(MASUK8[Kode Barang],REKAP[[#This Row],[ID]])=0,0,COUNTIF(MASUK8[Kode Barang],REKAP[[#This Row],[ID]]))</f>
        <v>12</v>
      </c>
      <c r="K464" s="60">
        <f>REKAP[[#This Row],[Trx In]]+REKAP[[#This Row],[Trx Out]]</f>
        <v>13</v>
      </c>
      <c r="L464" s="55">
        <v>15</v>
      </c>
      <c r="M464" s="74">
        <f>SUMIF(MASUK!$C:$C,REKAP[[#This Row],[ID]],MASUK!$H:$H)</f>
        <v>12</v>
      </c>
      <c r="N464" s="74">
        <f>SUMIF(KELUAR!$C:$C,REKAP[[#This Row],[ID]],KELUAR!$H:$H)</f>
        <v>23</v>
      </c>
      <c r="O464" s="74">
        <f>REKAP[[#This Row],[Stok Awal]]+REKAP[[#This Row],[Masuk]]-REKAP[[#This Row],[Keluar]]</f>
        <v>4</v>
      </c>
      <c r="P464" s="55">
        <v>4</v>
      </c>
      <c r="Q464" s="62">
        <f>REKAP[[#This Row],[Harga Satuan]]*REKAP[[#This Row],[Stok Akhir]]</f>
        <v>20000</v>
      </c>
      <c r="R464" s="61">
        <f>IF(REKAP[[#This Row],[Stok Aktual]]&lt;&gt;"",REKAP[[#This Row],[Stok Aktual]]-REKAP[[#This Row],[Stok Akhir]],0)</f>
        <v>0</v>
      </c>
      <c r="S464" s="132"/>
      <c r="T464" s="137">
        <f>IF(REKAP[[#This Row],[Selisih]]&lt;=-1,REKAP[[#This Row],[Harga Satuan]]*REKAP[[#This Row],[Selisih]],0)</f>
        <v>0</v>
      </c>
    </row>
    <row r="465" spans="1:20" x14ac:dyDescent="0.25">
      <c r="A465" s="55" t="s">
        <v>693</v>
      </c>
      <c r="B465" s="55" t="s">
        <v>3634</v>
      </c>
      <c r="C465" s="55" t="s">
        <v>3620</v>
      </c>
      <c r="D465" s="56" t="s">
        <v>3621</v>
      </c>
      <c r="E465" s="57"/>
      <c r="F465" s="75" t="s">
        <v>801</v>
      </c>
      <c r="G465" s="55" t="s">
        <v>826</v>
      </c>
      <c r="H465" s="58">
        <v>3500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10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10</v>
      </c>
      <c r="P465" s="55"/>
      <c r="Q465" s="62">
        <f>REKAP[[#This Row],[Harga Satuan]]*REKAP[[#This Row],[Stok Akhir]]</f>
        <v>35000</v>
      </c>
      <c r="R465" s="61">
        <f>IF(REKAP[[#This Row],[Stok Aktual]]&lt;&gt;"",REKAP[[#This Row],[Stok Aktual]]-REKAP[[#This Row],[Stok Akhir]],0)</f>
        <v>0</v>
      </c>
      <c r="S465" s="132"/>
      <c r="T465" s="137">
        <f>IF(REKAP[[#This Row],[Selisih]]&lt;=-1,REKAP[[#This Row],[Harga Satuan]]*REKAP[[#This Row],[Selisih]],0)</f>
        <v>0</v>
      </c>
    </row>
    <row r="466" spans="1:20" x14ac:dyDescent="0.25">
      <c r="A466" s="55" t="s">
        <v>694</v>
      </c>
      <c r="B466" s="55" t="s">
        <v>3634</v>
      </c>
      <c r="C466" s="55" t="s">
        <v>3620</v>
      </c>
      <c r="D466" s="56" t="s">
        <v>3622</v>
      </c>
      <c r="E466" s="57"/>
      <c r="F466" s="75" t="s">
        <v>801</v>
      </c>
      <c r="G466" s="55"/>
      <c r="H466" s="58">
        <v>3000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28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28</v>
      </c>
      <c r="P466" s="55"/>
      <c r="Q466" s="62">
        <f>REKAP[[#This Row],[Harga Satuan]]*REKAP[[#This Row],[Stok Akhir]]</f>
        <v>84000</v>
      </c>
      <c r="R466" s="61">
        <f>IF(REKAP[[#This Row],[Stok Aktual]]&lt;&gt;"",REKAP[[#This Row],[Stok Aktual]]-REKAP[[#This Row],[Stok Akhir]],0)</f>
        <v>0</v>
      </c>
      <c r="S466" s="132"/>
      <c r="T466" s="137">
        <f>IF(REKAP[[#This Row],[Selisih]]&lt;=-1,REKAP[[#This Row],[Harga Satuan]]*REKAP[[#This Row],[Selisih]],0)</f>
        <v>0</v>
      </c>
    </row>
    <row r="467" spans="1:20" x14ac:dyDescent="0.25">
      <c r="A467" s="55" t="s">
        <v>695</v>
      </c>
      <c r="B467" s="55" t="s">
        <v>3634</v>
      </c>
      <c r="C467" s="55" t="s">
        <v>3620</v>
      </c>
      <c r="D467" s="56" t="s">
        <v>3623</v>
      </c>
      <c r="E467" s="57"/>
      <c r="F467" s="75" t="s">
        <v>801</v>
      </c>
      <c r="G467" s="55"/>
      <c r="H467" s="58">
        <v>3500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11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11</v>
      </c>
      <c r="P467" s="55"/>
      <c r="Q467" s="62">
        <f>REKAP[[#This Row],[Harga Satuan]]*REKAP[[#This Row],[Stok Akhir]]</f>
        <v>38500</v>
      </c>
      <c r="R467" s="61">
        <f>IF(REKAP[[#This Row],[Stok Aktual]]&lt;&gt;"",REKAP[[#This Row],[Stok Aktual]]-REKAP[[#This Row],[Stok Akhir]],0)</f>
        <v>0</v>
      </c>
      <c r="S467" s="132"/>
      <c r="T467" s="137">
        <f>IF(REKAP[[#This Row],[Selisih]]&lt;=-1,REKAP[[#This Row],[Harga Satuan]]*REKAP[[#This Row],[Selisih]],0)</f>
        <v>0</v>
      </c>
    </row>
    <row r="468" spans="1:20" x14ac:dyDescent="0.25">
      <c r="A468" s="55" t="s">
        <v>696</v>
      </c>
      <c r="B468" s="55" t="s">
        <v>3634</v>
      </c>
      <c r="C468" s="55" t="s">
        <v>3620</v>
      </c>
      <c r="D468" s="56" t="s">
        <v>3624</v>
      </c>
      <c r="E468" s="57"/>
      <c r="F468" s="75" t="s">
        <v>801</v>
      </c>
      <c r="G468" s="55" t="s">
        <v>826</v>
      </c>
      <c r="H468" s="58">
        <v>2500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24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24</v>
      </c>
      <c r="P468" s="55"/>
      <c r="Q468" s="62">
        <f>REKAP[[#This Row],[Harga Satuan]]*REKAP[[#This Row],[Stok Akhir]]</f>
        <v>60000</v>
      </c>
      <c r="R468" s="61">
        <f>IF(REKAP[[#This Row],[Stok Aktual]]&lt;&gt;"",REKAP[[#This Row],[Stok Aktual]]-REKAP[[#This Row],[Stok Akhir]],0)</f>
        <v>0</v>
      </c>
      <c r="S468" s="132"/>
      <c r="T468" s="137">
        <f>IF(REKAP[[#This Row],[Selisih]]&lt;=-1,REKAP[[#This Row],[Harga Satuan]]*REKAP[[#This Row],[Selisih]],0)</f>
        <v>0</v>
      </c>
    </row>
    <row r="469" spans="1:20" x14ac:dyDescent="0.25">
      <c r="A469" s="55" t="s">
        <v>697</v>
      </c>
      <c r="B469" s="55" t="s">
        <v>3634</v>
      </c>
      <c r="C469" s="55" t="s">
        <v>3620</v>
      </c>
      <c r="D469" s="56" t="s">
        <v>3625</v>
      </c>
      <c r="E469" s="57"/>
      <c r="F469" s="75" t="s">
        <v>801</v>
      </c>
      <c r="G469" s="55"/>
      <c r="H469" s="58">
        <v>3900</v>
      </c>
      <c r="I469" s="59">
        <f>IF(COUNTIF(MASUK[Kode Barang],REKAP[[#This Row],[ID]])=0,0,COUNTIF(MASUK[Kode Barang],REKAP[[#This Row],[ID]]))</f>
        <v>1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1</v>
      </c>
      <c r="L469" s="55">
        <v>11</v>
      </c>
      <c r="M469" s="74">
        <f>SUMIF(MASUK!$C:$C,REKAP[[#This Row],[ID]],MASUK!$H:$H)</f>
        <v>5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16</v>
      </c>
      <c r="P469" s="55">
        <v>16</v>
      </c>
      <c r="Q469" s="62">
        <f>REKAP[[#This Row],[Harga Satuan]]*REKAP[[#This Row],[Stok Akhir]]</f>
        <v>62400</v>
      </c>
      <c r="R469" s="61">
        <f>IF(REKAP[[#This Row],[Stok Aktual]]&lt;&gt;"",REKAP[[#This Row],[Stok Aktual]]-REKAP[[#This Row],[Stok Akhir]],0)</f>
        <v>0</v>
      </c>
      <c r="S469" s="132"/>
      <c r="T469" s="137">
        <f>IF(REKAP[[#This Row],[Selisih]]&lt;=-1,REKAP[[#This Row],[Harga Satuan]]*REKAP[[#This Row],[Selisih]],0)</f>
        <v>0</v>
      </c>
    </row>
    <row r="470" spans="1:20" x14ac:dyDescent="0.25">
      <c r="A470" s="55" t="s">
        <v>698</v>
      </c>
      <c r="B470" s="55" t="s">
        <v>3634</v>
      </c>
      <c r="C470" s="55" t="s">
        <v>3620</v>
      </c>
      <c r="D470" s="56" t="s">
        <v>3626</v>
      </c>
      <c r="E470" s="57"/>
      <c r="F470" s="75" t="s">
        <v>801</v>
      </c>
      <c r="G470" s="55"/>
      <c r="H470" s="58">
        <v>3000</v>
      </c>
      <c r="I470" s="59">
        <f>IF(COUNTIF(MASUK[Kode Barang],REKAP[[#This Row],[ID]])=0,0,COUNTIF(MASUK[Kode Barang],REKAP[[#This Row],[ID]]))</f>
        <v>1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1</v>
      </c>
      <c r="L470" s="55">
        <v>12</v>
      </c>
      <c r="M470" s="74">
        <f>SUMIF(MASUK!$C:$C,REKAP[[#This Row],[ID]],MASUK!$H:$H)</f>
        <v>5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17</v>
      </c>
      <c r="P470" s="55">
        <v>17</v>
      </c>
      <c r="Q470" s="62">
        <f>REKAP[[#This Row],[Harga Satuan]]*REKAP[[#This Row],[Stok Akhir]]</f>
        <v>51000</v>
      </c>
      <c r="R470" s="61">
        <f>IF(REKAP[[#This Row],[Stok Aktual]]&lt;&gt;"",REKAP[[#This Row],[Stok Aktual]]-REKAP[[#This Row],[Stok Akhir]],0)</f>
        <v>0</v>
      </c>
      <c r="S470" s="132"/>
      <c r="T470" s="137">
        <f>IF(REKAP[[#This Row],[Selisih]]&lt;=-1,REKAP[[#This Row],[Harga Satuan]]*REKAP[[#This Row],[Selisih]],0)</f>
        <v>0</v>
      </c>
    </row>
    <row r="471" spans="1:20" x14ac:dyDescent="0.25">
      <c r="A471" s="55" t="s">
        <v>699</v>
      </c>
      <c r="B471" s="55" t="s">
        <v>3634</v>
      </c>
      <c r="C471" s="55" t="s">
        <v>3620</v>
      </c>
      <c r="D471" s="56" t="s">
        <v>3627</v>
      </c>
      <c r="E471" s="57"/>
      <c r="F471" s="75" t="s">
        <v>801</v>
      </c>
      <c r="G471" s="55" t="s">
        <v>826</v>
      </c>
      <c r="H471" s="58">
        <v>3500</v>
      </c>
      <c r="I471" s="59">
        <f>IF(COUNTIF(MASUK[Kode Barang],REKAP[[#This Row],[ID]])=0,0,COUNTIF(MASUK[Kode Barang],REKAP[[#This Row],[ID]]))</f>
        <v>1</v>
      </c>
      <c r="J471" s="59">
        <f>IF(COUNTIF(MASUK8[Kode Barang],REKAP[[#This Row],[ID]])=0,0,COUNTIF(MASUK8[Kode Barang],REKAP[[#This Row],[ID]]))</f>
        <v>1</v>
      </c>
      <c r="K471" s="60">
        <f>REKAP[[#This Row],[Trx In]]+REKAP[[#This Row],[Trx Out]]</f>
        <v>2</v>
      </c>
      <c r="L471" s="55">
        <v>11</v>
      </c>
      <c r="M471" s="74">
        <f>SUMIF(MASUK!$C:$C,REKAP[[#This Row],[ID]],MASUK!$H:$H)</f>
        <v>5</v>
      </c>
      <c r="N471" s="74">
        <f>SUMIF(KELUAR!$C:$C,REKAP[[#This Row],[ID]],KELUAR!$H:$H)</f>
        <v>2</v>
      </c>
      <c r="O471" s="74">
        <f>REKAP[[#This Row],[Stok Awal]]+REKAP[[#This Row],[Masuk]]-REKAP[[#This Row],[Keluar]]</f>
        <v>14</v>
      </c>
      <c r="P471" s="55">
        <v>14</v>
      </c>
      <c r="Q471" s="62">
        <f>REKAP[[#This Row],[Harga Satuan]]*REKAP[[#This Row],[Stok Akhir]]</f>
        <v>49000</v>
      </c>
      <c r="R471" s="61">
        <f>IF(REKAP[[#This Row],[Stok Aktual]]&lt;&gt;"",REKAP[[#This Row],[Stok Aktual]]-REKAP[[#This Row],[Stok Akhir]],0)</f>
        <v>0</v>
      </c>
      <c r="S471" s="132"/>
      <c r="T471" s="137">
        <f>IF(REKAP[[#This Row],[Selisih]]&lt;=-1,REKAP[[#This Row],[Harga Satuan]]*REKAP[[#This Row],[Selisih]],0)</f>
        <v>0</v>
      </c>
    </row>
    <row r="472" spans="1:20" x14ac:dyDescent="0.25">
      <c r="A472" s="55" t="s">
        <v>700</v>
      </c>
      <c r="B472" s="55" t="s">
        <v>3634</v>
      </c>
      <c r="C472" s="55" t="s">
        <v>3620</v>
      </c>
      <c r="D472" s="56" t="s">
        <v>3628</v>
      </c>
      <c r="E472" s="57"/>
      <c r="F472" s="75" t="s">
        <v>801</v>
      </c>
      <c r="G472" s="55" t="s">
        <v>826</v>
      </c>
      <c r="H472" s="58">
        <v>4000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1</v>
      </c>
      <c r="K472" s="60">
        <f>REKAP[[#This Row],[Trx In]]+REKAP[[#This Row],[Trx Out]]</f>
        <v>1</v>
      </c>
      <c r="L472" s="55">
        <v>8</v>
      </c>
      <c r="M472" s="74">
        <f>SUMIF(MASUK!$C:$C,REKAP[[#This Row],[ID]],MASUK!$H:$H)</f>
        <v>0</v>
      </c>
      <c r="N472" s="74">
        <f>SUMIF(KELUAR!$C:$C,REKAP[[#This Row],[ID]],KELUAR!$H:$H)</f>
        <v>2</v>
      </c>
      <c r="O472" s="74">
        <f>REKAP[[#This Row],[Stok Awal]]+REKAP[[#This Row],[Masuk]]-REKAP[[#This Row],[Keluar]]</f>
        <v>6</v>
      </c>
      <c r="P472" s="55">
        <v>6</v>
      </c>
      <c r="Q472" s="62">
        <f>REKAP[[#This Row],[Harga Satuan]]*REKAP[[#This Row],[Stok Akhir]]</f>
        <v>24000</v>
      </c>
      <c r="R472" s="61">
        <f>IF(REKAP[[#This Row],[Stok Aktual]]&lt;&gt;"",REKAP[[#This Row],[Stok Aktual]]-REKAP[[#This Row],[Stok Akhir]],0)</f>
        <v>0</v>
      </c>
      <c r="S472" s="132"/>
      <c r="T472" s="137">
        <f>IF(REKAP[[#This Row],[Selisih]]&lt;=-1,REKAP[[#This Row],[Harga Satuan]]*REKAP[[#This Row],[Selisih]],0)</f>
        <v>0</v>
      </c>
    </row>
    <row r="473" spans="1:20" x14ac:dyDescent="0.25">
      <c r="A473" s="55" t="s">
        <v>701</v>
      </c>
      <c r="B473" s="55" t="s">
        <v>3634</v>
      </c>
      <c r="C473" s="55" t="s">
        <v>3620</v>
      </c>
      <c r="D473" s="56" t="s">
        <v>3629</v>
      </c>
      <c r="E473" s="57"/>
      <c r="F473" s="75" t="s">
        <v>801</v>
      </c>
      <c r="G473" s="55" t="s">
        <v>826</v>
      </c>
      <c r="H473" s="58">
        <v>4000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1</v>
      </c>
      <c r="K473" s="60">
        <f>REKAP[[#This Row],[Trx In]]+REKAP[[#This Row],[Trx Out]]</f>
        <v>1</v>
      </c>
      <c r="L473" s="55">
        <v>8</v>
      </c>
      <c r="M473" s="74">
        <f>SUMIF(MASUK!$C:$C,REKAP[[#This Row],[ID]],MASUK!$H:$H)</f>
        <v>0</v>
      </c>
      <c r="N473" s="74">
        <f>SUMIF(KELUAR!$C:$C,REKAP[[#This Row],[ID]],KELUAR!$H:$H)</f>
        <v>2</v>
      </c>
      <c r="O473" s="74">
        <f>REKAP[[#This Row],[Stok Awal]]+REKAP[[#This Row],[Masuk]]-REKAP[[#This Row],[Keluar]]</f>
        <v>6</v>
      </c>
      <c r="P473" s="55">
        <v>6</v>
      </c>
      <c r="Q473" s="62">
        <f>REKAP[[#This Row],[Harga Satuan]]*REKAP[[#This Row],[Stok Akhir]]</f>
        <v>24000</v>
      </c>
      <c r="R473" s="61">
        <f>IF(REKAP[[#This Row],[Stok Aktual]]&lt;&gt;"",REKAP[[#This Row],[Stok Aktual]]-REKAP[[#This Row],[Stok Akhir]],0)</f>
        <v>0</v>
      </c>
      <c r="S473" s="132"/>
      <c r="T473" s="137">
        <f>IF(REKAP[[#This Row],[Selisih]]&lt;=-1,REKAP[[#This Row],[Harga Satuan]]*REKAP[[#This Row],[Selisih]],0)</f>
        <v>0</v>
      </c>
    </row>
    <row r="474" spans="1:20" x14ac:dyDescent="0.25">
      <c r="A474" s="55" t="s">
        <v>702</v>
      </c>
      <c r="B474" s="55" t="s">
        <v>3634</v>
      </c>
      <c r="C474" s="55" t="s">
        <v>3620</v>
      </c>
      <c r="D474" s="56" t="s">
        <v>3630</v>
      </c>
      <c r="E474" s="57"/>
      <c r="F474" s="75" t="s">
        <v>801</v>
      </c>
      <c r="G474" s="55" t="s">
        <v>826</v>
      </c>
      <c r="H474" s="58">
        <v>3000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18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18</v>
      </c>
      <c r="P474" s="55"/>
      <c r="Q474" s="62">
        <f>REKAP[[#This Row],[Harga Satuan]]*REKAP[[#This Row],[Stok Akhir]]</f>
        <v>54000</v>
      </c>
      <c r="R474" s="61">
        <f>IF(REKAP[[#This Row],[Stok Aktual]]&lt;&gt;"",REKAP[[#This Row],[Stok Aktual]]-REKAP[[#This Row],[Stok Akhir]],0)</f>
        <v>0</v>
      </c>
      <c r="S474" s="132"/>
      <c r="T474" s="137">
        <f>IF(REKAP[[#This Row],[Selisih]]&lt;=-1,REKAP[[#This Row],[Harga Satuan]]*REKAP[[#This Row],[Selisih]],0)</f>
        <v>0</v>
      </c>
    </row>
    <row r="475" spans="1:20" x14ac:dyDescent="0.25">
      <c r="A475" s="55" t="s">
        <v>703</v>
      </c>
      <c r="B475" s="55" t="s">
        <v>3634</v>
      </c>
      <c r="C475" s="55" t="s">
        <v>3620</v>
      </c>
      <c r="D475" s="56" t="s">
        <v>3631</v>
      </c>
      <c r="E475" s="57"/>
      <c r="F475" s="75" t="s">
        <v>801</v>
      </c>
      <c r="G475" s="55" t="s">
        <v>826</v>
      </c>
      <c r="H475" s="58">
        <v>4000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4</v>
      </c>
      <c r="K475" s="60">
        <f>REKAP[[#This Row],[Trx In]]+REKAP[[#This Row],[Trx Out]]</f>
        <v>4</v>
      </c>
      <c r="L475" s="55">
        <v>8</v>
      </c>
      <c r="M475" s="74">
        <f>SUMIF(MASUK!$C:$C,REKAP[[#This Row],[ID]],MASUK!$H:$H)</f>
        <v>0</v>
      </c>
      <c r="N475" s="74">
        <f>SUMIF(KELUAR!$C:$C,REKAP[[#This Row],[ID]],KELUAR!$H:$H)</f>
        <v>8</v>
      </c>
      <c r="O475" s="74">
        <f>REKAP[[#This Row],[Stok Awal]]+REKAP[[#This Row],[Masuk]]-REKAP[[#This Row],[Keluar]]</f>
        <v>0</v>
      </c>
      <c r="P475" s="55">
        <v>0</v>
      </c>
      <c r="Q475" s="62">
        <f>REKAP[[#This Row],[Harga Satuan]]*REKAP[[#This Row],[Stok Akhir]]</f>
        <v>0</v>
      </c>
      <c r="R475" s="61">
        <f>IF(REKAP[[#This Row],[Stok Aktual]]&lt;&gt;"",REKAP[[#This Row],[Stok Aktual]]-REKAP[[#This Row],[Stok Akhir]],0)</f>
        <v>0</v>
      </c>
      <c r="S475" s="132"/>
      <c r="T475" s="137">
        <f>IF(REKAP[[#This Row],[Selisih]]&lt;=-1,REKAP[[#This Row],[Harga Satuan]]*REKAP[[#This Row],[Selisih]],0)</f>
        <v>0</v>
      </c>
    </row>
    <row r="476" spans="1:20" x14ac:dyDescent="0.25">
      <c r="A476" s="55" t="s">
        <v>704</v>
      </c>
      <c r="B476" s="55" t="s">
        <v>3634</v>
      </c>
      <c r="C476" s="55" t="s">
        <v>3620</v>
      </c>
      <c r="D476" s="56" t="s">
        <v>3632</v>
      </c>
      <c r="E476" s="57"/>
      <c r="F476" s="75" t="s">
        <v>801</v>
      </c>
      <c r="G476" s="55"/>
      <c r="H476" s="58">
        <v>3900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22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22</v>
      </c>
      <c r="P476" s="55"/>
      <c r="Q476" s="62">
        <f>REKAP[[#This Row],[Harga Satuan]]*REKAP[[#This Row],[Stok Akhir]]</f>
        <v>85800</v>
      </c>
      <c r="R476" s="61">
        <f>IF(REKAP[[#This Row],[Stok Aktual]]&lt;&gt;"",REKAP[[#This Row],[Stok Aktual]]-REKAP[[#This Row],[Stok Akhir]],0)</f>
        <v>0</v>
      </c>
      <c r="S476" s="132"/>
      <c r="T476" s="137">
        <f>IF(REKAP[[#This Row],[Selisih]]&lt;=-1,REKAP[[#This Row],[Harga Satuan]]*REKAP[[#This Row],[Selisih]],0)</f>
        <v>0</v>
      </c>
    </row>
    <row r="477" spans="1:20" x14ac:dyDescent="0.25">
      <c r="A477" s="55" t="s">
        <v>705</v>
      </c>
      <c r="B477" s="55" t="s">
        <v>3634</v>
      </c>
      <c r="C477" s="55" t="s">
        <v>3620</v>
      </c>
      <c r="D477" s="56" t="s">
        <v>3633</v>
      </c>
      <c r="E477" s="57"/>
      <c r="F477" s="75" t="s">
        <v>801</v>
      </c>
      <c r="G477" s="55" t="s">
        <v>826</v>
      </c>
      <c r="H477" s="58">
        <v>4000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7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7</v>
      </c>
      <c r="P477" s="55"/>
      <c r="Q477" s="62">
        <f>REKAP[[#This Row],[Harga Satuan]]*REKAP[[#This Row],[Stok Akhir]]</f>
        <v>28000</v>
      </c>
      <c r="R477" s="61">
        <f>IF(REKAP[[#This Row],[Stok Aktual]]&lt;&gt;"",REKAP[[#This Row],[Stok Aktual]]-REKAP[[#This Row],[Stok Akhir]],0)</f>
        <v>0</v>
      </c>
      <c r="S477" s="132"/>
      <c r="T477" s="137">
        <f>IF(REKAP[[#This Row],[Selisih]]&lt;=-1,REKAP[[#This Row],[Harga Satuan]]*REKAP[[#This Row],[Selisih]],0)</f>
        <v>0</v>
      </c>
    </row>
    <row r="478" spans="1:20" x14ac:dyDescent="0.25">
      <c r="A478" s="55" t="s">
        <v>706</v>
      </c>
      <c r="B478" s="55" t="s">
        <v>620</v>
      </c>
      <c r="C478" s="55" t="s">
        <v>3637</v>
      </c>
      <c r="D478" s="56" t="s">
        <v>3638</v>
      </c>
      <c r="E478" s="57"/>
      <c r="F478" s="75" t="s">
        <v>801</v>
      </c>
      <c r="G478" s="55"/>
      <c r="H478" s="58">
        <v>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0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0</v>
      </c>
      <c r="P478" s="55"/>
      <c r="Q478" s="62">
        <f>REKAP[[#This Row],[Harga Satuan]]*REKAP[[#This Row],[Stok Akhir]]</f>
        <v>0</v>
      </c>
      <c r="R478" s="61">
        <f>IF(REKAP[[#This Row],[Stok Aktual]]&lt;&gt;"",REKAP[[#This Row],[Stok Aktual]]-REKAP[[#This Row],[Stok Akhir]],0)</f>
        <v>0</v>
      </c>
      <c r="S478" s="132"/>
      <c r="T478" s="137">
        <f>IF(REKAP[[#This Row],[Selisih]]&lt;=-1,REKAP[[#This Row],[Harga Satuan]]*REKAP[[#This Row],[Selisih]],0)</f>
        <v>0</v>
      </c>
    </row>
    <row r="479" spans="1:20" x14ac:dyDescent="0.25">
      <c r="A479" s="55" t="s">
        <v>707</v>
      </c>
      <c r="B479" s="55" t="s">
        <v>621</v>
      </c>
      <c r="C479" s="55"/>
      <c r="D479" s="56" t="s">
        <v>802</v>
      </c>
      <c r="E479" s="57"/>
      <c r="F479" s="75" t="s">
        <v>801</v>
      </c>
      <c r="G479" s="55"/>
      <c r="H479" s="58">
        <v>92610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>
        <f>IF(REKAP[[#This Row],[Stok Aktual]]&lt;&gt;"",REKAP[[#This Row],[Stok Aktual]]-REKAP[[#This Row],[Stok Akhir]],0)</f>
        <v>0</v>
      </c>
      <c r="S479" s="132"/>
      <c r="T479" s="137">
        <f>IF(REKAP[[#This Row],[Selisih]]&lt;=-1,REKAP[[#This Row],[Harga Satuan]]*REKAP[[#This Row],[Selisih]],0)</f>
        <v>0</v>
      </c>
    </row>
    <row r="480" spans="1:20" x14ac:dyDescent="0.25">
      <c r="A480" s="55" t="s">
        <v>708</v>
      </c>
      <c r="B480" s="55" t="s">
        <v>621</v>
      </c>
      <c r="C480" s="55"/>
      <c r="D480" s="56" t="s">
        <v>803</v>
      </c>
      <c r="E480" s="57"/>
      <c r="F480" s="75" t="s">
        <v>801</v>
      </c>
      <c r="G480" s="55" t="s">
        <v>827</v>
      </c>
      <c r="H480" s="58">
        <v>40000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1</v>
      </c>
      <c r="K480" s="60">
        <f>REKAP[[#This Row],[Trx In]]+REKAP[[#This Row],[Trx Out]]</f>
        <v>1</v>
      </c>
      <c r="L480" s="55">
        <v>6</v>
      </c>
      <c r="M480" s="74">
        <f>SUMIF(MASUK!$C:$C,REKAP[[#This Row],[ID]],MASUK!$H:$H)</f>
        <v>0</v>
      </c>
      <c r="N480" s="74">
        <f>SUMIF(KELUAR!$C:$C,REKAP[[#This Row],[ID]],KELUAR!$H:$H)</f>
        <v>1</v>
      </c>
      <c r="O480" s="74">
        <f>REKAP[[#This Row],[Stok Awal]]+REKAP[[#This Row],[Masuk]]-REKAP[[#This Row],[Keluar]]</f>
        <v>5</v>
      </c>
      <c r="P480" s="55">
        <v>5</v>
      </c>
      <c r="Q480" s="62">
        <f>REKAP[[#This Row],[Harga Satuan]]*REKAP[[#This Row],[Stok Akhir]]</f>
        <v>200000</v>
      </c>
      <c r="R480" s="61">
        <f>IF(REKAP[[#This Row],[Stok Aktual]]&lt;&gt;"",REKAP[[#This Row],[Stok Aktual]]-REKAP[[#This Row],[Stok Akhir]],0)</f>
        <v>0</v>
      </c>
      <c r="S480" s="132"/>
      <c r="T480" s="137">
        <f>IF(REKAP[[#This Row],[Selisih]]&lt;=-1,REKAP[[#This Row],[Harga Satuan]]*REKAP[[#This Row],[Selisih]],0)</f>
        <v>0</v>
      </c>
    </row>
    <row r="481" spans="1:20" x14ac:dyDescent="0.25">
      <c r="A481" s="55" t="s">
        <v>709</v>
      </c>
      <c r="B481" s="55" t="s">
        <v>622</v>
      </c>
      <c r="C481" s="55"/>
      <c r="D481" s="56"/>
      <c r="E481" s="57"/>
      <c r="F481" s="75" t="s">
        <v>801</v>
      </c>
      <c r="G481" s="55"/>
      <c r="H481" s="58">
        <v>30000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0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0</v>
      </c>
      <c r="P481" s="55"/>
      <c r="Q481" s="62">
        <f>REKAP[[#This Row],[Harga Satuan]]*REKAP[[#This Row],[Stok Akhir]]</f>
        <v>0</v>
      </c>
      <c r="R481" s="61">
        <f>IF(REKAP[[#This Row],[Stok Aktual]]&lt;&gt;"",REKAP[[#This Row],[Stok Aktual]]-REKAP[[#This Row],[Stok Akhir]],0)</f>
        <v>0</v>
      </c>
      <c r="S481" s="132"/>
      <c r="T481" s="137">
        <f>IF(REKAP[[#This Row],[Selisih]]&lt;=-1,REKAP[[#This Row],[Harga Satuan]]*REKAP[[#This Row],[Selisih]],0)</f>
        <v>0</v>
      </c>
    </row>
    <row r="482" spans="1:20" x14ac:dyDescent="0.25">
      <c r="A482" s="55" t="s">
        <v>710</v>
      </c>
      <c r="B482" s="55" t="s">
        <v>623</v>
      </c>
      <c r="C482" s="55"/>
      <c r="D482" s="56" t="s">
        <v>804</v>
      </c>
      <c r="E482" s="57"/>
      <c r="F482" s="75" t="s">
        <v>801</v>
      </c>
      <c r="G482" s="55"/>
      <c r="H482" s="58">
        <v>20000</v>
      </c>
      <c r="I482" s="59">
        <f>IF(COUNTIF(MASUK[Kode Barang],REKAP[[#This Row],[ID]])=0,0,COUNTIF(MASUK[Kode Barang],REKAP[[#This Row],[ID]]))</f>
        <v>1</v>
      </c>
      <c r="J482" s="59">
        <f>IF(COUNTIF(MASUK8[Kode Barang],REKAP[[#This Row],[ID]])=0,0,COUNTIF(MASUK8[Kode Barang],REKAP[[#This Row],[ID]]))</f>
        <v>2</v>
      </c>
      <c r="K482" s="60">
        <f>REKAP[[#This Row],[Trx In]]+REKAP[[#This Row],[Trx Out]]</f>
        <v>3</v>
      </c>
      <c r="L482" s="55">
        <v>0</v>
      </c>
      <c r="M482" s="74">
        <f>SUMIF(MASUK!$C:$C,REKAP[[#This Row],[ID]],MASUK!$H:$H)</f>
        <v>3</v>
      </c>
      <c r="N482" s="74">
        <f>SUMIF(KELUAR!$C:$C,REKAP[[#This Row],[ID]],KELUAR!$H:$H)</f>
        <v>2</v>
      </c>
      <c r="O482" s="74">
        <f>REKAP[[#This Row],[Stok Awal]]+REKAP[[#This Row],[Masuk]]-REKAP[[#This Row],[Keluar]]</f>
        <v>1</v>
      </c>
      <c r="P482" s="55">
        <v>1</v>
      </c>
      <c r="Q482" s="62">
        <f>REKAP[[#This Row],[Harga Satuan]]*REKAP[[#This Row],[Stok Akhir]]</f>
        <v>20000</v>
      </c>
      <c r="R482" s="61">
        <f>IF(REKAP[[#This Row],[Stok Aktual]]&lt;&gt;"",REKAP[[#This Row],[Stok Aktual]]-REKAP[[#This Row],[Stok Akhir]],0)</f>
        <v>0</v>
      </c>
      <c r="S482" s="132"/>
      <c r="T482" s="137">
        <f>IF(REKAP[[#This Row],[Selisih]]&lt;=-1,REKAP[[#This Row],[Harga Satuan]]*REKAP[[#This Row],[Selisih]],0)</f>
        <v>0</v>
      </c>
    </row>
    <row r="483" spans="1:20" x14ac:dyDescent="0.25">
      <c r="A483" s="55" t="s">
        <v>711</v>
      </c>
      <c r="B483" s="55" t="s">
        <v>623</v>
      </c>
      <c r="C483" s="55"/>
      <c r="D483" s="56" t="s">
        <v>805</v>
      </c>
      <c r="E483" s="57"/>
      <c r="F483" s="75" t="s">
        <v>801</v>
      </c>
      <c r="G483" s="55"/>
      <c r="H483" s="58">
        <v>20000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1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1</v>
      </c>
      <c r="P483" s="55"/>
      <c r="Q483" s="62">
        <f>REKAP[[#This Row],[Harga Satuan]]*REKAP[[#This Row],[Stok Akhir]]</f>
        <v>20000</v>
      </c>
      <c r="R483" s="61">
        <f>IF(REKAP[[#This Row],[Stok Aktual]]&lt;&gt;"",REKAP[[#This Row],[Stok Aktual]]-REKAP[[#This Row],[Stok Akhir]],0)</f>
        <v>0</v>
      </c>
      <c r="S483" s="132"/>
      <c r="T483" s="137">
        <f>IF(REKAP[[#This Row],[Selisih]]&lt;=-1,REKAP[[#This Row],[Harga Satuan]]*REKAP[[#This Row],[Selisih]],0)</f>
        <v>0</v>
      </c>
    </row>
    <row r="484" spans="1:20" x14ac:dyDescent="0.25">
      <c r="A484" s="55" t="s">
        <v>712</v>
      </c>
      <c r="B484" s="55" t="s">
        <v>624</v>
      </c>
      <c r="C484" s="55"/>
      <c r="D484" s="56"/>
      <c r="E484" s="57"/>
      <c r="F484" s="75" t="s">
        <v>801</v>
      </c>
      <c r="G484" s="55"/>
      <c r="H484" s="58">
        <v>35000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1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1</v>
      </c>
      <c r="P484" s="55"/>
      <c r="Q484" s="62">
        <f>REKAP[[#This Row],[Harga Satuan]]*REKAP[[#This Row],[Stok Akhir]]</f>
        <v>35000</v>
      </c>
      <c r="R484" s="61">
        <f>IF(REKAP[[#This Row],[Stok Aktual]]&lt;&gt;"",REKAP[[#This Row],[Stok Aktual]]-REKAP[[#This Row],[Stok Akhir]],0)</f>
        <v>0</v>
      </c>
      <c r="S484" s="132"/>
      <c r="T484" s="137">
        <f>IF(REKAP[[#This Row],[Selisih]]&lt;=-1,REKAP[[#This Row],[Harga Satuan]]*REKAP[[#This Row],[Selisih]],0)</f>
        <v>0</v>
      </c>
    </row>
    <row r="485" spans="1:20" x14ac:dyDescent="0.25">
      <c r="A485" s="55" t="s">
        <v>713</v>
      </c>
      <c r="B485" s="55" t="s">
        <v>625</v>
      </c>
      <c r="C485" s="55"/>
      <c r="D485" s="56"/>
      <c r="E485" s="57"/>
      <c r="F485" s="75" t="s">
        <v>801</v>
      </c>
      <c r="G485" s="55"/>
      <c r="H485" s="58">
        <v>3750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0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0</v>
      </c>
      <c r="P485" s="55"/>
      <c r="Q485" s="62">
        <f>REKAP[[#This Row],[Harga Satuan]]*REKAP[[#This Row],[Stok Akhir]]</f>
        <v>0</v>
      </c>
      <c r="R485" s="61">
        <f>IF(REKAP[[#This Row],[Stok Aktual]]&lt;&gt;"",REKAP[[#This Row],[Stok Aktual]]-REKAP[[#This Row],[Stok Akhir]],0)</f>
        <v>0</v>
      </c>
      <c r="S485" s="132"/>
      <c r="T485" s="137">
        <f>IF(REKAP[[#This Row],[Selisih]]&lt;=-1,REKAP[[#This Row],[Harga Satuan]]*REKAP[[#This Row],[Selisih]],0)</f>
        <v>0</v>
      </c>
    </row>
    <row r="486" spans="1:20" x14ac:dyDescent="0.25">
      <c r="A486" s="55" t="s">
        <v>714</v>
      </c>
      <c r="B486" s="55" t="s">
        <v>626</v>
      </c>
      <c r="C486" s="55"/>
      <c r="D486" s="56"/>
      <c r="E486" s="57"/>
      <c r="F486" s="75" t="s">
        <v>801</v>
      </c>
      <c r="G486" s="55"/>
      <c r="H486" s="58">
        <v>230000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>
        <f>IF(REKAP[[#This Row],[Stok Aktual]]&lt;&gt;"",REKAP[[#This Row],[Stok Aktual]]-REKAP[[#This Row],[Stok Akhir]],0)</f>
        <v>0</v>
      </c>
      <c r="S486" s="132"/>
      <c r="T486" s="137">
        <f>IF(REKAP[[#This Row],[Selisih]]&lt;=-1,REKAP[[#This Row],[Harga Satuan]]*REKAP[[#This Row],[Selisih]],0)</f>
        <v>0</v>
      </c>
    </row>
    <row r="487" spans="1:20" x14ac:dyDescent="0.25">
      <c r="A487" s="55" t="s">
        <v>715</v>
      </c>
      <c r="B487" s="55" t="s">
        <v>627</v>
      </c>
      <c r="C487" s="55"/>
      <c r="D487" s="56" t="s">
        <v>806</v>
      </c>
      <c r="E487" s="57"/>
      <c r="F487" s="75" t="s">
        <v>801</v>
      </c>
      <c r="G487" s="55" t="s">
        <v>828</v>
      </c>
      <c r="H487" s="58">
        <v>236000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0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0</v>
      </c>
      <c r="P487" s="55"/>
      <c r="Q487" s="62">
        <f>REKAP[[#This Row],[Harga Satuan]]*REKAP[[#This Row],[Stok Akhir]]</f>
        <v>0</v>
      </c>
      <c r="R487" s="61">
        <f>IF(REKAP[[#This Row],[Stok Aktual]]&lt;&gt;"",REKAP[[#This Row],[Stok Aktual]]-REKAP[[#This Row],[Stok Akhir]],0)</f>
        <v>0</v>
      </c>
      <c r="S487" s="132"/>
      <c r="T487" s="137">
        <f>IF(REKAP[[#This Row],[Selisih]]&lt;=-1,REKAP[[#This Row],[Harga Satuan]]*REKAP[[#This Row],[Selisih]],0)</f>
        <v>0</v>
      </c>
    </row>
    <row r="488" spans="1:20" x14ac:dyDescent="0.25">
      <c r="A488" s="55" t="s">
        <v>716</v>
      </c>
      <c r="B488" s="55" t="s">
        <v>628</v>
      </c>
      <c r="C488" s="55"/>
      <c r="D488" s="56"/>
      <c r="E488" s="57"/>
      <c r="F488" s="75" t="s">
        <v>801</v>
      </c>
      <c r="G488" s="55"/>
      <c r="H488" s="58">
        <v>85000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1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1</v>
      </c>
      <c r="P488" s="55"/>
      <c r="Q488" s="62">
        <f>REKAP[[#This Row],[Harga Satuan]]*REKAP[[#This Row],[Stok Akhir]]</f>
        <v>85000</v>
      </c>
      <c r="R488" s="61">
        <f>IF(REKAP[[#This Row],[Stok Aktual]]&lt;&gt;"",REKAP[[#This Row],[Stok Aktual]]-REKAP[[#This Row],[Stok Akhir]],0)</f>
        <v>0</v>
      </c>
      <c r="S488" s="132"/>
      <c r="T488" s="137">
        <f>IF(REKAP[[#This Row],[Selisih]]&lt;=-1,REKAP[[#This Row],[Harga Satuan]]*REKAP[[#This Row],[Selisih]],0)</f>
        <v>0</v>
      </c>
    </row>
    <row r="489" spans="1:20" x14ac:dyDescent="0.25">
      <c r="A489" s="55" t="s">
        <v>717</v>
      </c>
      <c r="B489" s="55" t="s">
        <v>629</v>
      </c>
      <c r="C489" s="55"/>
      <c r="D489" s="56"/>
      <c r="E489" s="57"/>
      <c r="F489" s="75" t="s">
        <v>801</v>
      </c>
      <c r="G489" s="55"/>
      <c r="H489" s="58">
        <v>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0</v>
      </c>
      <c r="R489" s="61">
        <f>IF(REKAP[[#This Row],[Stok Aktual]]&lt;&gt;"",REKAP[[#This Row],[Stok Aktual]]-REKAP[[#This Row],[Stok Akhir]],0)</f>
        <v>0</v>
      </c>
      <c r="S489" s="132"/>
      <c r="T489" s="137">
        <f>IF(REKAP[[#This Row],[Selisih]]&lt;=-1,REKAP[[#This Row],[Harga Satuan]]*REKAP[[#This Row],[Selisih]],0)</f>
        <v>0</v>
      </c>
    </row>
    <row r="490" spans="1:20" x14ac:dyDescent="0.25">
      <c r="A490" s="55" t="s">
        <v>718</v>
      </c>
      <c r="B490" s="55" t="s">
        <v>630</v>
      </c>
      <c r="C490" s="55"/>
      <c r="D490" s="56" t="s">
        <v>807</v>
      </c>
      <c r="E490" s="57"/>
      <c r="F490" s="75" t="s">
        <v>801</v>
      </c>
      <c r="G490" s="55"/>
      <c r="H490" s="58">
        <v>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0</v>
      </c>
      <c r="R490" s="61">
        <f>IF(REKAP[[#This Row],[Stok Aktual]]&lt;&gt;"",REKAP[[#This Row],[Stok Aktual]]-REKAP[[#This Row],[Stok Akhir]],0)</f>
        <v>0</v>
      </c>
      <c r="S490" s="132"/>
      <c r="T490" s="137">
        <f>IF(REKAP[[#This Row],[Selisih]]&lt;=-1,REKAP[[#This Row],[Harga Satuan]]*REKAP[[#This Row],[Selisih]],0)</f>
        <v>0</v>
      </c>
    </row>
    <row r="491" spans="1:20" x14ac:dyDescent="0.25">
      <c r="A491" s="55" t="s">
        <v>719</v>
      </c>
      <c r="B491" s="55" t="s">
        <v>631</v>
      </c>
      <c r="C491" s="55"/>
      <c r="D491" s="56" t="s">
        <v>808</v>
      </c>
      <c r="E491" s="57"/>
      <c r="F491" s="75" t="s">
        <v>801</v>
      </c>
      <c r="G491" s="55"/>
      <c r="H491" s="58">
        <v>50000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4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4</v>
      </c>
      <c r="P491" s="55"/>
      <c r="Q491" s="62">
        <f>REKAP[[#This Row],[Harga Satuan]]*REKAP[[#This Row],[Stok Akhir]]</f>
        <v>200000</v>
      </c>
      <c r="R491" s="61">
        <f>IF(REKAP[[#This Row],[Stok Aktual]]&lt;&gt;"",REKAP[[#This Row],[Stok Aktual]]-REKAP[[#This Row],[Stok Akhir]],0)</f>
        <v>0</v>
      </c>
      <c r="S491" s="132"/>
      <c r="T491" s="137">
        <f>IF(REKAP[[#This Row],[Selisih]]&lt;=-1,REKAP[[#This Row],[Harga Satuan]]*REKAP[[#This Row],[Selisih]],0)</f>
        <v>0</v>
      </c>
    </row>
    <row r="492" spans="1:20" x14ac:dyDescent="0.25">
      <c r="A492" s="55" t="s">
        <v>720</v>
      </c>
      <c r="B492" s="55" t="s">
        <v>631</v>
      </c>
      <c r="C492" s="55"/>
      <c r="D492" s="56" t="s">
        <v>807</v>
      </c>
      <c r="E492" s="57"/>
      <c r="F492" s="75" t="s">
        <v>801</v>
      </c>
      <c r="G492" s="55"/>
      <c r="H492" s="58">
        <v>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2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2</v>
      </c>
      <c r="P492" s="55"/>
      <c r="Q492" s="62">
        <f>REKAP[[#This Row],[Harga Satuan]]*REKAP[[#This Row],[Stok Akhir]]</f>
        <v>80000</v>
      </c>
      <c r="R492" s="61">
        <f>IF(REKAP[[#This Row],[Stok Aktual]]&lt;&gt;"",REKAP[[#This Row],[Stok Aktual]]-REKAP[[#This Row],[Stok Akhir]],0)</f>
        <v>0</v>
      </c>
      <c r="S492" s="132"/>
      <c r="T492" s="137">
        <f>IF(REKAP[[#This Row],[Selisih]]&lt;=-1,REKAP[[#This Row],[Harga Satuan]]*REKAP[[#This Row],[Selisih]],0)</f>
        <v>0</v>
      </c>
    </row>
    <row r="493" spans="1:20" x14ac:dyDescent="0.25">
      <c r="A493" s="55" t="s">
        <v>721</v>
      </c>
      <c r="B493" s="55" t="s">
        <v>632</v>
      </c>
      <c r="C493" s="55"/>
      <c r="D493" s="56" t="s">
        <v>809</v>
      </c>
      <c r="E493" s="57"/>
      <c r="F493" s="75" t="s">
        <v>801</v>
      </c>
      <c r="G493" s="55" t="s">
        <v>829</v>
      </c>
      <c r="H493" s="58">
        <v>50000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0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0</v>
      </c>
      <c r="P493" s="55"/>
      <c r="Q493" s="62">
        <f>REKAP[[#This Row],[Harga Satuan]]*REKAP[[#This Row],[Stok Akhir]]</f>
        <v>0</v>
      </c>
      <c r="R493" s="61">
        <f>IF(REKAP[[#This Row],[Stok Aktual]]&lt;&gt;"",REKAP[[#This Row],[Stok Aktual]]-REKAP[[#This Row],[Stok Akhir]],0)</f>
        <v>0</v>
      </c>
      <c r="S493" s="132"/>
      <c r="T493" s="137">
        <f>IF(REKAP[[#This Row],[Selisih]]&lt;=-1,REKAP[[#This Row],[Harga Satuan]]*REKAP[[#This Row],[Selisih]],0)</f>
        <v>0</v>
      </c>
    </row>
    <row r="494" spans="1:20" x14ac:dyDescent="0.25">
      <c r="A494" s="55" t="s">
        <v>722</v>
      </c>
      <c r="B494" s="55" t="s">
        <v>633</v>
      </c>
      <c r="C494" s="55"/>
      <c r="D494" s="56" t="s">
        <v>808</v>
      </c>
      <c r="E494" s="57"/>
      <c r="F494" s="75" t="s">
        <v>801</v>
      </c>
      <c r="G494" s="55"/>
      <c r="H494" s="58">
        <v>50000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0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0</v>
      </c>
      <c r="P494" s="55"/>
      <c r="Q494" s="62">
        <f>REKAP[[#This Row],[Harga Satuan]]*REKAP[[#This Row],[Stok Akhir]]</f>
        <v>0</v>
      </c>
      <c r="R494" s="61">
        <f>IF(REKAP[[#This Row],[Stok Aktual]]&lt;&gt;"",REKAP[[#This Row],[Stok Aktual]]-REKAP[[#This Row],[Stok Akhir]],0)</f>
        <v>0</v>
      </c>
      <c r="S494" s="132"/>
      <c r="T494" s="137">
        <f>IF(REKAP[[#This Row],[Selisih]]&lt;=-1,REKAP[[#This Row],[Harga Satuan]]*REKAP[[#This Row],[Selisih]],0)</f>
        <v>0</v>
      </c>
    </row>
    <row r="495" spans="1:20" x14ac:dyDescent="0.25">
      <c r="A495" s="55" t="s">
        <v>723</v>
      </c>
      <c r="B495" s="55" t="s">
        <v>634</v>
      </c>
      <c r="C495" s="55"/>
      <c r="D495" s="56" t="s">
        <v>807</v>
      </c>
      <c r="E495" s="57"/>
      <c r="F495" s="75" t="s">
        <v>801</v>
      </c>
      <c r="G495" s="55"/>
      <c r="H495" s="58">
        <v>85000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>
        <f>IF(REKAP[[#This Row],[Stok Aktual]]&lt;&gt;"",REKAP[[#This Row],[Stok Aktual]]-REKAP[[#This Row],[Stok Akhir]],0)</f>
        <v>0</v>
      </c>
      <c r="S495" s="132"/>
      <c r="T495" s="137">
        <f>IF(REKAP[[#This Row],[Selisih]]&lt;=-1,REKAP[[#This Row],[Harga Satuan]]*REKAP[[#This Row],[Selisih]],0)</f>
        <v>0</v>
      </c>
    </row>
    <row r="496" spans="1:20" x14ac:dyDescent="0.25">
      <c r="A496" s="55" t="s">
        <v>724</v>
      </c>
      <c r="B496" s="55" t="s">
        <v>635</v>
      </c>
      <c r="C496" s="55"/>
      <c r="D496" s="56" t="s">
        <v>810</v>
      </c>
      <c r="E496" s="57"/>
      <c r="F496" s="75" t="s">
        <v>801</v>
      </c>
      <c r="G496" s="55"/>
      <c r="H496" s="58">
        <v>100000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2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2</v>
      </c>
      <c r="P496" s="55"/>
      <c r="Q496" s="62">
        <f>REKAP[[#This Row],[Harga Satuan]]*REKAP[[#This Row],[Stok Akhir]]</f>
        <v>200000</v>
      </c>
      <c r="R496" s="61">
        <f>IF(REKAP[[#This Row],[Stok Aktual]]&lt;&gt;"",REKAP[[#This Row],[Stok Aktual]]-REKAP[[#This Row],[Stok Akhir]],0)</f>
        <v>0</v>
      </c>
      <c r="S496" s="132"/>
      <c r="T496" s="137">
        <f>IF(REKAP[[#This Row],[Selisih]]&lt;=-1,REKAP[[#This Row],[Harga Satuan]]*REKAP[[#This Row],[Selisih]],0)</f>
        <v>0</v>
      </c>
    </row>
    <row r="497" spans="1:20" x14ac:dyDescent="0.25">
      <c r="A497" s="55" t="s">
        <v>725</v>
      </c>
      <c r="B497" s="55" t="s">
        <v>636</v>
      </c>
      <c r="C497" s="55"/>
      <c r="D497" s="56"/>
      <c r="E497" s="57"/>
      <c r="F497" s="75" t="s">
        <v>801</v>
      </c>
      <c r="G497" s="55"/>
      <c r="H497" s="58">
        <v>75000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0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0</v>
      </c>
      <c r="P497" s="55"/>
      <c r="Q497" s="62">
        <f>REKAP[[#This Row],[Harga Satuan]]*REKAP[[#This Row],[Stok Akhir]]</f>
        <v>0</v>
      </c>
      <c r="R497" s="61">
        <f>IF(REKAP[[#This Row],[Stok Aktual]]&lt;&gt;"",REKAP[[#This Row],[Stok Aktual]]-REKAP[[#This Row],[Stok Akhir]],0)</f>
        <v>0</v>
      </c>
      <c r="S497" s="132"/>
      <c r="T497" s="137">
        <f>IF(REKAP[[#This Row],[Selisih]]&lt;=-1,REKAP[[#This Row],[Harga Satuan]]*REKAP[[#This Row],[Selisih]],0)</f>
        <v>0</v>
      </c>
    </row>
    <row r="498" spans="1:20" x14ac:dyDescent="0.25">
      <c r="A498" s="55" t="s">
        <v>726</v>
      </c>
      <c r="B498" s="55" t="s">
        <v>637</v>
      </c>
      <c r="C498" s="55"/>
      <c r="D498" s="56"/>
      <c r="E498" s="57"/>
      <c r="F498" s="75" t="s">
        <v>801</v>
      </c>
      <c r="G498" s="55"/>
      <c r="H498" s="58">
        <v>92610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>
        <f>IF(REKAP[[#This Row],[Stok Aktual]]&lt;&gt;"",REKAP[[#This Row],[Stok Aktual]]-REKAP[[#This Row],[Stok Akhir]],0)</f>
        <v>0</v>
      </c>
      <c r="S498" s="132"/>
      <c r="T498" s="137">
        <f>IF(REKAP[[#This Row],[Selisih]]&lt;=-1,REKAP[[#This Row],[Harga Satuan]]*REKAP[[#This Row],[Selisih]],0)</f>
        <v>0</v>
      </c>
    </row>
    <row r="499" spans="1:20" x14ac:dyDescent="0.25">
      <c r="A499" s="55" t="s">
        <v>727</v>
      </c>
      <c r="B499" s="55" t="s">
        <v>638</v>
      </c>
      <c r="C499" s="55"/>
      <c r="D499" s="56"/>
      <c r="E499" s="57"/>
      <c r="F499" s="75" t="s">
        <v>801</v>
      </c>
      <c r="G499" s="55"/>
      <c r="H499" s="58">
        <v>92610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0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0</v>
      </c>
      <c r="P499" s="55"/>
      <c r="Q499" s="62">
        <f>REKAP[[#This Row],[Harga Satuan]]*REKAP[[#This Row],[Stok Akhir]]</f>
        <v>0</v>
      </c>
      <c r="R499" s="61">
        <f>IF(REKAP[[#This Row],[Stok Aktual]]&lt;&gt;"",REKAP[[#This Row],[Stok Aktual]]-REKAP[[#This Row],[Stok Akhir]],0)</f>
        <v>0</v>
      </c>
      <c r="S499" s="132"/>
      <c r="T499" s="137">
        <f>IF(REKAP[[#This Row],[Selisih]]&lt;=-1,REKAP[[#This Row],[Harga Satuan]]*REKAP[[#This Row],[Selisih]],0)</f>
        <v>0</v>
      </c>
    </row>
    <row r="500" spans="1:20" x14ac:dyDescent="0.25">
      <c r="A500" s="55" t="s">
        <v>728</v>
      </c>
      <c r="B500" s="55" t="s">
        <v>639</v>
      </c>
      <c r="C500" s="55"/>
      <c r="D500" s="56"/>
      <c r="E500" s="57"/>
      <c r="F500" s="75" t="s">
        <v>801</v>
      </c>
      <c r="G500" s="55"/>
      <c r="H500" s="58">
        <v>92610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0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0</v>
      </c>
      <c r="P500" s="55"/>
      <c r="Q500" s="62">
        <f>REKAP[[#This Row],[Harga Satuan]]*REKAP[[#This Row],[Stok Akhir]]</f>
        <v>0</v>
      </c>
      <c r="R500" s="61">
        <f>IF(REKAP[[#This Row],[Stok Aktual]]&lt;&gt;"",REKAP[[#This Row],[Stok Aktual]]-REKAP[[#This Row],[Stok Akhir]],0)</f>
        <v>0</v>
      </c>
      <c r="S500" s="132"/>
      <c r="T500" s="137">
        <f>IF(REKAP[[#This Row],[Selisih]]&lt;=-1,REKAP[[#This Row],[Harga Satuan]]*REKAP[[#This Row],[Selisih]],0)</f>
        <v>0</v>
      </c>
    </row>
    <row r="501" spans="1:20" x14ac:dyDescent="0.25">
      <c r="A501" s="55" t="s">
        <v>729</v>
      </c>
      <c r="B501" s="55" t="s">
        <v>640</v>
      </c>
      <c r="C501" s="55"/>
      <c r="D501" s="56"/>
      <c r="E501" s="57"/>
      <c r="F501" s="75" t="s">
        <v>801</v>
      </c>
      <c r="G501" s="55"/>
      <c r="H501" s="58">
        <v>92610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>
        <f>IF(REKAP[[#This Row],[Stok Aktual]]&lt;&gt;"",REKAP[[#This Row],[Stok Aktual]]-REKAP[[#This Row],[Stok Akhir]],0)</f>
        <v>0</v>
      </c>
      <c r="S501" s="132"/>
      <c r="T501" s="137">
        <f>IF(REKAP[[#This Row],[Selisih]]&lt;=-1,REKAP[[#This Row],[Harga Satuan]]*REKAP[[#This Row],[Selisih]],0)</f>
        <v>0</v>
      </c>
    </row>
    <row r="502" spans="1:20" x14ac:dyDescent="0.25">
      <c r="A502" s="55" t="s">
        <v>730</v>
      </c>
      <c r="B502" s="55" t="s">
        <v>641</v>
      </c>
      <c r="C502" s="55"/>
      <c r="D502" s="56"/>
      <c r="E502" s="57"/>
      <c r="F502" s="75" t="s">
        <v>801</v>
      </c>
      <c r="G502" s="55"/>
      <c r="H502" s="58">
        <v>400000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1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1</v>
      </c>
      <c r="P502" s="55"/>
      <c r="Q502" s="62">
        <f>REKAP[[#This Row],[Harga Satuan]]*REKAP[[#This Row],[Stok Akhir]]</f>
        <v>400000</v>
      </c>
      <c r="R502" s="61">
        <f>IF(REKAP[[#This Row],[Stok Aktual]]&lt;&gt;"",REKAP[[#This Row],[Stok Aktual]]-REKAP[[#This Row],[Stok Akhir]],0)</f>
        <v>0</v>
      </c>
      <c r="S502" s="132"/>
      <c r="T502" s="137">
        <f>IF(REKAP[[#This Row],[Selisih]]&lt;=-1,REKAP[[#This Row],[Harga Satuan]]*REKAP[[#This Row],[Selisih]],0)</f>
        <v>0</v>
      </c>
    </row>
    <row r="503" spans="1:20" x14ac:dyDescent="0.25">
      <c r="A503" s="55" t="s">
        <v>731</v>
      </c>
      <c r="B503" s="55" t="s">
        <v>642</v>
      </c>
      <c r="C503" s="55"/>
      <c r="D503" s="56" t="s">
        <v>811</v>
      </c>
      <c r="E503" s="57"/>
      <c r="F503" s="75" t="s">
        <v>801</v>
      </c>
      <c r="G503" s="55" t="s">
        <v>830</v>
      </c>
      <c r="H503" s="58">
        <v>160000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6</v>
      </c>
      <c r="K503" s="60">
        <f>REKAP[[#This Row],[Trx In]]+REKAP[[#This Row],[Trx Out]]</f>
        <v>6</v>
      </c>
      <c r="L503" s="55">
        <v>13</v>
      </c>
      <c r="M503" s="74">
        <f>SUMIF(MASUK!$C:$C,REKAP[[#This Row],[ID]],MASUK!$H:$H)</f>
        <v>0</v>
      </c>
      <c r="N503" s="74">
        <f>SUMIF(KELUAR!$C:$C,REKAP[[#This Row],[ID]],KELUAR!$H:$H)</f>
        <v>6</v>
      </c>
      <c r="O503" s="74">
        <f>REKAP[[#This Row],[Stok Awal]]+REKAP[[#This Row],[Masuk]]-REKAP[[#This Row],[Keluar]]</f>
        <v>7</v>
      </c>
      <c r="P503" s="55">
        <v>7</v>
      </c>
      <c r="Q503" s="62">
        <f>REKAP[[#This Row],[Harga Satuan]]*REKAP[[#This Row],[Stok Akhir]]</f>
        <v>1120000</v>
      </c>
      <c r="R503" s="61">
        <f>IF(REKAP[[#This Row],[Stok Aktual]]&lt;&gt;"",REKAP[[#This Row],[Stok Aktual]]-REKAP[[#This Row],[Stok Akhir]],0)</f>
        <v>0</v>
      </c>
      <c r="S503" s="132"/>
      <c r="T503" s="137">
        <f>IF(REKAP[[#This Row],[Selisih]]&lt;=-1,REKAP[[#This Row],[Harga Satuan]]*REKAP[[#This Row],[Selisih]],0)</f>
        <v>0</v>
      </c>
    </row>
    <row r="504" spans="1:20" x14ac:dyDescent="0.25">
      <c r="A504" s="55" t="s">
        <v>732</v>
      </c>
      <c r="B504" s="55" t="s">
        <v>643</v>
      </c>
      <c r="C504" s="55"/>
      <c r="D504" s="56"/>
      <c r="E504" s="57"/>
      <c r="F504" s="75" t="s">
        <v>801</v>
      </c>
      <c r="G504" s="55"/>
      <c r="H504" s="58">
        <v>6636.666666666667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3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3</v>
      </c>
      <c r="P504" s="55"/>
      <c r="Q504" s="62">
        <f>REKAP[[#This Row],[Harga Satuan]]*REKAP[[#This Row],[Stok Akhir]]</f>
        <v>19910</v>
      </c>
      <c r="R504" s="61">
        <f>IF(REKAP[[#This Row],[Stok Aktual]]&lt;&gt;"",REKAP[[#This Row],[Stok Aktual]]-REKAP[[#This Row],[Stok Akhir]],0)</f>
        <v>0</v>
      </c>
      <c r="S504" s="132"/>
      <c r="T504" s="137">
        <f>IF(REKAP[[#This Row],[Selisih]]&lt;=-1,REKAP[[#This Row],[Harga Satuan]]*REKAP[[#This Row],[Selisih]],0)</f>
        <v>0</v>
      </c>
    </row>
    <row r="505" spans="1:20" x14ac:dyDescent="0.25">
      <c r="A505" s="55" t="s">
        <v>733</v>
      </c>
      <c r="B505" s="55" t="s">
        <v>644</v>
      </c>
      <c r="C505" s="55"/>
      <c r="D505" s="56" t="s">
        <v>812</v>
      </c>
      <c r="E505" s="57"/>
      <c r="F505" s="75" t="s">
        <v>801</v>
      </c>
      <c r="G505" s="55" t="s">
        <v>831</v>
      </c>
      <c r="H505" s="58">
        <v>450000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1</v>
      </c>
      <c r="K505" s="60">
        <f>REKAP[[#This Row],[Trx In]]+REKAP[[#This Row],[Trx Out]]</f>
        <v>1</v>
      </c>
      <c r="L505" s="55">
        <v>3</v>
      </c>
      <c r="M505" s="74">
        <f>SUMIF(MASUK!$C:$C,REKAP[[#This Row],[ID]],MASUK!$H:$H)</f>
        <v>0</v>
      </c>
      <c r="N505" s="74">
        <f>SUMIF(KELUAR!$C:$C,REKAP[[#This Row],[ID]],KELUAR!$H:$H)</f>
        <v>1</v>
      </c>
      <c r="O505" s="74">
        <f>REKAP[[#This Row],[Stok Awal]]+REKAP[[#This Row],[Masuk]]-REKAP[[#This Row],[Keluar]]</f>
        <v>2</v>
      </c>
      <c r="P505" s="55">
        <v>2</v>
      </c>
      <c r="Q505" s="62">
        <f>REKAP[[#This Row],[Harga Satuan]]*REKAP[[#This Row],[Stok Akhir]]</f>
        <v>900000</v>
      </c>
      <c r="R505" s="61">
        <f>IF(REKAP[[#This Row],[Stok Aktual]]&lt;&gt;"",REKAP[[#This Row],[Stok Aktual]]-REKAP[[#This Row],[Stok Akhir]],0)</f>
        <v>0</v>
      </c>
      <c r="S505" s="132"/>
      <c r="T505" s="137">
        <f>IF(REKAP[[#This Row],[Selisih]]&lt;=-1,REKAP[[#This Row],[Harga Satuan]]*REKAP[[#This Row],[Selisih]],0)</f>
        <v>0</v>
      </c>
    </row>
    <row r="506" spans="1:20" x14ac:dyDescent="0.25">
      <c r="A506" s="55" t="s">
        <v>734</v>
      </c>
      <c r="B506" s="55" t="s">
        <v>644</v>
      </c>
      <c r="C506" s="55"/>
      <c r="D506" s="56" t="s">
        <v>813</v>
      </c>
      <c r="E506" s="57"/>
      <c r="F506" s="75" t="s">
        <v>801</v>
      </c>
      <c r="G506" s="55" t="s">
        <v>832</v>
      </c>
      <c r="H506" s="58">
        <v>321000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2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2</v>
      </c>
      <c r="P506" s="55"/>
      <c r="Q506" s="62">
        <f>REKAP[[#This Row],[Harga Satuan]]*REKAP[[#This Row],[Stok Akhir]]</f>
        <v>642000</v>
      </c>
      <c r="R506" s="61">
        <f>IF(REKAP[[#This Row],[Stok Aktual]]&lt;&gt;"",REKAP[[#This Row],[Stok Aktual]]-REKAP[[#This Row],[Stok Akhir]],0)</f>
        <v>0</v>
      </c>
      <c r="S506" s="132"/>
      <c r="T506" s="137">
        <f>IF(REKAP[[#This Row],[Selisih]]&lt;=-1,REKAP[[#This Row],[Harga Satuan]]*REKAP[[#This Row],[Selisih]],0)</f>
        <v>0</v>
      </c>
    </row>
    <row r="507" spans="1:20" x14ac:dyDescent="0.25">
      <c r="A507" s="55" t="s">
        <v>735</v>
      </c>
      <c r="B507" s="55" t="s">
        <v>644</v>
      </c>
      <c r="C507" s="55"/>
      <c r="D507" s="56" t="s">
        <v>814</v>
      </c>
      <c r="E507" s="57"/>
      <c r="F507" s="75" t="s">
        <v>801</v>
      </c>
      <c r="G507" s="55" t="s">
        <v>832</v>
      </c>
      <c r="H507" s="58">
        <v>395000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2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2</v>
      </c>
      <c r="P507" s="55"/>
      <c r="Q507" s="62">
        <f>REKAP[[#This Row],[Harga Satuan]]*REKAP[[#This Row],[Stok Akhir]]</f>
        <v>790000</v>
      </c>
      <c r="R507" s="61">
        <f>IF(REKAP[[#This Row],[Stok Aktual]]&lt;&gt;"",REKAP[[#This Row],[Stok Aktual]]-REKAP[[#This Row],[Stok Akhir]],0)</f>
        <v>0</v>
      </c>
      <c r="S507" s="132"/>
      <c r="T507" s="137">
        <f>IF(REKAP[[#This Row],[Selisih]]&lt;=-1,REKAP[[#This Row],[Harga Satuan]]*REKAP[[#This Row],[Selisih]],0)</f>
        <v>0</v>
      </c>
    </row>
    <row r="508" spans="1:20" x14ac:dyDescent="0.25">
      <c r="A508" s="55" t="s">
        <v>736</v>
      </c>
      <c r="B508" s="55" t="s">
        <v>645</v>
      </c>
      <c r="C508" s="55"/>
      <c r="D508" s="56"/>
      <c r="E508" s="57"/>
      <c r="F508" s="75" t="s">
        <v>801</v>
      </c>
      <c r="G508" s="55"/>
      <c r="H508" s="58">
        <v>25000</v>
      </c>
      <c r="I508" s="59">
        <f>IF(COUNTIF(MASUK[Kode Barang],REKAP[[#This Row],[ID]])=0,0,COUNTIF(MASUK[Kode Barang],REKAP[[#This Row],[ID]]))</f>
        <v>1</v>
      </c>
      <c r="J508" s="59">
        <f>IF(COUNTIF(MASUK8[Kode Barang],REKAP[[#This Row],[ID]])=0,0,COUNTIF(MASUK8[Kode Barang],REKAP[[#This Row],[ID]]))</f>
        <v>1</v>
      </c>
      <c r="K508" s="60">
        <f>REKAP[[#This Row],[Trx In]]+REKAP[[#This Row],[Trx Out]]</f>
        <v>2</v>
      </c>
      <c r="L508" s="55">
        <v>3</v>
      </c>
      <c r="M508" s="74">
        <f>SUMIF(MASUK!$C:$C,REKAP[[#This Row],[ID]],MASUK!$H:$H)</f>
        <v>3</v>
      </c>
      <c r="N508" s="74">
        <f>SUMIF(KELUAR!$C:$C,REKAP[[#This Row],[ID]],KELUAR!$H:$H)</f>
        <v>1</v>
      </c>
      <c r="O508" s="74">
        <f>REKAP[[#This Row],[Stok Awal]]+REKAP[[#This Row],[Masuk]]-REKAP[[#This Row],[Keluar]]</f>
        <v>5</v>
      </c>
      <c r="P508" s="55">
        <v>5</v>
      </c>
      <c r="Q508" s="62">
        <f>REKAP[[#This Row],[Harga Satuan]]*REKAP[[#This Row],[Stok Akhir]]</f>
        <v>125000</v>
      </c>
      <c r="R508" s="61">
        <f>IF(REKAP[[#This Row],[Stok Aktual]]&lt;&gt;"",REKAP[[#This Row],[Stok Aktual]]-REKAP[[#This Row],[Stok Akhir]],0)</f>
        <v>0</v>
      </c>
      <c r="S508" s="132"/>
      <c r="T508" s="137">
        <f>IF(REKAP[[#This Row],[Selisih]]&lt;=-1,REKAP[[#This Row],[Harga Satuan]]*REKAP[[#This Row],[Selisih]],0)</f>
        <v>0</v>
      </c>
    </row>
    <row r="509" spans="1:20" x14ac:dyDescent="0.25">
      <c r="A509" s="55" t="s">
        <v>737</v>
      </c>
      <c r="B509" s="55" t="s">
        <v>646</v>
      </c>
      <c r="C509" s="55"/>
      <c r="D509" s="56" t="s">
        <v>815</v>
      </c>
      <c r="E509" s="57"/>
      <c r="F509" s="75" t="s">
        <v>801</v>
      </c>
      <c r="G509" s="55" t="s">
        <v>826</v>
      </c>
      <c r="H509" s="58">
        <v>15000</v>
      </c>
      <c r="I509" s="59">
        <f>IF(COUNTIF(MASUK[Kode Barang],REKAP[[#This Row],[ID]])=0,0,COUNTIF(MASUK[Kode Barang],REKAP[[#This Row],[ID]]))</f>
        <v>1</v>
      </c>
      <c r="J509" s="59">
        <f>IF(COUNTIF(MASUK8[Kode Barang],REKAP[[#This Row],[ID]])=0,0,COUNTIF(MASUK8[Kode Barang],REKAP[[#This Row],[ID]]))</f>
        <v>4</v>
      </c>
      <c r="K509" s="60">
        <f>REKAP[[#This Row],[Trx In]]+REKAP[[#This Row],[Trx Out]]</f>
        <v>5</v>
      </c>
      <c r="L509" s="55">
        <v>5</v>
      </c>
      <c r="M509" s="74">
        <f>SUMIF(MASUK!$C:$C,REKAP[[#This Row],[ID]],MASUK!$H:$H)</f>
        <v>5</v>
      </c>
      <c r="N509" s="74">
        <f>SUMIF(KELUAR!$C:$C,REKAP[[#This Row],[ID]],KELUAR!$H:$H)</f>
        <v>4</v>
      </c>
      <c r="O509" s="74">
        <f>REKAP[[#This Row],[Stok Awal]]+REKAP[[#This Row],[Masuk]]-REKAP[[#This Row],[Keluar]]</f>
        <v>6</v>
      </c>
      <c r="P509" s="55">
        <v>6</v>
      </c>
      <c r="Q509" s="62">
        <f>REKAP[[#This Row],[Harga Satuan]]*REKAP[[#This Row],[Stok Akhir]]</f>
        <v>90000</v>
      </c>
      <c r="R509" s="61">
        <f>IF(REKAP[[#This Row],[Stok Aktual]]&lt;&gt;"",REKAP[[#This Row],[Stok Aktual]]-REKAP[[#This Row],[Stok Akhir]],0)</f>
        <v>0</v>
      </c>
      <c r="S509" s="132"/>
      <c r="T509" s="137">
        <f>IF(REKAP[[#This Row],[Selisih]]&lt;=-1,REKAP[[#This Row],[Harga Satuan]]*REKAP[[#This Row],[Selisih]],0)</f>
        <v>0</v>
      </c>
    </row>
    <row r="510" spans="1:20" x14ac:dyDescent="0.25">
      <c r="A510" s="55" t="s">
        <v>738</v>
      </c>
      <c r="B510" s="55" t="s">
        <v>647</v>
      </c>
      <c r="C510" s="55"/>
      <c r="D510" s="56" t="s">
        <v>816</v>
      </c>
      <c r="E510" s="57"/>
      <c r="F510" s="75" t="s">
        <v>801</v>
      </c>
      <c r="G510" s="55"/>
      <c r="H510" s="58">
        <v>424500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>
        <f>IF(REKAP[[#This Row],[Stok Aktual]]&lt;&gt;"",REKAP[[#This Row],[Stok Aktual]]-REKAP[[#This Row],[Stok Akhir]],0)</f>
        <v>0</v>
      </c>
      <c r="S510" s="132"/>
      <c r="T510" s="137">
        <f>IF(REKAP[[#This Row],[Selisih]]&lt;=-1,REKAP[[#This Row],[Harga Satuan]]*REKAP[[#This Row],[Selisih]],0)</f>
        <v>0</v>
      </c>
    </row>
    <row r="511" spans="1:20" x14ac:dyDescent="0.25">
      <c r="A511" s="55" t="s">
        <v>739</v>
      </c>
      <c r="B511" s="55" t="s">
        <v>3647</v>
      </c>
      <c r="C511" s="55"/>
      <c r="D511" s="56"/>
      <c r="E511" s="57"/>
      <c r="F511" s="75" t="s">
        <v>801</v>
      </c>
      <c r="G511" s="55" t="s">
        <v>833</v>
      </c>
      <c r="H511" s="58">
        <v>9000</v>
      </c>
      <c r="I511" s="59">
        <f>IF(COUNTIF(MASUK[Kode Barang],REKAP[[#This Row],[ID]])=0,0,COUNTIF(MASUK[Kode Barang],REKAP[[#This Row],[ID]]))</f>
        <v>1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1</v>
      </c>
      <c r="L511" s="55">
        <v>3</v>
      </c>
      <c r="M511" s="74">
        <f>SUMIF(MASUK!$C:$C,REKAP[[#This Row],[ID]],MASUK!$H:$H)</f>
        <v>2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5</v>
      </c>
      <c r="P511" s="55">
        <v>5</v>
      </c>
      <c r="Q511" s="62">
        <f>REKAP[[#This Row],[Harga Satuan]]*REKAP[[#This Row],[Stok Akhir]]</f>
        <v>45000</v>
      </c>
      <c r="R511" s="61">
        <f>IF(REKAP[[#This Row],[Stok Aktual]]&lt;&gt;"",REKAP[[#This Row],[Stok Aktual]]-REKAP[[#This Row],[Stok Akhir]],0)</f>
        <v>0</v>
      </c>
      <c r="S511" s="132"/>
      <c r="T511" s="137">
        <f>IF(REKAP[[#This Row],[Selisih]]&lt;=-1,REKAP[[#This Row],[Harga Satuan]]*REKAP[[#This Row],[Selisih]],0)</f>
        <v>0</v>
      </c>
    </row>
    <row r="512" spans="1:20" x14ac:dyDescent="0.25">
      <c r="A512" s="55" t="s">
        <v>740</v>
      </c>
      <c r="B512" s="55" t="s">
        <v>648</v>
      </c>
      <c r="C512" s="55"/>
      <c r="D512" s="56"/>
      <c r="E512" s="57"/>
      <c r="F512" s="75" t="s">
        <v>801</v>
      </c>
      <c r="G512" s="55" t="s">
        <v>826</v>
      </c>
      <c r="H512" s="58">
        <v>20000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6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6</v>
      </c>
      <c r="P512" s="55"/>
      <c r="Q512" s="62">
        <f>REKAP[[#This Row],[Harga Satuan]]*REKAP[[#This Row],[Stok Akhir]]</f>
        <v>120000</v>
      </c>
      <c r="R512" s="61">
        <f>IF(REKAP[[#This Row],[Stok Aktual]]&lt;&gt;"",REKAP[[#This Row],[Stok Aktual]]-REKAP[[#This Row],[Stok Akhir]],0)</f>
        <v>0</v>
      </c>
      <c r="S512" s="132"/>
      <c r="T512" s="137">
        <f>IF(REKAP[[#This Row],[Selisih]]&lt;=-1,REKAP[[#This Row],[Harga Satuan]]*REKAP[[#This Row],[Selisih]],0)</f>
        <v>0</v>
      </c>
    </row>
    <row r="513" spans="1:20" x14ac:dyDescent="0.25">
      <c r="A513" s="55" t="s">
        <v>741</v>
      </c>
      <c r="B513" s="55" t="s">
        <v>649</v>
      </c>
      <c r="C513" s="55"/>
      <c r="D513" s="56"/>
      <c r="E513" s="57"/>
      <c r="F513" s="75" t="s">
        <v>801</v>
      </c>
      <c r="G513" s="55"/>
      <c r="H513" s="58">
        <v>30000</v>
      </c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1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1</v>
      </c>
      <c r="P513" s="55"/>
      <c r="Q513" s="62">
        <f>REKAP[[#This Row],[Harga Satuan]]*REKAP[[#This Row],[Stok Akhir]]</f>
        <v>30000</v>
      </c>
      <c r="R513" s="61">
        <f>IF(REKAP[[#This Row],[Stok Aktual]]&lt;&gt;"",REKAP[[#This Row],[Stok Aktual]]-REKAP[[#This Row],[Stok Akhir]],0)</f>
        <v>0</v>
      </c>
      <c r="S513" s="132"/>
      <c r="T513" s="137">
        <f>IF(REKAP[[#This Row],[Selisih]]&lt;=-1,REKAP[[#This Row],[Harga Satuan]]*REKAP[[#This Row],[Selisih]],0)</f>
        <v>0</v>
      </c>
    </row>
    <row r="514" spans="1:20" x14ac:dyDescent="0.25">
      <c r="A514" s="55" t="s">
        <v>742</v>
      </c>
      <c r="B514" s="55" t="s">
        <v>3646</v>
      </c>
      <c r="C514" s="55"/>
      <c r="D514" s="56"/>
      <c r="E514" s="57"/>
      <c r="F514" s="75" t="s">
        <v>801</v>
      </c>
      <c r="G514" s="55" t="s">
        <v>826</v>
      </c>
      <c r="H514" s="58">
        <v>11500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1</v>
      </c>
      <c r="K514" s="60">
        <f>REKAP[[#This Row],[Trx In]]+REKAP[[#This Row],[Trx Out]]</f>
        <v>1</v>
      </c>
      <c r="L514" s="55">
        <v>4</v>
      </c>
      <c r="M514" s="74">
        <f>SUMIF(MASUK!$C:$C,REKAP[[#This Row],[ID]],MASUK!$H:$H)</f>
        <v>0</v>
      </c>
      <c r="N514" s="74">
        <f>SUMIF(KELUAR!$C:$C,REKAP[[#This Row],[ID]],KELUAR!$H:$H)</f>
        <v>1</v>
      </c>
      <c r="O514" s="74">
        <f>REKAP[[#This Row],[Stok Awal]]+REKAP[[#This Row],[Masuk]]-REKAP[[#This Row],[Keluar]]</f>
        <v>3</v>
      </c>
      <c r="P514" s="55">
        <v>3</v>
      </c>
      <c r="Q514" s="62">
        <f>REKAP[[#This Row],[Harga Satuan]]*REKAP[[#This Row],[Stok Akhir]]</f>
        <v>34500</v>
      </c>
      <c r="R514" s="61">
        <f>IF(REKAP[[#This Row],[Stok Aktual]]&lt;&gt;"",REKAP[[#This Row],[Stok Aktual]]-REKAP[[#This Row],[Stok Akhir]],0)</f>
        <v>0</v>
      </c>
      <c r="S514" s="139"/>
      <c r="T514" s="137">
        <f>IF(REKAP[[#This Row],[Selisih]]&lt;=-1,REKAP[[#This Row],[Harga Satuan]]*REKAP[[#This Row],[Selisih]],0)</f>
        <v>0</v>
      </c>
    </row>
    <row r="515" spans="1:20" x14ac:dyDescent="0.25">
      <c r="A515" s="55" t="s">
        <v>743</v>
      </c>
      <c r="B515" s="55" t="s">
        <v>3648</v>
      </c>
      <c r="C515" s="55"/>
      <c r="D515" s="56" t="s">
        <v>817</v>
      </c>
      <c r="E515" s="57"/>
      <c r="F515" s="75" t="s">
        <v>801</v>
      </c>
      <c r="G515" s="55" t="s">
        <v>826</v>
      </c>
      <c r="H515" s="58">
        <v>4000</v>
      </c>
      <c r="I515" s="59">
        <f>IF(COUNTIF(MASUK[Kode Barang],REKAP[[#This Row],[ID]])=0,0,COUNTIF(MASUK[Kode Barang],REKAP[[#This Row],[ID]]))</f>
        <v>2</v>
      </c>
      <c r="J515" s="59">
        <f>IF(COUNTIF(MASUK8[Kode Barang],REKAP[[#This Row],[ID]])=0,0,COUNTIF(MASUK8[Kode Barang],REKAP[[#This Row],[ID]]))</f>
        <v>5</v>
      </c>
      <c r="K515" s="60">
        <f>REKAP[[#This Row],[Trx In]]+REKAP[[#This Row],[Trx Out]]</f>
        <v>7</v>
      </c>
      <c r="L515" s="55">
        <v>3</v>
      </c>
      <c r="M515" s="74">
        <f>SUMIF(MASUK!$C:$C,REKAP[[#This Row],[ID]],MASUK!$H:$H)</f>
        <v>5</v>
      </c>
      <c r="N515" s="74">
        <f>SUMIF(KELUAR!$C:$C,REKAP[[#This Row],[ID]],KELUAR!$H:$H)</f>
        <v>5</v>
      </c>
      <c r="O515" s="74">
        <f>REKAP[[#This Row],[Stok Awal]]+REKAP[[#This Row],[Masuk]]-REKAP[[#This Row],[Keluar]]</f>
        <v>3</v>
      </c>
      <c r="P515" s="55">
        <v>3</v>
      </c>
      <c r="Q515" s="62">
        <f>REKAP[[#This Row],[Harga Satuan]]*REKAP[[#This Row],[Stok Akhir]]</f>
        <v>12000</v>
      </c>
      <c r="R515" s="61">
        <f>IF(REKAP[[#This Row],[Stok Aktual]]&lt;&gt;"",REKAP[[#This Row],[Stok Aktual]]-REKAP[[#This Row],[Stok Akhir]],0)</f>
        <v>0</v>
      </c>
      <c r="S515" s="132"/>
      <c r="T515" s="137">
        <f>IF(REKAP[[#This Row],[Selisih]]&lt;=-1,REKAP[[#This Row],[Harga Satuan]]*REKAP[[#This Row],[Selisih]],0)</f>
        <v>0</v>
      </c>
    </row>
    <row r="516" spans="1:20" x14ac:dyDescent="0.25">
      <c r="A516" s="55" t="s">
        <v>744</v>
      </c>
      <c r="B516" s="55" t="s">
        <v>650</v>
      </c>
      <c r="C516" s="55"/>
      <c r="D516" s="56"/>
      <c r="E516" s="57"/>
      <c r="F516" s="75" t="s">
        <v>801</v>
      </c>
      <c r="G516" s="55"/>
      <c r="H516" s="58">
        <v>35000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3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3</v>
      </c>
      <c r="P516" s="55"/>
      <c r="Q516" s="62">
        <f>REKAP[[#This Row],[Harga Satuan]]*REKAP[[#This Row],[Stok Akhir]]</f>
        <v>105000</v>
      </c>
      <c r="R516" s="61">
        <f>IF(REKAP[[#This Row],[Stok Aktual]]&lt;&gt;"",REKAP[[#This Row],[Stok Aktual]]-REKAP[[#This Row],[Stok Akhir]],0)</f>
        <v>0</v>
      </c>
      <c r="S516" s="132"/>
      <c r="T516" s="137">
        <f>IF(REKAP[[#This Row],[Selisih]]&lt;=-1,REKAP[[#This Row],[Harga Satuan]]*REKAP[[#This Row],[Selisih]],0)</f>
        <v>0</v>
      </c>
    </row>
    <row r="517" spans="1:20" x14ac:dyDescent="0.25">
      <c r="A517" s="55" t="s">
        <v>745</v>
      </c>
      <c r="B517" s="55" t="s">
        <v>651</v>
      </c>
      <c r="C517" s="55"/>
      <c r="D517" s="56"/>
      <c r="E517" s="57"/>
      <c r="F517" s="75" t="s">
        <v>801</v>
      </c>
      <c r="G517" s="55"/>
      <c r="H517" s="58">
        <v>5000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1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1</v>
      </c>
      <c r="P517" s="55"/>
      <c r="Q517" s="62">
        <f>REKAP[[#This Row],[Harga Satuan]]*REKAP[[#This Row],[Stok Akhir]]</f>
        <v>5000</v>
      </c>
      <c r="R517" s="61">
        <f>IF(REKAP[[#This Row],[Stok Aktual]]&lt;&gt;"",REKAP[[#This Row],[Stok Aktual]]-REKAP[[#This Row],[Stok Akhir]],0)</f>
        <v>0</v>
      </c>
      <c r="S517" s="132"/>
      <c r="T517" s="137">
        <f>IF(REKAP[[#This Row],[Selisih]]&lt;=-1,REKAP[[#This Row],[Harga Satuan]]*REKAP[[#This Row],[Selisih]],0)</f>
        <v>0</v>
      </c>
    </row>
    <row r="518" spans="1:20" x14ac:dyDescent="0.25">
      <c r="A518" s="55" t="s">
        <v>746</v>
      </c>
      <c r="B518" s="55" t="s">
        <v>652</v>
      </c>
      <c r="C518" s="55"/>
      <c r="D518" s="56" t="s">
        <v>818</v>
      </c>
      <c r="E518" s="57"/>
      <c r="F518" s="75" t="s">
        <v>801</v>
      </c>
      <c r="G518" s="55" t="s">
        <v>834</v>
      </c>
      <c r="H518" s="58">
        <v>65000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1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1</v>
      </c>
      <c r="P518" s="55"/>
      <c r="Q518" s="62">
        <f>REKAP[[#This Row],[Harga Satuan]]*REKAP[[#This Row],[Stok Akhir]]</f>
        <v>65000</v>
      </c>
      <c r="R518" s="61">
        <f>IF(REKAP[[#This Row],[Stok Aktual]]&lt;&gt;"",REKAP[[#This Row],[Stok Aktual]]-REKAP[[#This Row],[Stok Akhir]],0)</f>
        <v>0</v>
      </c>
      <c r="S518" s="132"/>
      <c r="T518" s="137">
        <f>IF(REKAP[[#This Row],[Selisih]]&lt;=-1,REKAP[[#This Row],[Harga Satuan]]*REKAP[[#This Row],[Selisih]],0)</f>
        <v>0</v>
      </c>
    </row>
    <row r="519" spans="1:20" x14ac:dyDescent="0.25">
      <c r="A519" s="55" t="s">
        <v>747</v>
      </c>
      <c r="B519" s="55" t="s">
        <v>653</v>
      </c>
      <c r="C519" s="55"/>
      <c r="D519" s="56"/>
      <c r="E519" s="57"/>
      <c r="F519" s="75" t="s">
        <v>801</v>
      </c>
      <c r="G519" s="55"/>
      <c r="H519" s="58">
        <v>12500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>
        <f>IF(REKAP[[#This Row],[Stok Aktual]]&lt;&gt;"",REKAP[[#This Row],[Stok Aktual]]-REKAP[[#This Row],[Stok Akhir]],0)</f>
        <v>0</v>
      </c>
      <c r="S519" s="132"/>
      <c r="T519" s="137">
        <f>IF(REKAP[[#This Row],[Selisih]]&lt;=-1,REKAP[[#This Row],[Harga Satuan]]*REKAP[[#This Row],[Selisih]],0)</f>
        <v>0</v>
      </c>
    </row>
    <row r="520" spans="1:20" x14ac:dyDescent="0.25">
      <c r="A520" s="55" t="s">
        <v>748</v>
      </c>
      <c r="B520" s="55" t="s">
        <v>654</v>
      </c>
      <c r="C520" s="55"/>
      <c r="D520" s="56"/>
      <c r="E520" s="57"/>
      <c r="F520" s="75" t="s">
        <v>801</v>
      </c>
      <c r="G520" s="55"/>
      <c r="H520" s="58">
        <v>3500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5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5</v>
      </c>
      <c r="P520" s="55"/>
      <c r="Q520" s="62">
        <f>REKAP[[#This Row],[Harga Satuan]]*REKAP[[#This Row],[Stok Akhir]]</f>
        <v>17500</v>
      </c>
      <c r="R520" s="61">
        <f>IF(REKAP[[#This Row],[Stok Aktual]]&lt;&gt;"",REKAP[[#This Row],[Stok Aktual]]-REKAP[[#This Row],[Stok Akhir]],0)</f>
        <v>0</v>
      </c>
      <c r="S520" s="132"/>
      <c r="T520" s="137">
        <f>IF(REKAP[[#This Row],[Selisih]]&lt;=-1,REKAP[[#This Row],[Harga Satuan]]*REKAP[[#This Row],[Selisih]],0)</f>
        <v>0</v>
      </c>
    </row>
    <row r="521" spans="1:20" x14ac:dyDescent="0.25">
      <c r="A521" s="55" t="s">
        <v>749</v>
      </c>
      <c r="B521" s="55" t="s">
        <v>655</v>
      </c>
      <c r="C521" s="55"/>
      <c r="D521" s="56"/>
      <c r="E521" s="57"/>
      <c r="F521" s="75" t="s">
        <v>801</v>
      </c>
      <c r="G521" s="55" t="s">
        <v>835</v>
      </c>
      <c r="H521" s="58">
        <v>25000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1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1</v>
      </c>
      <c r="P521" s="55"/>
      <c r="Q521" s="62">
        <f>REKAP[[#This Row],[Harga Satuan]]*REKAP[[#This Row],[Stok Akhir]]</f>
        <v>25000</v>
      </c>
      <c r="R521" s="61">
        <f>IF(REKAP[[#This Row],[Stok Aktual]]&lt;&gt;"",REKAP[[#This Row],[Stok Aktual]]-REKAP[[#This Row],[Stok Akhir]],0)</f>
        <v>0</v>
      </c>
      <c r="S521" s="132"/>
      <c r="T521" s="137">
        <f>IF(REKAP[[#This Row],[Selisih]]&lt;=-1,REKAP[[#This Row],[Harga Satuan]]*REKAP[[#This Row],[Selisih]],0)</f>
        <v>0</v>
      </c>
    </row>
    <row r="522" spans="1:20" x14ac:dyDescent="0.25">
      <c r="A522" s="55" t="s">
        <v>750</v>
      </c>
      <c r="B522" s="55" t="s">
        <v>656</v>
      </c>
      <c r="C522" s="55"/>
      <c r="D522" s="56">
        <v>3</v>
      </c>
      <c r="E522" s="57"/>
      <c r="F522" s="75" t="s">
        <v>801</v>
      </c>
      <c r="G522" s="55"/>
      <c r="H522" s="58">
        <v>10000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>
        <f>IF(REKAP[[#This Row],[Stok Aktual]]&lt;&gt;"",REKAP[[#This Row],[Stok Aktual]]-REKAP[[#This Row],[Stok Akhir]],0)</f>
        <v>0</v>
      </c>
      <c r="S522" s="132"/>
      <c r="T522" s="137">
        <f>IF(REKAP[[#This Row],[Selisih]]&lt;=-1,REKAP[[#This Row],[Harga Satuan]]*REKAP[[#This Row],[Selisih]],0)</f>
        <v>0</v>
      </c>
    </row>
    <row r="523" spans="1:20" x14ac:dyDescent="0.25">
      <c r="A523" s="55" t="s">
        <v>751</v>
      </c>
      <c r="B523" s="55" t="s">
        <v>657</v>
      </c>
      <c r="C523" s="55"/>
      <c r="D523" s="56">
        <v>2.6</v>
      </c>
      <c r="E523" s="57"/>
      <c r="F523" s="75" t="s">
        <v>801</v>
      </c>
      <c r="G523" s="55"/>
      <c r="H523" s="58">
        <v>25000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32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32</v>
      </c>
      <c r="P523" s="55"/>
      <c r="Q523" s="62">
        <f>REKAP[[#This Row],[Harga Satuan]]*REKAP[[#This Row],[Stok Akhir]]</f>
        <v>800000</v>
      </c>
      <c r="R523" s="61">
        <f>IF(REKAP[[#This Row],[Stok Aktual]]&lt;&gt;"",REKAP[[#This Row],[Stok Aktual]]-REKAP[[#This Row],[Stok Akhir]],0)</f>
        <v>0</v>
      </c>
      <c r="S523" s="132"/>
      <c r="T523" s="137">
        <f>IF(REKAP[[#This Row],[Selisih]]&lt;=-1,REKAP[[#This Row],[Harga Satuan]]*REKAP[[#This Row],[Selisih]],0)</f>
        <v>0</v>
      </c>
    </row>
    <row r="524" spans="1:20" x14ac:dyDescent="0.25">
      <c r="A524" s="55" t="s">
        <v>752</v>
      </c>
      <c r="B524" s="55" t="s">
        <v>658</v>
      </c>
      <c r="C524" s="55"/>
      <c r="D524" s="56">
        <v>2.6</v>
      </c>
      <c r="E524" s="57"/>
      <c r="F524" s="75" t="s">
        <v>801</v>
      </c>
      <c r="G524" s="55"/>
      <c r="H524" s="58">
        <v>729.16666666666663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192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192</v>
      </c>
      <c r="P524" s="55"/>
      <c r="Q524" s="62">
        <f>REKAP[[#This Row],[Harga Satuan]]*REKAP[[#This Row],[Stok Akhir]]</f>
        <v>140000</v>
      </c>
      <c r="R524" s="61">
        <f>IF(REKAP[[#This Row],[Stok Aktual]]&lt;&gt;"",REKAP[[#This Row],[Stok Aktual]]-REKAP[[#This Row],[Stok Akhir]],0)</f>
        <v>0</v>
      </c>
      <c r="S524" s="132"/>
      <c r="T524" s="137">
        <f>IF(REKAP[[#This Row],[Selisih]]&lt;=-1,REKAP[[#This Row],[Harga Satuan]]*REKAP[[#This Row],[Selisih]],0)</f>
        <v>0</v>
      </c>
    </row>
    <row r="525" spans="1:20" x14ac:dyDescent="0.25">
      <c r="A525" s="55" t="s">
        <v>753</v>
      </c>
      <c r="B525" s="55" t="s">
        <v>659</v>
      </c>
      <c r="C525" s="55"/>
      <c r="D525" s="56">
        <v>2</v>
      </c>
      <c r="E525" s="57"/>
      <c r="F525" s="75" t="s">
        <v>801</v>
      </c>
      <c r="G525" s="55"/>
      <c r="H525" s="58">
        <v>260.46511627906978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>
        <f>IF(REKAP[[#This Row],[Stok Aktual]]&lt;&gt;"",REKAP[[#This Row],[Stok Aktual]]-REKAP[[#This Row],[Stok Akhir]],0)</f>
        <v>0</v>
      </c>
      <c r="S525" s="132"/>
      <c r="T525" s="137">
        <f>IF(REKAP[[#This Row],[Selisih]]&lt;=-1,REKAP[[#This Row],[Harga Satuan]]*REKAP[[#This Row],[Selisih]],0)</f>
        <v>0</v>
      </c>
    </row>
    <row r="526" spans="1:20" x14ac:dyDescent="0.25">
      <c r="A526" s="55" t="s">
        <v>754</v>
      </c>
      <c r="B526" s="55" t="s">
        <v>659</v>
      </c>
      <c r="C526" s="55"/>
      <c r="D526" s="56">
        <v>2.6</v>
      </c>
      <c r="E526" s="57"/>
      <c r="F526" s="75" t="s">
        <v>801</v>
      </c>
      <c r="G526" s="55" t="s">
        <v>829</v>
      </c>
      <c r="H526" s="58">
        <v>604.16666666666663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45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45</v>
      </c>
      <c r="P526" s="55"/>
      <c r="Q526" s="62">
        <f>REKAP[[#This Row],[Harga Satuan]]*REKAP[[#This Row],[Stok Akhir]]</f>
        <v>27187.5</v>
      </c>
      <c r="R526" s="61">
        <f>IF(REKAP[[#This Row],[Stok Aktual]]&lt;&gt;"",REKAP[[#This Row],[Stok Aktual]]-REKAP[[#This Row],[Stok Akhir]],0)</f>
        <v>0</v>
      </c>
      <c r="S526" s="132"/>
      <c r="T526" s="137">
        <f>IF(REKAP[[#This Row],[Selisih]]&lt;=-1,REKAP[[#This Row],[Harga Satuan]]*REKAP[[#This Row],[Selisih]],0)</f>
        <v>0</v>
      </c>
    </row>
    <row r="527" spans="1:20" x14ac:dyDescent="0.25">
      <c r="A527" s="55" t="s">
        <v>755</v>
      </c>
      <c r="B527" s="55" t="s">
        <v>660</v>
      </c>
      <c r="C527" s="55"/>
      <c r="D527" s="56">
        <v>3.2</v>
      </c>
      <c r="E527" s="57"/>
      <c r="F527" s="75" t="s">
        <v>801</v>
      </c>
      <c r="G527" s="55"/>
      <c r="H527" s="58">
        <v>750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138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138</v>
      </c>
      <c r="P527" s="55"/>
      <c r="Q527" s="62">
        <f>REKAP[[#This Row],[Harga Satuan]]*REKAP[[#This Row],[Stok Akhir]]</f>
        <v>103500</v>
      </c>
      <c r="R527" s="61">
        <f>IF(REKAP[[#This Row],[Stok Aktual]]&lt;&gt;"",REKAP[[#This Row],[Stok Aktual]]-REKAP[[#This Row],[Stok Akhir]],0)</f>
        <v>0</v>
      </c>
      <c r="S527" s="132"/>
      <c r="T527" s="137">
        <f>IF(REKAP[[#This Row],[Selisih]]&lt;=-1,REKAP[[#This Row],[Harga Satuan]]*REKAP[[#This Row],[Selisih]],0)</f>
        <v>0</v>
      </c>
    </row>
    <row r="528" spans="1:20" x14ac:dyDescent="0.25">
      <c r="A528" s="55" t="s">
        <v>756</v>
      </c>
      <c r="B528" s="55" t="s">
        <v>3639</v>
      </c>
      <c r="C528" s="55"/>
      <c r="D528" s="56"/>
      <c r="E528" s="57"/>
      <c r="F528" s="75" t="s">
        <v>801</v>
      </c>
      <c r="G528" s="55"/>
      <c r="H528" s="58">
        <v>25000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6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6</v>
      </c>
      <c r="P528" s="55"/>
      <c r="Q528" s="62">
        <f>REKAP[[#This Row],[Harga Satuan]]*REKAP[[#This Row],[Stok Akhir]]</f>
        <v>150000</v>
      </c>
      <c r="R528" s="61">
        <f>IF(REKAP[[#This Row],[Stok Aktual]]&lt;&gt;"",REKAP[[#This Row],[Stok Aktual]]-REKAP[[#This Row],[Stok Akhir]],0)</f>
        <v>0</v>
      </c>
      <c r="S528" s="132"/>
      <c r="T528" s="137">
        <f>IF(REKAP[[#This Row],[Selisih]]&lt;=-1,REKAP[[#This Row],[Harga Satuan]]*REKAP[[#This Row],[Selisih]],0)</f>
        <v>0</v>
      </c>
    </row>
    <row r="529" spans="1:20" x14ac:dyDescent="0.25">
      <c r="A529" s="55" t="s">
        <v>757</v>
      </c>
      <c r="B529" s="55" t="s">
        <v>661</v>
      </c>
      <c r="C529" s="55"/>
      <c r="D529" s="56" t="s">
        <v>819</v>
      </c>
      <c r="E529" s="57"/>
      <c r="F529" s="75" t="s">
        <v>801</v>
      </c>
      <c r="G529" s="55" t="s">
        <v>836</v>
      </c>
      <c r="H529" s="58">
        <v>4100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1</v>
      </c>
      <c r="K529" s="60">
        <f>REKAP[[#This Row],[Trx In]]+REKAP[[#This Row],[Trx Out]]</f>
        <v>1</v>
      </c>
      <c r="L529" s="55">
        <v>10</v>
      </c>
      <c r="M529" s="74">
        <f>SUMIF(MASUK!$C:$C,REKAP[[#This Row],[ID]],MASUK!$H:$H)</f>
        <v>0</v>
      </c>
      <c r="N529" s="74">
        <f>SUMIF(KELUAR!$C:$C,REKAP[[#This Row],[ID]],KELUAR!$H:$H)</f>
        <v>2</v>
      </c>
      <c r="O529" s="74">
        <f>REKAP[[#This Row],[Stok Awal]]+REKAP[[#This Row],[Masuk]]-REKAP[[#This Row],[Keluar]]</f>
        <v>8</v>
      </c>
      <c r="P529" s="55">
        <v>8</v>
      </c>
      <c r="Q529" s="62">
        <f>REKAP[[#This Row],[Harga Satuan]]*REKAP[[#This Row],[Stok Akhir]]</f>
        <v>32800</v>
      </c>
      <c r="R529" s="61">
        <f>IF(REKAP[[#This Row],[Stok Aktual]]&lt;&gt;"",REKAP[[#This Row],[Stok Aktual]]-REKAP[[#This Row],[Stok Akhir]],0)</f>
        <v>0</v>
      </c>
      <c r="S529" s="132"/>
      <c r="T529" s="137">
        <f>IF(REKAP[[#This Row],[Selisih]]&lt;=-1,REKAP[[#This Row],[Harga Satuan]]*REKAP[[#This Row],[Selisih]],0)</f>
        <v>0</v>
      </c>
    </row>
    <row r="530" spans="1:20" x14ac:dyDescent="0.25">
      <c r="A530" s="55" t="s">
        <v>758</v>
      </c>
      <c r="B530" s="55" t="s">
        <v>3640</v>
      </c>
      <c r="C530" s="55" t="s">
        <v>3640</v>
      </c>
      <c r="D530" s="56" t="s">
        <v>820</v>
      </c>
      <c r="E530" s="57"/>
      <c r="F530" s="75" t="s">
        <v>801</v>
      </c>
      <c r="G530" s="55"/>
      <c r="H530" s="58">
        <v>9000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>
        <f>IF(REKAP[[#This Row],[Stok Aktual]]&lt;&gt;"",REKAP[[#This Row],[Stok Aktual]]-REKAP[[#This Row],[Stok Akhir]],0)</f>
        <v>0</v>
      </c>
      <c r="S530" s="132"/>
      <c r="T530" s="137">
        <f>IF(REKAP[[#This Row],[Selisih]]&lt;=-1,REKAP[[#This Row],[Harga Satuan]]*REKAP[[#This Row],[Selisih]],0)</f>
        <v>0</v>
      </c>
    </row>
    <row r="531" spans="1:20" x14ac:dyDescent="0.25">
      <c r="A531" s="55" t="s">
        <v>759</v>
      </c>
      <c r="B531" s="55" t="s">
        <v>3640</v>
      </c>
      <c r="C531" s="55" t="s">
        <v>3640</v>
      </c>
      <c r="D531" s="56" t="s">
        <v>821</v>
      </c>
      <c r="E531" s="57"/>
      <c r="F531" s="75" t="s">
        <v>801</v>
      </c>
      <c r="G531" s="55"/>
      <c r="H531" s="58">
        <v>115000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0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0</v>
      </c>
      <c r="P531" s="55"/>
      <c r="Q531" s="62">
        <f>REKAP[[#This Row],[Harga Satuan]]*REKAP[[#This Row],[Stok Akhir]]</f>
        <v>0</v>
      </c>
      <c r="R531" s="61">
        <f>IF(REKAP[[#This Row],[Stok Aktual]]&lt;&gt;"",REKAP[[#This Row],[Stok Aktual]]-REKAP[[#This Row],[Stok Akhir]],0)</f>
        <v>0</v>
      </c>
      <c r="S531" s="132"/>
      <c r="T531" s="137">
        <f>IF(REKAP[[#This Row],[Selisih]]&lt;=-1,REKAP[[#This Row],[Harga Satuan]]*REKAP[[#This Row],[Selisih]],0)</f>
        <v>0</v>
      </c>
    </row>
    <row r="532" spans="1:20" x14ac:dyDescent="0.25">
      <c r="A532" s="55" t="s">
        <v>760</v>
      </c>
      <c r="B532" s="55" t="s">
        <v>3641</v>
      </c>
      <c r="C532" s="55" t="s">
        <v>3640</v>
      </c>
      <c r="D532" s="56" t="s">
        <v>822</v>
      </c>
      <c r="E532" s="57"/>
      <c r="F532" s="75" t="s">
        <v>801</v>
      </c>
      <c r="G532" s="55"/>
      <c r="H532" s="58">
        <v>230000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>
        <f>IF(REKAP[[#This Row],[Stok Aktual]]&lt;&gt;"",REKAP[[#This Row],[Stok Aktual]]-REKAP[[#This Row],[Stok Akhir]],0)</f>
        <v>0</v>
      </c>
      <c r="S532" s="132"/>
      <c r="T532" s="137">
        <f>IF(REKAP[[#This Row],[Selisih]]&lt;=-1,REKAP[[#This Row],[Harga Satuan]]*REKAP[[#This Row],[Selisih]],0)</f>
        <v>0</v>
      </c>
    </row>
    <row r="533" spans="1:20" x14ac:dyDescent="0.25">
      <c r="A533" s="55" t="s">
        <v>761</v>
      </c>
      <c r="B533" s="55" t="s">
        <v>3644</v>
      </c>
      <c r="C533" s="55" t="s">
        <v>3644</v>
      </c>
      <c r="D533" s="56" t="s">
        <v>3642</v>
      </c>
      <c r="E533" s="57"/>
      <c r="F533" s="75" t="s">
        <v>801</v>
      </c>
      <c r="G533" s="55" t="s">
        <v>837</v>
      </c>
      <c r="H533" s="58">
        <v>4000</v>
      </c>
      <c r="I533" s="59">
        <f>IF(COUNTIF(MASUK[Kode Barang],REKAP[[#This Row],[ID]])=0,0,COUNTIF(MASUK[Kode Barang],REKAP[[#This Row],[ID]]))</f>
        <v>2</v>
      </c>
      <c r="J533" s="59">
        <f>IF(COUNTIF(MASUK8[Kode Barang],REKAP[[#This Row],[ID]])=0,0,COUNTIF(MASUK8[Kode Barang],REKAP[[#This Row],[ID]]))</f>
        <v>4</v>
      </c>
      <c r="K533" s="60">
        <f>REKAP[[#This Row],[Trx In]]+REKAP[[#This Row],[Trx Out]]</f>
        <v>6</v>
      </c>
      <c r="L533" s="55">
        <v>3</v>
      </c>
      <c r="M533" s="74">
        <f>SUMIF(MASUK!$C:$C,REKAP[[#This Row],[ID]],MASUK!$H:$H)</f>
        <v>4</v>
      </c>
      <c r="N533" s="74">
        <f>SUMIF(KELUAR!$C:$C,REKAP[[#This Row],[ID]],KELUAR!$H:$H)</f>
        <v>4</v>
      </c>
      <c r="O533" s="74">
        <f>REKAP[[#This Row],[Stok Awal]]+REKAP[[#This Row],[Masuk]]-REKAP[[#This Row],[Keluar]]</f>
        <v>3</v>
      </c>
      <c r="P533" s="55">
        <v>3</v>
      </c>
      <c r="Q533" s="62">
        <f>REKAP[[#This Row],[Harga Satuan]]*REKAP[[#This Row],[Stok Akhir]]</f>
        <v>12000</v>
      </c>
      <c r="R533" s="61">
        <f>IF(REKAP[[#This Row],[Stok Aktual]]&lt;&gt;"",REKAP[[#This Row],[Stok Aktual]]-REKAP[[#This Row],[Stok Akhir]],0)</f>
        <v>0</v>
      </c>
      <c r="S533" s="132"/>
      <c r="T533" s="137">
        <f>IF(REKAP[[#This Row],[Selisih]]&lt;=-1,REKAP[[#This Row],[Harga Satuan]]*REKAP[[#This Row],[Selisih]],0)</f>
        <v>0</v>
      </c>
    </row>
    <row r="534" spans="1:20" x14ac:dyDescent="0.25">
      <c r="A534" s="55" t="s">
        <v>762</v>
      </c>
      <c r="B534" s="55" t="s">
        <v>3644</v>
      </c>
      <c r="C534" s="55" t="s">
        <v>3644</v>
      </c>
      <c r="D534" s="56" t="s">
        <v>3643</v>
      </c>
      <c r="E534" s="57"/>
      <c r="F534" s="75" t="s">
        <v>801</v>
      </c>
      <c r="G534" s="55" t="s">
        <v>837</v>
      </c>
      <c r="H534" s="58">
        <v>15000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1</v>
      </c>
      <c r="K534" s="60">
        <f>REKAP[[#This Row],[Trx In]]+REKAP[[#This Row],[Trx Out]]</f>
        <v>1</v>
      </c>
      <c r="L534" s="55">
        <v>3</v>
      </c>
      <c r="M534" s="74">
        <f>SUMIF(MASUK!$C:$C,REKAP[[#This Row],[ID]],MASUK!$H:$H)</f>
        <v>0</v>
      </c>
      <c r="N534" s="74">
        <f>SUMIF(KELUAR!$C:$C,REKAP[[#This Row],[ID]],KELUAR!$H:$H)</f>
        <v>1</v>
      </c>
      <c r="O534" s="74">
        <f>REKAP[[#This Row],[Stok Awal]]+REKAP[[#This Row],[Masuk]]-REKAP[[#This Row],[Keluar]]</f>
        <v>2</v>
      </c>
      <c r="P534" s="55">
        <v>2</v>
      </c>
      <c r="Q534" s="62">
        <f>REKAP[[#This Row],[Harga Satuan]]*REKAP[[#This Row],[Stok Akhir]]</f>
        <v>30000</v>
      </c>
      <c r="R534" s="61">
        <f>IF(REKAP[[#This Row],[Stok Aktual]]&lt;&gt;"",REKAP[[#This Row],[Stok Aktual]]-REKAP[[#This Row],[Stok Akhir]],0)</f>
        <v>0</v>
      </c>
      <c r="S534" s="132"/>
      <c r="T534" s="137">
        <f>IF(REKAP[[#This Row],[Selisih]]&lt;=-1,REKAP[[#This Row],[Harga Satuan]]*REKAP[[#This Row],[Selisih]],0)</f>
        <v>0</v>
      </c>
    </row>
    <row r="535" spans="1:20" x14ac:dyDescent="0.25">
      <c r="A535" s="55" t="s">
        <v>763</v>
      </c>
      <c r="B535" s="55" t="s">
        <v>3644</v>
      </c>
      <c r="C535" s="55" t="s">
        <v>3644</v>
      </c>
      <c r="D535" s="56" t="s">
        <v>3638</v>
      </c>
      <c r="E535" s="57"/>
      <c r="F535" s="75" t="s">
        <v>801</v>
      </c>
      <c r="G535" s="55" t="s">
        <v>837</v>
      </c>
      <c r="H535" s="58">
        <v>27500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2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2</v>
      </c>
      <c r="P535" s="55"/>
      <c r="Q535" s="62">
        <f>REKAP[[#This Row],[Harga Satuan]]*REKAP[[#This Row],[Stok Akhir]]</f>
        <v>55000</v>
      </c>
      <c r="R535" s="61">
        <f>IF(REKAP[[#This Row],[Stok Aktual]]&lt;&gt;"",REKAP[[#This Row],[Stok Aktual]]-REKAP[[#This Row],[Stok Akhir]],0)</f>
        <v>0</v>
      </c>
      <c r="S535" s="132"/>
      <c r="T535" s="137">
        <f>IF(REKAP[[#This Row],[Selisih]]&lt;=-1,REKAP[[#This Row],[Harga Satuan]]*REKAP[[#This Row],[Selisih]],0)</f>
        <v>0</v>
      </c>
    </row>
    <row r="536" spans="1:20" x14ac:dyDescent="0.25">
      <c r="A536" s="55" t="s">
        <v>764</v>
      </c>
      <c r="B536" s="55" t="s">
        <v>662</v>
      </c>
      <c r="C536" s="55"/>
      <c r="D536" s="56"/>
      <c r="E536" s="57"/>
      <c r="F536" s="75" t="s">
        <v>801</v>
      </c>
      <c r="G536" s="55"/>
      <c r="H536" s="58">
        <v>30000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0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0</v>
      </c>
      <c r="P536" s="55"/>
      <c r="Q536" s="62">
        <f>REKAP[[#This Row],[Harga Satuan]]*REKAP[[#This Row],[Stok Akhir]]</f>
        <v>0</v>
      </c>
      <c r="R536" s="61">
        <f>IF(REKAP[[#This Row],[Stok Aktual]]&lt;&gt;"",REKAP[[#This Row],[Stok Aktual]]-REKAP[[#This Row],[Stok Akhir]],0)</f>
        <v>0</v>
      </c>
      <c r="S536" s="132"/>
      <c r="T536" s="137">
        <f>IF(REKAP[[#This Row],[Selisih]]&lt;=-1,REKAP[[#This Row],[Harga Satuan]]*REKAP[[#This Row],[Selisih]],0)</f>
        <v>0</v>
      </c>
    </row>
    <row r="537" spans="1:20" x14ac:dyDescent="0.25">
      <c r="A537" s="55" t="s">
        <v>765</v>
      </c>
      <c r="B537" s="55" t="s">
        <v>3649</v>
      </c>
      <c r="C537" s="55"/>
      <c r="D537" s="56"/>
      <c r="E537" s="57"/>
      <c r="F537" s="75" t="s">
        <v>801</v>
      </c>
      <c r="G537" s="55"/>
      <c r="H537" s="58">
        <v>12258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2</v>
      </c>
      <c r="K537" s="60">
        <f>REKAP[[#This Row],[Trx In]]+REKAP[[#This Row],[Trx Out]]</f>
        <v>2</v>
      </c>
      <c r="L537" s="55">
        <v>8</v>
      </c>
      <c r="M537" s="74">
        <f>SUMIF(MASUK!$C:$C,REKAP[[#This Row],[ID]],MASUK!$H:$H)</f>
        <v>0</v>
      </c>
      <c r="N537" s="74">
        <f>SUMIF(KELUAR!$C:$C,REKAP[[#This Row],[ID]],KELUAR!$H:$H)</f>
        <v>2</v>
      </c>
      <c r="O537" s="74">
        <f>REKAP[[#This Row],[Stok Awal]]+REKAP[[#This Row],[Masuk]]-REKAP[[#This Row],[Keluar]]</f>
        <v>6</v>
      </c>
      <c r="P537" s="55">
        <v>6</v>
      </c>
      <c r="Q537" s="62">
        <f>REKAP[[#This Row],[Harga Satuan]]*REKAP[[#This Row],[Stok Akhir]]</f>
        <v>73548</v>
      </c>
      <c r="R537" s="61">
        <f>IF(REKAP[[#This Row],[Stok Aktual]]&lt;&gt;"",REKAP[[#This Row],[Stok Aktual]]-REKAP[[#This Row],[Stok Akhir]],0)</f>
        <v>0</v>
      </c>
      <c r="S537" s="132"/>
      <c r="T537" s="137">
        <f>IF(REKAP[[#This Row],[Selisih]]&lt;=-1,REKAP[[#This Row],[Harga Satuan]]*REKAP[[#This Row],[Selisih]],0)</f>
        <v>0</v>
      </c>
    </row>
    <row r="538" spans="1:20" x14ac:dyDescent="0.25">
      <c r="A538" s="55" t="s">
        <v>766</v>
      </c>
      <c r="B538" s="55" t="s">
        <v>3650</v>
      </c>
      <c r="C538" s="55"/>
      <c r="D538" s="56"/>
      <c r="E538" s="57"/>
      <c r="F538" s="75" t="s">
        <v>801</v>
      </c>
      <c r="G538" s="55"/>
      <c r="H538" s="58"/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0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0</v>
      </c>
      <c r="P538" s="55"/>
      <c r="Q538" s="62">
        <f>REKAP[[#This Row],[Harga Satuan]]*REKAP[[#This Row],[Stok Akhir]]</f>
        <v>0</v>
      </c>
      <c r="R538" s="61">
        <f>IF(REKAP[[#This Row],[Stok Aktual]]&lt;&gt;"",REKAP[[#This Row],[Stok Aktual]]-REKAP[[#This Row],[Stok Akhir]],0)</f>
        <v>0</v>
      </c>
      <c r="S538" s="132"/>
      <c r="T538" s="137">
        <f>IF(REKAP[[#This Row],[Selisih]]&lt;=-1,REKAP[[#This Row],[Harga Satuan]]*REKAP[[#This Row],[Selisih]],0)</f>
        <v>0</v>
      </c>
    </row>
    <row r="539" spans="1:20" x14ac:dyDescent="0.25">
      <c r="A539" s="55" t="s">
        <v>767</v>
      </c>
      <c r="B539" s="55" t="s">
        <v>663</v>
      </c>
      <c r="C539" s="55"/>
      <c r="D539" s="56"/>
      <c r="E539" s="57"/>
      <c r="F539" s="75" t="s">
        <v>801</v>
      </c>
      <c r="G539" s="55"/>
      <c r="H539" s="58">
        <v>280000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2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2</v>
      </c>
      <c r="P539" s="55"/>
      <c r="Q539" s="62">
        <f>REKAP[[#This Row],[Harga Satuan]]*REKAP[[#This Row],[Stok Akhir]]</f>
        <v>560000</v>
      </c>
      <c r="R539" s="61">
        <f>IF(REKAP[[#This Row],[Stok Aktual]]&lt;&gt;"",REKAP[[#This Row],[Stok Aktual]]-REKAP[[#This Row],[Stok Akhir]],0)</f>
        <v>0</v>
      </c>
      <c r="S539" s="132"/>
      <c r="T539" s="137">
        <f>IF(REKAP[[#This Row],[Selisih]]&lt;=-1,REKAP[[#This Row],[Harga Satuan]]*REKAP[[#This Row],[Selisih]],0)</f>
        <v>0</v>
      </c>
    </row>
    <row r="540" spans="1:20" x14ac:dyDescent="0.25">
      <c r="A540" s="55" t="s">
        <v>768</v>
      </c>
      <c r="B540" s="55" t="s">
        <v>3645</v>
      </c>
      <c r="C540" s="55"/>
      <c r="D540" s="56"/>
      <c r="E540" s="57"/>
      <c r="F540" s="75" t="s">
        <v>801</v>
      </c>
      <c r="G540" s="55"/>
      <c r="H540" s="58">
        <v>3500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0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0</v>
      </c>
      <c r="P540" s="55"/>
      <c r="Q540" s="62">
        <f>REKAP[[#This Row],[Harga Satuan]]*REKAP[[#This Row],[Stok Akhir]]</f>
        <v>0</v>
      </c>
      <c r="R540" s="61">
        <f>IF(REKAP[[#This Row],[Stok Aktual]]&lt;&gt;"",REKAP[[#This Row],[Stok Aktual]]-REKAP[[#This Row],[Stok Akhir]],0)</f>
        <v>0</v>
      </c>
      <c r="S540" s="132"/>
      <c r="T540" s="137">
        <f>IF(REKAP[[#This Row],[Selisih]]&lt;=-1,REKAP[[#This Row],[Harga Satuan]]*REKAP[[#This Row],[Selisih]],0)</f>
        <v>0</v>
      </c>
    </row>
    <row r="541" spans="1:20" x14ac:dyDescent="0.25">
      <c r="A541" s="55" t="s">
        <v>769</v>
      </c>
      <c r="B541" s="55" t="s">
        <v>664</v>
      </c>
      <c r="C541" s="55"/>
      <c r="D541" s="56"/>
      <c r="E541" s="57"/>
      <c r="F541" s="75" t="s">
        <v>801</v>
      </c>
      <c r="G541" s="55" t="s">
        <v>838</v>
      </c>
      <c r="H541" s="58">
        <v>1455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29</v>
      </c>
      <c r="K541" s="60">
        <f>REKAP[[#This Row],[Trx In]]+REKAP[[#This Row],[Trx Out]]</f>
        <v>29</v>
      </c>
      <c r="L541" s="55">
        <v>182</v>
      </c>
      <c r="M541" s="74">
        <f>SUMIF(MASUK!$C:$C,REKAP[[#This Row],[ID]],MASUK!$H:$H)</f>
        <v>0</v>
      </c>
      <c r="N541" s="74">
        <f>SUMIF(KELUAR!$C:$C,REKAP[[#This Row],[ID]],KELUAR!$H:$H)</f>
        <v>39</v>
      </c>
      <c r="O541" s="74">
        <f>REKAP[[#This Row],[Stok Awal]]+REKAP[[#This Row],[Masuk]]-REKAP[[#This Row],[Keluar]]</f>
        <v>143</v>
      </c>
      <c r="P541" s="55">
        <v>143</v>
      </c>
      <c r="Q541" s="62">
        <f>REKAP[[#This Row],[Harga Satuan]]*REKAP[[#This Row],[Stok Akhir]]</f>
        <v>208065</v>
      </c>
      <c r="R541" s="61">
        <f>IF(REKAP[[#This Row],[Stok Aktual]]&lt;&gt;"",REKAP[[#This Row],[Stok Aktual]]-REKAP[[#This Row],[Stok Akhir]],0)</f>
        <v>0</v>
      </c>
      <c r="S541" s="132"/>
      <c r="T541" s="137">
        <f>IF(REKAP[[#This Row],[Selisih]]&lt;=-1,REKAP[[#This Row],[Harga Satuan]]*REKAP[[#This Row],[Selisih]],0)</f>
        <v>0</v>
      </c>
    </row>
    <row r="542" spans="1:20" x14ac:dyDescent="0.25">
      <c r="A542" s="55" t="s">
        <v>770</v>
      </c>
      <c r="B542" s="55" t="s">
        <v>3651</v>
      </c>
      <c r="C542" s="55"/>
      <c r="D542" s="56"/>
      <c r="E542" s="57"/>
      <c r="F542" s="75" t="s">
        <v>801</v>
      </c>
      <c r="G542" s="64"/>
      <c r="H542" s="58">
        <v>1100</v>
      </c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2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2</v>
      </c>
      <c r="P542" s="55"/>
      <c r="Q542" s="62">
        <f>REKAP[[#This Row],[Harga Satuan]]*REKAP[[#This Row],[Stok Akhir]]</f>
        <v>2200</v>
      </c>
      <c r="R542" s="61">
        <f>IF(REKAP[[#This Row],[Stok Aktual]]&lt;&gt;"",REKAP[[#This Row],[Stok Aktual]]-REKAP[[#This Row],[Stok Akhir]],0)</f>
        <v>0</v>
      </c>
      <c r="S542" s="132"/>
      <c r="T542" s="137">
        <f>IF(REKAP[[#This Row],[Selisih]]&lt;=-1,REKAP[[#This Row],[Harga Satuan]]*REKAP[[#This Row],[Selisih]],0)</f>
        <v>0</v>
      </c>
    </row>
    <row r="543" spans="1:20" x14ac:dyDescent="0.25">
      <c r="A543" s="55" t="s">
        <v>771</v>
      </c>
      <c r="B543" s="55" t="s">
        <v>665</v>
      </c>
      <c r="C543" s="55"/>
      <c r="D543" s="56" t="s">
        <v>823</v>
      </c>
      <c r="E543" s="57"/>
      <c r="F543" s="75" t="s">
        <v>801</v>
      </c>
      <c r="G543" s="64"/>
      <c r="H543" s="58">
        <v>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0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>
        <f>IF(REKAP[[#This Row],[Stok Aktual]]&lt;&gt;"",REKAP[[#This Row],[Stok Aktual]]-REKAP[[#This Row],[Stok Akhir]],0)</f>
        <v>0</v>
      </c>
      <c r="S543" s="132"/>
      <c r="T543" s="137">
        <f>IF(REKAP[[#This Row],[Selisih]]&lt;=-1,REKAP[[#This Row],[Harga Satuan]]*REKAP[[#This Row],[Selisih]],0)</f>
        <v>0</v>
      </c>
    </row>
    <row r="544" spans="1:20" x14ac:dyDescent="0.25">
      <c r="A544" s="55" t="s">
        <v>772</v>
      </c>
      <c r="B544" s="55" t="s">
        <v>665</v>
      </c>
      <c r="C544" s="55"/>
      <c r="D544" s="56" t="s">
        <v>824</v>
      </c>
      <c r="E544" s="57"/>
      <c r="F544" s="75" t="s">
        <v>801</v>
      </c>
      <c r="G544" s="64" t="s">
        <v>828</v>
      </c>
      <c r="H544" s="58">
        <v>282000</v>
      </c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</v>
      </c>
      <c r="P544" s="55"/>
      <c r="Q544" s="62">
        <f>REKAP[[#This Row],[Harga Satuan]]*REKAP[[#This Row],[Stok Akhir]]</f>
        <v>282000</v>
      </c>
      <c r="R544" s="61">
        <f>IF(REKAP[[#This Row],[Stok Aktual]]&lt;&gt;"",REKAP[[#This Row],[Stok Aktual]]-REKAP[[#This Row],[Stok Akhir]],0)</f>
        <v>0</v>
      </c>
      <c r="S544" s="132"/>
      <c r="T544" s="137">
        <f>IF(REKAP[[#This Row],[Selisih]]&lt;=-1,REKAP[[#This Row],[Harga Satuan]]*REKAP[[#This Row],[Selisih]],0)</f>
        <v>0</v>
      </c>
    </row>
    <row r="545" spans="1:20" x14ac:dyDescent="0.25">
      <c r="A545" s="55" t="s">
        <v>773</v>
      </c>
      <c r="B545" s="55" t="s">
        <v>666</v>
      </c>
      <c r="C545" s="55"/>
      <c r="D545" s="56"/>
      <c r="E545" s="57"/>
      <c r="F545" s="75" t="s">
        <v>801</v>
      </c>
      <c r="G545" s="64"/>
      <c r="H545" s="58">
        <v>4000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0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>
        <f>IF(REKAP[[#This Row],[Stok Aktual]]&lt;&gt;"",REKAP[[#This Row],[Stok Aktual]]-REKAP[[#This Row],[Stok Akhir]],0)</f>
        <v>0</v>
      </c>
      <c r="S545" s="132"/>
      <c r="T545" s="137">
        <f>IF(REKAP[[#This Row],[Selisih]]&lt;=-1,REKAP[[#This Row],[Harga Satuan]]*REKAP[[#This Row],[Selisih]],0)</f>
        <v>0</v>
      </c>
    </row>
    <row r="546" spans="1:20" x14ac:dyDescent="0.25">
      <c r="A546" s="55" t="s">
        <v>774</v>
      </c>
      <c r="B546" s="55" t="s">
        <v>667</v>
      </c>
      <c r="C546" s="55"/>
      <c r="D546" s="56"/>
      <c r="E546" s="57"/>
      <c r="F546" s="75" t="s">
        <v>801</v>
      </c>
      <c r="G546" s="55"/>
      <c r="H546" s="58">
        <v>7500</v>
      </c>
      <c r="I546" s="59">
        <f>IF(COUNTIF(MASUK[Kode Barang],REKAP[[#This Row],[ID]])=0,0,COUNTIF(MASUK[Kode Barang],REKAP[[#This Row],[ID]]))</f>
        <v>0</v>
      </c>
      <c r="J546" s="59">
        <f>IF(COUNTIF(MASUK8[Kode Barang],REKAP[[#This Row],[ID]])=0,0,COUNTIF(MASUK8[Kode Barang],REKAP[[#This Row],[ID]]))</f>
        <v>0</v>
      </c>
      <c r="K546" s="60">
        <f>REKAP[[#This Row],[Trx In]]+REKAP[[#This Row],[Trx Out]]</f>
        <v>0</v>
      </c>
      <c r="L546" s="55">
        <v>5</v>
      </c>
      <c r="M546" s="74">
        <f>SUMIF(MASUK!$C:$C,REKAP[[#This Row],[ID]],MASUK!$H:$H)</f>
        <v>0</v>
      </c>
      <c r="N546" s="74">
        <f>SUMIF(KELUAR!$C:$C,REKAP[[#This Row],[ID]],KELUAR!$H:$H)</f>
        <v>0</v>
      </c>
      <c r="O546" s="74">
        <f>REKAP[[#This Row],[Stok Awal]]+REKAP[[#This Row],[Masuk]]-REKAP[[#This Row],[Keluar]]</f>
        <v>5</v>
      </c>
      <c r="P546" s="55"/>
      <c r="Q546" s="62">
        <f>REKAP[[#This Row],[Harga Satuan]]*REKAP[[#This Row],[Stok Akhir]]</f>
        <v>37500</v>
      </c>
      <c r="R546" s="61">
        <f>IF(REKAP[[#This Row],[Stok Aktual]]&lt;&gt;"",REKAP[[#This Row],[Stok Aktual]]-REKAP[[#This Row],[Stok Akhir]],0)</f>
        <v>0</v>
      </c>
      <c r="S546" s="132"/>
      <c r="T546" s="137">
        <f>IF(REKAP[[#This Row],[Selisih]]&lt;=-1,REKAP[[#This Row],[Harga Satuan]]*REKAP[[#This Row],[Selisih]],0)</f>
        <v>0</v>
      </c>
    </row>
    <row r="547" spans="1:20" x14ac:dyDescent="0.25">
      <c r="A547" s="55" t="s">
        <v>775</v>
      </c>
      <c r="B547" s="55" t="s">
        <v>668</v>
      </c>
      <c r="C547" s="55"/>
      <c r="D547" s="56"/>
      <c r="E547" s="57"/>
      <c r="F547" s="75" t="s">
        <v>801</v>
      </c>
      <c r="G547" s="55"/>
      <c r="H547" s="58">
        <v>60000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0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>
        <f>IF(REKAP[[#This Row],[Stok Aktual]]&lt;&gt;"",REKAP[[#This Row],[Stok Aktual]]-REKAP[[#This Row],[Stok Akhir]],0)</f>
        <v>0</v>
      </c>
      <c r="S547" s="132"/>
      <c r="T547" s="137">
        <f>IF(REKAP[[#This Row],[Selisih]]&lt;=-1,REKAP[[#This Row],[Harga Satuan]]*REKAP[[#This Row],[Selisih]],0)</f>
        <v>0</v>
      </c>
    </row>
    <row r="548" spans="1:20" x14ac:dyDescent="0.25">
      <c r="A548" s="55" t="s">
        <v>776</v>
      </c>
      <c r="B548" s="55" t="s">
        <v>669</v>
      </c>
      <c r="C548" s="55"/>
      <c r="D548" s="56"/>
      <c r="E548" s="57"/>
      <c r="F548" s="75" t="s">
        <v>801</v>
      </c>
      <c r="G548" s="55"/>
      <c r="H548" s="58">
        <v>10000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8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8</v>
      </c>
      <c r="P548" s="55"/>
      <c r="Q548" s="62">
        <f>REKAP[[#This Row],[Harga Satuan]]*REKAP[[#This Row],[Stok Akhir]]</f>
        <v>80000</v>
      </c>
      <c r="R548" s="61">
        <f>IF(REKAP[[#This Row],[Stok Aktual]]&lt;&gt;"",REKAP[[#This Row],[Stok Aktual]]-REKAP[[#This Row],[Stok Akhir]],0)</f>
        <v>0</v>
      </c>
      <c r="S548" s="132"/>
      <c r="T548" s="137">
        <f>IF(REKAP[[#This Row],[Selisih]]&lt;=-1,REKAP[[#This Row],[Harga Satuan]]*REKAP[[#This Row],[Selisih]],0)</f>
        <v>0</v>
      </c>
    </row>
    <row r="549" spans="1:20" x14ac:dyDescent="0.25">
      <c r="A549" s="55" t="s">
        <v>777</v>
      </c>
      <c r="B549" s="55" t="s">
        <v>670</v>
      </c>
      <c r="C549" s="55"/>
      <c r="D549" s="56"/>
      <c r="E549" s="57"/>
      <c r="F549" s="75" t="s">
        <v>801</v>
      </c>
      <c r="G549" s="55"/>
      <c r="H549" s="58">
        <v>7500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12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12</v>
      </c>
      <c r="P549" s="55"/>
      <c r="Q549" s="62">
        <f>REKAP[[#This Row],[Harga Satuan]]*REKAP[[#This Row],[Stok Akhir]]</f>
        <v>90000</v>
      </c>
      <c r="R549" s="61">
        <f>IF(REKAP[[#This Row],[Stok Aktual]]&lt;&gt;"",REKAP[[#This Row],[Stok Aktual]]-REKAP[[#This Row],[Stok Akhir]],0)</f>
        <v>0</v>
      </c>
      <c r="S549" s="132"/>
      <c r="T549" s="137">
        <f>IF(REKAP[[#This Row],[Selisih]]&lt;=-1,REKAP[[#This Row],[Harga Satuan]]*REKAP[[#This Row],[Selisih]],0)</f>
        <v>0</v>
      </c>
    </row>
    <row r="550" spans="1:20" x14ac:dyDescent="0.25">
      <c r="A550" s="55" t="s">
        <v>778</v>
      </c>
      <c r="B550" s="55" t="s">
        <v>671</v>
      </c>
      <c r="C550" s="55"/>
      <c r="D550" s="56"/>
      <c r="E550" s="57"/>
      <c r="F550" s="75" t="s">
        <v>801</v>
      </c>
      <c r="G550" s="55"/>
      <c r="H550" s="58">
        <v>255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1</v>
      </c>
      <c r="K550" s="60">
        <f>REKAP[[#This Row],[Trx In]]+REKAP[[#This Row],[Trx Out]]</f>
        <v>1</v>
      </c>
      <c r="L550" s="55">
        <v>911</v>
      </c>
      <c r="M550" s="74">
        <f>SUMIF(MASUK!$C:$C,REKAP[[#This Row],[ID]],MASUK!$H:$H)</f>
        <v>0</v>
      </c>
      <c r="N550" s="74">
        <f>SUMIF(KELUAR!$C:$C,REKAP[[#This Row],[ID]],KELUAR!$H:$H)</f>
        <v>4</v>
      </c>
      <c r="O550" s="74">
        <f>REKAP[[#This Row],[Stok Awal]]+REKAP[[#This Row],[Masuk]]-REKAP[[#This Row],[Keluar]]</f>
        <v>907</v>
      </c>
      <c r="P550" s="55">
        <v>907</v>
      </c>
      <c r="Q550" s="62">
        <f>REKAP[[#This Row],[Harga Satuan]]*REKAP[[#This Row],[Stok Akhir]]</f>
        <v>231285</v>
      </c>
      <c r="R550" s="61">
        <f>IF(REKAP[[#This Row],[Stok Aktual]]&lt;&gt;"",REKAP[[#This Row],[Stok Aktual]]-REKAP[[#This Row],[Stok Akhir]],0)</f>
        <v>0</v>
      </c>
      <c r="S550" s="132"/>
      <c r="T550" s="137">
        <f>IF(REKAP[[#This Row],[Selisih]]&lt;=-1,REKAP[[#This Row],[Harga Satuan]]*REKAP[[#This Row],[Selisih]],0)</f>
        <v>0</v>
      </c>
    </row>
    <row r="551" spans="1:20" x14ac:dyDescent="0.25">
      <c r="A551" s="55" t="s">
        <v>779</v>
      </c>
      <c r="B551" s="55" t="s">
        <v>672</v>
      </c>
      <c r="C551" s="55"/>
      <c r="D551" s="56"/>
      <c r="E551" s="57"/>
      <c r="F551" s="75" t="s">
        <v>801</v>
      </c>
      <c r="G551" s="55"/>
      <c r="H551" s="58">
        <v>45000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>
        <f>IF(REKAP[[#This Row],[Stok Aktual]]&lt;&gt;"",REKAP[[#This Row],[Stok Aktual]]-REKAP[[#This Row],[Stok Akhir]],0)</f>
        <v>0</v>
      </c>
      <c r="S551" s="132"/>
      <c r="T551" s="137">
        <f>IF(REKAP[[#This Row],[Selisih]]&lt;=-1,REKAP[[#This Row],[Harga Satuan]]*REKAP[[#This Row],[Selisih]],0)</f>
        <v>0</v>
      </c>
    </row>
    <row r="552" spans="1:20" x14ac:dyDescent="0.25">
      <c r="A552" s="55" t="s">
        <v>780</v>
      </c>
      <c r="B552" s="55" t="s">
        <v>673</v>
      </c>
      <c r="C552" s="55"/>
      <c r="D552" s="56"/>
      <c r="E552" s="57"/>
      <c r="F552" s="75" t="s">
        <v>801</v>
      </c>
      <c r="G552" s="55" t="s">
        <v>829</v>
      </c>
      <c r="H552" s="58">
        <v>75000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150000</v>
      </c>
      <c r="R552" s="61">
        <f>IF(REKAP[[#This Row],[Stok Aktual]]&lt;&gt;"",REKAP[[#This Row],[Stok Aktual]]-REKAP[[#This Row],[Stok Akhir]],0)</f>
        <v>0</v>
      </c>
      <c r="S552" s="132"/>
      <c r="T552" s="137">
        <f>IF(REKAP[[#This Row],[Selisih]]&lt;=-1,REKAP[[#This Row],[Harga Satuan]]*REKAP[[#This Row],[Selisih]],0)</f>
        <v>0</v>
      </c>
    </row>
    <row r="553" spans="1:20" x14ac:dyDescent="0.25">
      <c r="A553" s="55" t="s">
        <v>781</v>
      </c>
      <c r="B553" s="55" t="s">
        <v>674</v>
      </c>
      <c r="C553" s="55"/>
      <c r="D553" s="56"/>
      <c r="E553" s="57"/>
      <c r="F553" s="75" t="s">
        <v>801</v>
      </c>
      <c r="G553" s="55"/>
      <c r="H553" s="58">
        <v>25000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0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0</v>
      </c>
      <c r="P553" s="55"/>
      <c r="Q553" s="62">
        <f>REKAP[[#This Row],[Harga Satuan]]*REKAP[[#This Row],[Stok Akhir]]</f>
        <v>0</v>
      </c>
      <c r="R553" s="61">
        <f>IF(REKAP[[#This Row],[Stok Aktual]]&lt;&gt;"",REKAP[[#This Row],[Stok Aktual]]-REKAP[[#This Row],[Stok Akhir]],0)</f>
        <v>0</v>
      </c>
      <c r="S553" s="132"/>
      <c r="T553" s="137">
        <f>IF(REKAP[[#This Row],[Selisih]]&lt;=-1,REKAP[[#This Row],[Harga Satuan]]*REKAP[[#This Row],[Selisih]],0)</f>
        <v>0</v>
      </c>
    </row>
    <row r="554" spans="1:20" x14ac:dyDescent="0.25">
      <c r="A554" s="55" t="s">
        <v>782</v>
      </c>
      <c r="B554" s="55" t="s">
        <v>675</v>
      </c>
      <c r="C554" s="55"/>
      <c r="D554" s="56"/>
      <c r="E554" s="57"/>
      <c r="F554" s="75" t="s">
        <v>801</v>
      </c>
      <c r="G554" s="55"/>
      <c r="H554" s="58">
        <v>25000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0</v>
      </c>
      <c r="K554" s="60">
        <f>REKAP[[#This Row],[Trx In]]+REKAP[[#This Row],[Trx Out]]</f>
        <v>0</v>
      </c>
      <c r="L554" s="55">
        <v>0</v>
      </c>
      <c r="M554" s="74">
        <f>SUMIF(MASUK!$C:$C,REKAP[[#This Row],[ID]],MASUK!$H:$H)</f>
        <v>0</v>
      </c>
      <c r="N554" s="74">
        <f>SUMIF(KELUAR!$C:$C,REKAP[[#This Row],[ID]],KELUAR!$H:$H)</f>
        <v>0</v>
      </c>
      <c r="O554" s="74">
        <f>REKAP[[#This Row],[Stok Awal]]+REKAP[[#This Row],[Masuk]]-REKAP[[#This Row],[Keluar]]</f>
        <v>0</v>
      </c>
      <c r="P554" s="55"/>
      <c r="Q554" s="62">
        <f>REKAP[[#This Row],[Harga Satuan]]*REKAP[[#This Row],[Stok Akhir]]</f>
        <v>0</v>
      </c>
      <c r="R554" s="61">
        <f>IF(REKAP[[#This Row],[Stok Aktual]]&lt;&gt;"",REKAP[[#This Row],[Stok Aktual]]-REKAP[[#This Row],[Stok Akhir]],0)</f>
        <v>0</v>
      </c>
      <c r="S554" s="132"/>
      <c r="T554" s="137">
        <f>IF(REKAP[[#This Row],[Selisih]]&lt;=-1,REKAP[[#This Row],[Harga Satuan]]*REKAP[[#This Row],[Selisih]],0)</f>
        <v>0</v>
      </c>
    </row>
    <row r="555" spans="1:20" x14ac:dyDescent="0.25">
      <c r="A555" s="55" t="s">
        <v>783</v>
      </c>
      <c r="B555" s="55" t="s">
        <v>676</v>
      </c>
      <c r="C555" s="55"/>
      <c r="D555" s="56"/>
      <c r="E555" s="57"/>
      <c r="F555" s="75" t="s">
        <v>801</v>
      </c>
      <c r="G555" s="55" t="s">
        <v>839</v>
      </c>
      <c r="H555" s="58">
        <v>95000</v>
      </c>
      <c r="I555" s="59">
        <f>IF(COUNTIF(MASUK[Kode Barang],REKAP[[#This Row],[ID]])=0,0,COUNTIF(MASUK[Kode Barang],REKAP[[#This Row],[ID]]))</f>
        <v>1</v>
      </c>
      <c r="J555" s="59">
        <f>IF(COUNTIF(MASUK8[Kode Barang],REKAP[[#This Row],[ID]])=0,0,COUNTIF(MASUK8[Kode Barang],REKAP[[#This Row],[ID]]))</f>
        <v>1</v>
      </c>
      <c r="K555" s="60">
        <f>REKAP[[#This Row],[Trx In]]+REKAP[[#This Row],[Trx Out]]</f>
        <v>2</v>
      </c>
      <c r="L555" s="55">
        <v>1</v>
      </c>
      <c r="M555" s="74">
        <f>SUMIF(MASUK!$C:$C,REKAP[[#This Row],[ID]],MASUK!$H:$H)</f>
        <v>1</v>
      </c>
      <c r="N555" s="74">
        <f>SUMIF(KELUAR!$C:$C,REKAP[[#This Row],[ID]],KELUAR!$H:$H)</f>
        <v>1</v>
      </c>
      <c r="O555" s="74">
        <f>REKAP[[#This Row],[Stok Awal]]+REKAP[[#This Row],[Masuk]]-REKAP[[#This Row],[Keluar]]</f>
        <v>1</v>
      </c>
      <c r="P555" s="55">
        <v>1</v>
      </c>
      <c r="Q555" s="62">
        <f>REKAP[[#This Row],[Harga Satuan]]*REKAP[[#This Row],[Stok Akhir]]</f>
        <v>95000</v>
      </c>
      <c r="R555" s="61">
        <f>IF(REKAP[[#This Row],[Stok Aktual]]&lt;&gt;"",REKAP[[#This Row],[Stok Aktual]]-REKAP[[#This Row],[Stok Akhir]],0)</f>
        <v>0</v>
      </c>
      <c r="S555" s="132"/>
      <c r="T555" s="137">
        <f>IF(REKAP[[#This Row],[Selisih]]&lt;=-1,REKAP[[#This Row],[Harga Satuan]]*REKAP[[#This Row],[Selisih]],0)</f>
        <v>0</v>
      </c>
    </row>
    <row r="556" spans="1:20" x14ac:dyDescent="0.25">
      <c r="A556" s="55" t="s">
        <v>784</v>
      </c>
      <c r="B556" s="55" t="s">
        <v>677</v>
      </c>
      <c r="C556" s="55"/>
      <c r="D556" s="56"/>
      <c r="E556" s="57"/>
      <c r="F556" s="75" t="s">
        <v>801</v>
      </c>
      <c r="G556" s="55" t="s">
        <v>833</v>
      </c>
      <c r="H556" s="58">
        <v>15000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</v>
      </c>
      <c r="P556" s="55"/>
      <c r="Q556" s="62">
        <f>REKAP[[#This Row],[Harga Satuan]]*REKAP[[#This Row],[Stok Akhir]]</f>
        <v>15000</v>
      </c>
      <c r="R556" s="61">
        <f>IF(REKAP[[#This Row],[Stok Aktual]]&lt;&gt;"",REKAP[[#This Row],[Stok Aktual]]-REKAP[[#This Row],[Stok Akhir]],0)</f>
        <v>0</v>
      </c>
      <c r="S556" s="132"/>
      <c r="T556" s="137">
        <f>IF(REKAP[[#This Row],[Selisih]]&lt;=-1,REKAP[[#This Row],[Harga Satuan]]*REKAP[[#This Row],[Selisih]],0)</f>
        <v>0</v>
      </c>
    </row>
    <row r="557" spans="1:20" x14ac:dyDescent="0.25">
      <c r="A557" s="55" t="s">
        <v>785</v>
      </c>
      <c r="B557" s="55" t="s">
        <v>678</v>
      </c>
      <c r="C557" s="55"/>
      <c r="D557" s="56"/>
      <c r="E557" s="57"/>
      <c r="F557" s="75" t="s">
        <v>801</v>
      </c>
      <c r="G557" s="55"/>
      <c r="H557" s="58">
        <v>92610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0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0</v>
      </c>
      <c r="P557" s="55"/>
      <c r="Q557" s="62">
        <f>REKAP[[#This Row],[Harga Satuan]]*REKAP[[#This Row],[Stok Akhir]]</f>
        <v>0</v>
      </c>
      <c r="R557" s="61">
        <f>IF(REKAP[[#This Row],[Stok Aktual]]&lt;&gt;"",REKAP[[#This Row],[Stok Aktual]]-REKAP[[#This Row],[Stok Akhir]],0)</f>
        <v>0</v>
      </c>
      <c r="S557" s="132"/>
      <c r="T557" s="137">
        <f>IF(REKAP[[#This Row],[Selisih]]&lt;=-1,REKAP[[#This Row],[Harga Satuan]]*REKAP[[#This Row],[Selisih]],0)</f>
        <v>0</v>
      </c>
    </row>
    <row r="558" spans="1:20" x14ac:dyDescent="0.25">
      <c r="A558" s="55" t="s">
        <v>786</v>
      </c>
      <c r="B558" s="55" t="s">
        <v>679</v>
      </c>
      <c r="C558" s="55"/>
      <c r="D558" s="56"/>
      <c r="E558" s="57"/>
      <c r="F558" s="75" t="s">
        <v>801</v>
      </c>
      <c r="G558" s="55" t="s">
        <v>840</v>
      </c>
      <c r="H558" s="58">
        <v>75000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1</v>
      </c>
      <c r="K558" s="60">
        <f>REKAP[[#This Row],[Trx In]]+REKAP[[#This Row],[Trx Out]]</f>
        <v>1</v>
      </c>
      <c r="L558" s="55">
        <v>6</v>
      </c>
      <c r="M558" s="74">
        <f>SUMIF(MASUK!$C:$C,REKAP[[#This Row],[ID]],MASUK!$H:$H)</f>
        <v>0</v>
      </c>
      <c r="N558" s="74">
        <f>SUMIF(KELUAR!$C:$C,REKAP[[#This Row],[ID]],KELUAR!$H:$H)</f>
        <v>1</v>
      </c>
      <c r="O558" s="74">
        <f>REKAP[[#This Row],[Stok Awal]]+REKAP[[#This Row],[Masuk]]-REKAP[[#This Row],[Keluar]]</f>
        <v>5</v>
      </c>
      <c r="P558" s="55">
        <v>5</v>
      </c>
      <c r="Q558" s="62">
        <f>REKAP[[#This Row],[Harga Satuan]]*REKAP[[#This Row],[Stok Akhir]]</f>
        <v>375000</v>
      </c>
      <c r="R558" s="61">
        <f>IF(REKAP[[#This Row],[Stok Aktual]]&lt;&gt;"",REKAP[[#This Row],[Stok Aktual]]-REKAP[[#This Row],[Stok Akhir]],0)</f>
        <v>0</v>
      </c>
      <c r="S558" s="132"/>
      <c r="T558" s="137">
        <f>IF(REKAP[[#This Row],[Selisih]]&lt;=-1,REKAP[[#This Row],[Harga Satuan]]*REKAP[[#This Row],[Selisih]],0)</f>
        <v>0</v>
      </c>
    </row>
    <row r="559" spans="1:20" x14ac:dyDescent="0.25">
      <c r="A559" s="55" t="s">
        <v>787</v>
      </c>
      <c r="B559" s="55" t="s">
        <v>680</v>
      </c>
      <c r="C559" s="55"/>
      <c r="D559" s="56"/>
      <c r="E559" s="57"/>
      <c r="F559" s="75" t="s">
        <v>801</v>
      </c>
      <c r="G559" s="55"/>
      <c r="H559" s="58">
        <v>18000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0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0</v>
      </c>
      <c r="P559" s="55"/>
      <c r="Q559" s="62">
        <f>REKAP[[#This Row],[Harga Satuan]]*REKAP[[#This Row],[Stok Akhir]]</f>
        <v>0</v>
      </c>
      <c r="R559" s="61">
        <f>IF(REKAP[[#This Row],[Stok Aktual]]&lt;&gt;"",REKAP[[#This Row],[Stok Aktual]]-REKAP[[#This Row],[Stok Akhir]],0)</f>
        <v>0</v>
      </c>
      <c r="S559" s="132"/>
      <c r="T559" s="137">
        <f>IF(REKAP[[#This Row],[Selisih]]&lt;=-1,REKAP[[#This Row],[Harga Satuan]]*REKAP[[#This Row],[Selisih]],0)</f>
        <v>0</v>
      </c>
    </row>
    <row r="560" spans="1:20" x14ac:dyDescent="0.25">
      <c r="A560" s="55" t="s">
        <v>788</v>
      </c>
      <c r="B560" s="55" t="s">
        <v>681</v>
      </c>
      <c r="C560" s="55"/>
      <c r="D560" s="56"/>
      <c r="E560" s="57"/>
      <c r="F560" s="75" t="s">
        <v>801</v>
      </c>
      <c r="G560" s="55" t="s">
        <v>833</v>
      </c>
      <c r="H560" s="58">
        <v>2000</v>
      </c>
      <c r="I560" s="59">
        <f>IF(COUNTIF(MASUK[Kode Barang],REKAP[[#This Row],[ID]])=0,0,COUNTIF(MASUK[Kode Barang],REKAP[[#This Row],[ID]]))</f>
        <v>2</v>
      </c>
      <c r="J560" s="59">
        <f>IF(COUNTIF(MASUK8[Kode Barang],REKAP[[#This Row],[ID]])=0,0,COUNTIF(MASUK8[Kode Barang],REKAP[[#This Row],[ID]]))</f>
        <v>26</v>
      </c>
      <c r="K560" s="60">
        <f>REKAP[[#This Row],[Trx In]]+REKAP[[#This Row],[Trx Out]]</f>
        <v>28</v>
      </c>
      <c r="L560" s="55">
        <v>7</v>
      </c>
      <c r="M560" s="74">
        <f>SUMIF(MASUK!$C:$C,REKAP[[#This Row],[ID]],MASUK!$H:$H)</f>
        <v>24</v>
      </c>
      <c r="N560" s="74">
        <f>SUMIF(KELUAR!$C:$C,REKAP[[#This Row],[ID]],KELUAR!$H:$H)</f>
        <v>31</v>
      </c>
      <c r="O560" s="74">
        <f>REKAP[[#This Row],[Stok Awal]]+REKAP[[#This Row],[Masuk]]-REKAP[[#This Row],[Keluar]]</f>
        <v>0</v>
      </c>
      <c r="P560" s="55">
        <v>0</v>
      </c>
      <c r="Q560" s="62">
        <f>REKAP[[#This Row],[Harga Satuan]]*REKAP[[#This Row],[Stok Akhir]]</f>
        <v>0</v>
      </c>
      <c r="R560" s="61">
        <f>IF(REKAP[[#This Row],[Stok Aktual]]&lt;&gt;"",REKAP[[#This Row],[Stok Aktual]]-REKAP[[#This Row],[Stok Akhir]],0)</f>
        <v>0</v>
      </c>
      <c r="S560" s="132"/>
      <c r="T560" s="137">
        <f>IF(REKAP[[#This Row],[Selisih]]&lt;=-1,REKAP[[#This Row],[Harga Satuan]]*REKAP[[#This Row],[Selisih]],0)</f>
        <v>0</v>
      </c>
    </row>
    <row r="561" spans="1:20" x14ac:dyDescent="0.25">
      <c r="A561" s="55" t="s">
        <v>789</v>
      </c>
      <c r="B561" s="55" t="s">
        <v>682</v>
      </c>
      <c r="C561" s="55"/>
      <c r="D561" s="56"/>
      <c r="E561" s="57"/>
      <c r="F561" s="75" t="s">
        <v>801</v>
      </c>
      <c r="G561" s="55"/>
      <c r="H561" s="58">
        <v>1800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1</v>
      </c>
      <c r="K561" s="60">
        <f>REKAP[[#This Row],[Trx In]]+REKAP[[#This Row],[Trx Out]]</f>
        <v>1</v>
      </c>
      <c r="L561" s="55">
        <v>107</v>
      </c>
      <c r="M561" s="74">
        <f>SUMIF(MASUK!$C:$C,REKAP[[#This Row],[ID]],MASUK!$H:$H)</f>
        <v>0</v>
      </c>
      <c r="N561" s="74">
        <f>SUMIF(KELUAR!$C:$C,REKAP[[#This Row],[ID]],KELUAR!$H:$H)</f>
        <v>2</v>
      </c>
      <c r="O561" s="74">
        <f>REKAP[[#This Row],[Stok Awal]]+REKAP[[#This Row],[Masuk]]-REKAP[[#This Row],[Keluar]]</f>
        <v>105</v>
      </c>
      <c r="P561" s="55">
        <v>105</v>
      </c>
      <c r="Q561" s="62">
        <f>REKAP[[#This Row],[Harga Satuan]]*REKAP[[#This Row],[Stok Akhir]]</f>
        <v>189000</v>
      </c>
      <c r="R561" s="61">
        <f>IF(REKAP[[#This Row],[Stok Aktual]]&lt;&gt;"",REKAP[[#This Row],[Stok Aktual]]-REKAP[[#This Row],[Stok Akhir]],0)</f>
        <v>0</v>
      </c>
      <c r="S561" s="132"/>
      <c r="T561" s="137">
        <f>IF(REKAP[[#This Row],[Selisih]]&lt;=-1,REKAP[[#This Row],[Harga Satuan]]*REKAP[[#This Row],[Selisih]],0)</f>
        <v>0</v>
      </c>
    </row>
    <row r="562" spans="1:20" x14ac:dyDescent="0.25">
      <c r="A562" s="55" t="s">
        <v>790</v>
      </c>
      <c r="B562" s="55" t="s">
        <v>3653</v>
      </c>
      <c r="C562" s="55"/>
      <c r="D562" s="56" t="s">
        <v>825</v>
      </c>
      <c r="E562" s="57"/>
      <c r="F562" s="75" t="s">
        <v>801</v>
      </c>
      <c r="G562" s="55"/>
      <c r="H562" s="58">
        <v>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0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0</v>
      </c>
      <c r="P562" s="55"/>
      <c r="Q562" s="62">
        <f>REKAP[[#This Row],[Harga Satuan]]*REKAP[[#This Row],[Stok Akhir]]</f>
        <v>0</v>
      </c>
      <c r="R562" s="61">
        <f>IF(REKAP[[#This Row],[Stok Aktual]]&lt;&gt;"",REKAP[[#This Row],[Stok Aktual]]-REKAP[[#This Row],[Stok Akhir]],0)</f>
        <v>0</v>
      </c>
      <c r="S562" s="132"/>
      <c r="T562" s="137">
        <f>IF(REKAP[[#This Row],[Selisih]]&lt;=-1,REKAP[[#This Row],[Harga Satuan]]*REKAP[[#This Row],[Selisih]],0)</f>
        <v>0</v>
      </c>
    </row>
    <row r="563" spans="1:20" x14ac:dyDescent="0.25">
      <c r="A563" s="55" t="s">
        <v>791</v>
      </c>
      <c r="B563" s="55" t="s">
        <v>3652</v>
      </c>
      <c r="C563" s="55"/>
      <c r="D563" s="56"/>
      <c r="E563" s="57"/>
      <c r="F563" s="75" t="s">
        <v>801</v>
      </c>
      <c r="G563" s="55" t="s">
        <v>833</v>
      </c>
      <c r="H563" s="58">
        <v>5000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1</v>
      </c>
      <c r="K563" s="60">
        <f>REKAP[[#This Row],[Trx In]]+REKAP[[#This Row],[Trx Out]]</f>
        <v>1</v>
      </c>
      <c r="L563" s="55">
        <v>12</v>
      </c>
      <c r="M563" s="74">
        <f>SUMIF(MASUK!$C:$C,REKAP[[#This Row],[ID]],MASUK!$H:$H)</f>
        <v>0</v>
      </c>
      <c r="N563" s="74">
        <f>SUMIF(KELUAR!$C:$C,REKAP[[#This Row],[ID]],KELUAR!$H:$H)</f>
        <v>2</v>
      </c>
      <c r="O563" s="74">
        <f>REKAP[[#This Row],[Stok Awal]]+REKAP[[#This Row],[Masuk]]-REKAP[[#This Row],[Keluar]]</f>
        <v>10</v>
      </c>
      <c r="P563" s="55">
        <v>10</v>
      </c>
      <c r="Q563" s="62">
        <f>REKAP[[#This Row],[Harga Satuan]]*REKAP[[#This Row],[Stok Akhir]]</f>
        <v>50000</v>
      </c>
      <c r="R563" s="61">
        <f>IF(REKAP[[#This Row],[Stok Aktual]]&lt;&gt;"",REKAP[[#This Row],[Stok Aktual]]-REKAP[[#This Row],[Stok Akhir]],0)</f>
        <v>0</v>
      </c>
      <c r="S563" s="132"/>
      <c r="T563" s="137">
        <f>IF(REKAP[[#This Row],[Selisih]]&lt;=-1,REKAP[[#This Row],[Harga Satuan]]*REKAP[[#This Row],[Selisih]],0)</f>
        <v>0</v>
      </c>
    </row>
    <row r="564" spans="1:20" x14ac:dyDescent="0.25">
      <c r="A564" s="55" t="s">
        <v>792</v>
      </c>
      <c r="B564" s="55" t="s">
        <v>683</v>
      </c>
      <c r="C564" s="55"/>
      <c r="D564" s="56"/>
      <c r="E564" s="57"/>
      <c r="F564" s="75" t="s">
        <v>801</v>
      </c>
      <c r="G564" s="55" t="s">
        <v>841</v>
      </c>
      <c r="H564" s="58">
        <v>175000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129">
        <v>6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6</v>
      </c>
      <c r="P564" s="129"/>
      <c r="Q564" s="62">
        <f>REKAP[[#This Row],[Harga Satuan]]*REKAP[[#This Row],[Stok Akhir]]</f>
        <v>1050000</v>
      </c>
      <c r="R564" s="61">
        <f>IF(REKAP[[#This Row],[Stok Aktual]]&lt;&gt;"",REKAP[[#This Row],[Stok Aktual]]-REKAP[[#This Row],[Stok Akhir]],0)</f>
        <v>0</v>
      </c>
      <c r="S564" s="132"/>
      <c r="T564" s="137">
        <f>IF(REKAP[[#This Row],[Selisih]]&lt;=-1,REKAP[[#This Row],[Harga Satuan]]*REKAP[[#This Row],[Selisih]],0)</f>
        <v>0</v>
      </c>
    </row>
    <row r="565" spans="1:20" x14ac:dyDescent="0.25">
      <c r="A565" s="55" t="s">
        <v>793</v>
      </c>
      <c r="B565" s="55" t="s">
        <v>684</v>
      </c>
      <c r="C565" s="55"/>
      <c r="D565" s="56"/>
      <c r="E565" s="57"/>
      <c r="F565" s="75" t="s">
        <v>801</v>
      </c>
      <c r="G565" s="55" t="s">
        <v>841</v>
      </c>
      <c r="H565" s="58">
        <v>175000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1</v>
      </c>
      <c r="K565" s="60">
        <f>REKAP[[#This Row],[Trx In]]+REKAP[[#This Row],[Trx Out]]</f>
        <v>1</v>
      </c>
      <c r="L565" s="129">
        <v>3</v>
      </c>
      <c r="M565" s="74">
        <f>SUMIF(MASUK!$C:$C,REKAP[[#This Row],[ID]],MASUK!$H:$H)</f>
        <v>0</v>
      </c>
      <c r="N565" s="74">
        <f>SUMIF(KELUAR!$C:$C,REKAP[[#This Row],[ID]],KELUAR!$H:$H)</f>
        <v>1</v>
      </c>
      <c r="O565" s="74">
        <f>REKAP[[#This Row],[Stok Awal]]+REKAP[[#This Row],[Masuk]]-REKAP[[#This Row],[Keluar]]</f>
        <v>2</v>
      </c>
      <c r="P565" s="129">
        <v>2</v>
      </c>
      <c r="Q565" s="62">
        <f>REKAP[[#This Row],[Harga Satuan]]*REKAP[[#This Row],[Stok Akhir]]</f>
        <v>350000</v>
      </c>
      <c r="R565" s="61">
        <f>IF(REKAP[[#This Row],[Stok Aktual]]&lt;&gt;"",REKAP[[#This Row],[Stok Aktual]]-REKAP[[#This Row],[Stok Akhir]],0)</f>
        <v>0</v>
      </c>
      <c r="S565" s="132"/>
      <c r="T565" s="137">
        <f>IF(REKAP[[#This Row],[Selisih]]&lt;=-1,REKAP[[#This Row],[Harga Satuan]]*REKAP[[#This Row],[Selisih]],0)</f>
        <v>0</v>
      </c>
    </row>
    <row r="566" spans="1:20" x14ac:dyDescent="0.25">
      <c r="A566" s="55" t="s">
        <v>794</v>
      </c>
      <c r="B566" s="55" t="s">
        <v>685</v>
      </c>
      <c r="C566" s="55"/>
      <c r="D566" s="56"/>
      <c r="E566" s="57"/>
      <c r="F566" s="75" t="s">
        <v>801</v>
      </c>
      <c r="G566" s="55" t="s">
        <v>842</v>
      </c>
      <c r="H566" s="58">
        <v>100000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1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1</v>
      </c>
      <c r="P566" s="55"/>
      <c r="Q566" s="62">
        <f>REKAP[[#This Row],[Harga Satuan]]*REKAP[[#This Row],[Stok Akhir]]</f>
        <v>100000</v>
      </c>
      <c r="R566" s="61">
        <f>IF(REKAP[[#This Row],[Stok Aktual]]&lt;&gt;"",REKAP[[#This Row],[Stok Aktual]]-REKAP[[#This Row],[Stok Akhir]],0)</f>
        <v>0</v>
      </c>
      <c r="S566" s="132"/>
      <c r="T566" s="137">
        <f>IF(REKAP[[#This Row],[Selisih]]&lt;=-1,REKAP[[#This Row],[Harga Satuan]]*REKAP[[#This Row],[Selisih]],0)</f>
        <v>0</v>
      </c>
    </row>
    <row r="567" spans="1:20" x14ac:dyDescent="0.25">
      <c r="A567" s="55" t="s">
        <v>795</v>
      </c>
      <c r="B567" s="55" t="s">
        <v>686</v>
      </c>
      <c r="C567" s="55"/>
      <c r="D567" s="56"/>
      <c r="E567" s="57"/>
      <c r="F567" s="75" t="s">
        <v>801</v>
      </c>
      <c r="G567" s="55"/>
      <c r="H567" s="58"/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0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0</v>
      </c>
      <c r="P567" s="55"/>
      <c r="Q567" s="62">
        <f>REKAP[[#This Row],[Harga Satuan]]*REKAP[[#This Row],[Stok Akhir]]</f>
        <v>0</v>
      </c>
      <c r="R567" s="61">
        <f>IF(REKAP[[#This Row],[Stok Aktual]]&lt;&gt;"",REKAP[[#This Row],[Stok Aktual]]-REKAP[[#This Row],[Stok Akhir]],0)</f>
        <v>0</v>
      </c>
      <c r="S567" s="132"/>
      <c r="T567" s="137">
        <f>IF(REKAP[[#This Row],[Selisih]]&lt;=-1,REKAP[[#This Row],[Harga Satuan]]*REKAP[[#This Row],[Selisih]],0)</f>
        <v>0</v>
      </c>
    </row>
    <row r="568" spans="1:20" x14ac:dyDescent="0.25">
      <c r="A568" s="55" t="s">
        <v>796</v>
      </c>
      <c r="B568" s="55" t="s">
        <v>687</v>
      </c>
      <c r="C568" s="55"/>
      <c r="D568" s="56"/>
      <c r="E568" s="57"/>
      <c r="F568" s="75" t="s">
        <v>801</v>
      </c>
      <c r="G568" s="55" t="s">
        <v>842</v>
      </c>
      <c r="H568" s="58">
        <v>185000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1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1</v>
      </c>
      <c r="P568" s="55"/>
      <c r="Q568" s="62">
        <f>REKAP[[#This Row],[Harga Satuan]]*REKAP[[#This Row],[Stok Akhir]]</f>
        <v>185000</v>
      </c>
      <c r="R568" s="61">
        <f>IF(REKAP[[#This Row],[Stok Aktual]]&lt;&gt;"",REKAP[[#This Row],[Stok Aktual]]-REKAP[[#This Row],[Stok Akhir]],0)</f>
        <v>0</v>
      </c>
      <c r="S568" s="132"/>
      <c r="T568" s="137">
        <f>IF(REKAP[[#This Row],[Selisih]]&lt;=-1,REKAP[[#This Row],[Harga Satuan]]*REKAP[[#This Row],[Selisih]],0)</f>
        <v>0</v>
      </c>
    </row>
    <row r="569" spans="1:20" x14ac:dyDescent="0.25">
      <c r="A569" s="55" t="s">
        <v>797</v>
      </c>
      <c r="B569" s="55" t="s">
        <v>3654</v>
      </c>
      <c r="C569" s="55"/>
      <c r="D569" s="56"/>
      <c r="E569" s="57"/>
      <c r="F569" s="75" t="s">
        <v>801</v>
      </c>
      <c r="G569" s="55"/>
      <c r="H569" s="58">
        <v>145000</v>
      </c>
      <c r="I569" s="59">
        <f>IF(COUNTIF(MASUK[Kode Barang],REKAP[[#This Row],[ID]])=0,0,COUNTIF(MASUK[Kode Barang],REKAP[[#This Row],[ID]]))</f>
        <v>2</v>
      </c>
      <c r="J569" s="59">
        <f>IF(COUNTIF(MASUK8[Kode Barang],REKAP[[#This Row],[ID]])=0,0,COUNTIF(MASUK8[Kode Barang],REKAP[[#This Row],[ID]]))</f>
        <v>1</v>
      </c>
      <c r="K569" s="60">
        <f>REKAP[[#This Row],[Trx In]]+REKAP[[#This Row],[Trx Out]]</f>
        <v>3</v>
      </c>
      <c r="L569" s="55">
        <v>1</v>
      </c>
      <c r="M569" s="74">
        <f>SUMIF(MASUK!$C:$C,REKAP[[#This Row],[ID]],MASUK!$H:$H)</f>
        <v>2</v>
      </c>
      <c r="N569" s="74">
        <f>SUMIF(KELUAR!$C:$C,REKAP[[#This Row],[ID]],KELUAR!$H:$H)</f>
        <v>1</v>
      </c>
      <c r="O569" s="74">
        <f>REKAP[[#This Row],[Stok Awal]]+REKAP[[#This Row],[Masuk]]-REKAP[[#This Row],[Keluar]]</f>
        <v>2</v>
      </c>
      <c r="P569" s="55">
        <v>2</v>
      </c>
      <c r="Q569" s="62">
        <f>REKAP[[#This Row],[Harga Satuan]]*REKAP[[#This Row],[Stok Akhir]]</f>
        <v>290000</v>
      </c>
      <c r="R569" s="61">
        <f>IF(REKAP[[#This Row],[Stok Aktual]]&lt;&gt;"",REKAP[[#This Row],[Stok Aktual]]-REKAP[[#This Row],[Stok Akhir]],0)</f>
        <v>0</v>
      </c>
      <c r="S569" s="132"/>
      <c r="T569" s="137">
        <f>IF(REKAP[[#This Row],[Selisih]]&lt;=-1,REKAP[[#This Row],[Harga Satuan]]*REKAP[[#This Row],[Selisih]],0)</f>
        <v>0</v>
      </c>
    </row>
    <row r="570" spans="1:20" x14ac:dyDescent="0.25">
      <c r="A570" s="55" t="s">
        <v>798</v>
      </c>
      <c r="B570" s="55" t="s">
        <v>688</v>
      </c>
      <c r="C570" s="55"/>
      <c r="D570" s="56"/>
      <c r="E570" s="57"/>
      <c r="F570" s="75" t="s">
        <v>801</v>
      </c>
      <c r="G570" s="55"/>
      <c r="H570" s="58">
        <v>230000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>
        <f>IF(REKAP[[#This Row],[Stok Aktual]]&lt;&gt;"",REKAP[[#This Row],[Stok Aktual]]-REKAP[[#This Row],[Stok Akhir]],0)</f>
        <v>0</v>
      </c>
      <c r="S570" s="132"/>
      <c r="T570" s="137">
        <f>IF(REKAP[[#This Row],[Selisih]]&lt;=-1,REKAP[[#This Row],[Harga Satuan]]*REKAP[[#This Row],[Selisih]],0)</f>
        <v>0</v>
      </c>
    </row>
    <row r="571" spans="1:20" x14ac:dyDescent="0.25">
      <c r="A571" s="55" t="s">
        <v>799</v>
      </c>
      <c r="B571" s="55" t="s">
        <v>689</v>
      </c>
      <c r="C571" s="55"/>
      <c r="D571" s="56"/>
      <c r="E571" s="57"/>
      <c r="F571" s="75" t="s">
        <v>801</v>
      </c>
      <c r="G571" s="55" t="s">
        <v>843</v>
      </c>
      <c r="H571" s="58">
        <v>90000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1</v>
      </c>
      <c r="K571" s="60">
        <f>REKAP[[#This Row],[Trx In]]+REKAP[[#This Row],[Trx Out]]</f>
        <v>1</v>
      </c>
      <c r="L571" s="55">
        <v>2</v>
      </c>
      <c r="M571" s="74">
        <f>SUMIF(MASUK!$C:$C,REKAP[[#This Row],[ID]],MASUK!$H:$H)</f>
        <v>0</v>
      </c>
      <c r="N571" s="74">
        <f>SUMIF(KELUAR!$C:$C,REKAP[[#This Row],[ID]],KELUAR!$H:$H)</f>
        <v>1</v>
      </c>
      <c r="O571" s="74">
        <f>REKAP[[#This Row],[Stok Awal]]+REKAP[[#This Row],[Masuk]]-REKAP[[#This Row],[Keluar]]</f>
        <v>1</v>
      </c>
      <c r="P571" s="55">
        <v>1</v>
      </c>
      <c r="Q571" s="62">
        <f>REKAP[[#This Row],[Harga Satuan]]*REKAP[[#This Row],[Stok Akhir]]</f>
        <v>90000</v>
      </c>
      <c r="R571" s="61">
        <f>IF(REKAP[[#This Row],[Stok Aktual]]&lt;&gt;"",REKAP[[#This Row],[Stok Aktual]]-REKAP[[#This Row],[Stok Akhir]],0)</f>
        <v>0</v>
      </c>
      <c r="S571" s="132"/>
      <c r="T571" s="137">
        <f>IF(REKAP[[#This Row],[Selisih]]&lt;=-1,REKAP[[#This Row],[Harga Satuan]]*REKAP[[#This Row],[Selisih]],0)</f>
        <v>0</v>
      </c>
    </row>
    <row r="572" spans="1:20" x14ac:dyDescent="0.25">
      <c r="A572" s="55" t="s">
        <v>800</v>
      </c>
      <c r="B572" s="55" t="s">
        <v>690</v>
      </c>
      <c r="C572" s="55"/>
      <c r="D572" s="56"/>
      <c r="E572" s="57"/>
      <c r="F572" s="75" t="s">
        <v>801</v>
      </c>
      <c r="G572" s="55" t="s">
        <v>844</v>
      </c>
      <c r="H572" s="58">
        <v>750000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1</v>
      </c>
      <c r="K572" s="60">
        <f>REKAP[[#This Row],[Trx In]]+REKAP[[#This Row],[Trx Out]]</f>
        <v>1</v>
      </c>
      <c r="L572" s="55">
        <v>4</v>
      </c>
      <c r="M572" s="74">
        <f>SUMIF(MASUK!$C:$C,REKAP[[#This Row],[ID]],MASUK!$H:$H)</f>
        <v>0</v>
      </c>
      <c r="N572" s="74">
        <f>SUMIF(KELUAR!$C:$C,REKAP[[#This Row],[ID]],KELUAR!$H:$H)</f>
        <v>2</v>
      </c>
      <c r="O572" s="74">
        <f>REKAP[[#This Row],[Stok Awal]]+REKAP[[#This Row],[Masuk]]-REKAP[[#This Row],[Keluar]]</f>
        <v>2</v>
      </c>
      <c r="P572" s="55">
        <v>2</v>
      </c>
      <c r="Q572" s="62">
        <f>REKAP[[#This Row],[Harga Satuan]]*REKAP[[#This Row],[Stok Akhir]]</f>
        <v>1500000</v>
      </c>
      <c r="R572" s="61">
        <f>IF(REKAP[[#This Row],[Stok Aktual]]&lt;&gt;"",REKAP[[#This Row],[Stok Aktual]]-REKAP[[#This Row],[Stok Akhir]],0)</f>
        <v>0</v>
      </c>
      <c r="S572" s="132"/>
      <c r="T572" s="137">
        <f>IF(REKAP[[#This Row],[Selisih]]&lt;=-1,REKAP[[#This Row],[Harga Satuan]]*REKAP[[#This Row],[Selisih]],0)</f>
        <v>0</v>
      </c>
    </row>
    <row r="573" spans="1:20" x14ac:dyDescent="0.25">
      <c r="A573" s="55" t="s">
        <v>899</v>
      </c>
      <c r="B573" s="55" t="s">
        <v>845</v>
      </c>
      <c r="C573" s="55" t="s">
        <v>845</v>
      </c>
      <c r="D573" s="56" t="s">
        <v>1435</v>
      </c>
      <c r="E573" s="57"/>
      <c r="F573" s="75" t="s">
        <v>898</v>
      </c>
      <c r="G573" s="55"/>
      <c r="H573" s="58">
        <v>227933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0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0</v>
      </c>
      <c r="P573" s="55"/>
      <c r="Q573" s="62">
        <f>REKAP[[#This Row],[Harga Satuan]]*REKAP[[#This Row],[Stok Akhir]]</f>
        <v>0</v>
      </c>
      <c r="R573" s="61">
        <f>IF(REKAP[[#This Row],[Stok Aktual]]&lt;&gt;"",REKAP[[#This Row],[Stok Aktual]]-REKAP[[#This Row],[Stok Akhir]],0)</f>
        <v>0</v>
      </c>
      <c r="S573" s="132"/>
      <c r="T573" s="137">
        <f>IF(REKAP[[#This Row],[Selisih]]&lt;=-1,REKAP[[#This Row],[Harga Satuan]]*REKAP[[#This Row],[Selisih]],0)</f>
        <v>0</v>
      </c>
    </row>
    <row r="574" spans="1:20" x14ac:dyDescent="0.25">
      <c r="A574" s="55" t="s">
        <v>900</v>
      </c>
      <c r="B574" s="55" t="s">
        <v>845</v>
      </c>
      <c r="C574" s="55" t="s">
        <v>845</v>
      </c>
      <c r="D574" s="56" t="s">
        <v>1436</v>
      </c>
      <c r="E574" s="57"/>
      <c r="F574" s="75" t="s">
        <v>898</v>
      </c>
      <c r="G574" s="55"/>
      <c r="H574" s="58">
        <v>106941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0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0</v>
      </c>
      <c r="P574" s="55"/>
      <c r="Q574" s="62">
        <f>REKAP[[#This Row],[Harga Satuan]]*REKAP[[#This Row],[Stok Akhir]]</f>
        <v>0</v>
      </c>
      <c r="R574" s="61">
        <f>IF(REKAP[[#This Row],[Stok Aktual]]&lt;&gt;"",REKAP[[#This Row],[Stok Aktual]]-REKAP[[#This Row],[Stok Akhir]],0)</f>
        <v>0</v>
      </c>
      <c r="S574" s="132"/>
      <c r="T574" s="137">
        <f>IF(REKAP[[#This Row],[Selisih]]&lt;=-1,REKAP[[#This Row],[Harga Satuan]]*REKAP[[#This Row],[Selisih]],0)</f>
        <v>0</v>
      </c>
    </row>
    <row r="575" spans="1:20" x14ac:dyDescent="0.25">
      <c r="A575" s="55" t="s">
        <v>901</v>
      </c>
      <c r="B575" s="55" t="s">
        <v>845</v>
      </c>
      <c r="C575" s="55" t="s">
        <v>845</v>
      </c>
      <c r="D575" s="56" t="s">
        <v>1437</v>
      </c>
      <c r="E575" s="57"/>
      <c r="F575" s="75" t="s">
        <v>898</v>
      </c>
      <c r="G575" s="55"/>
      <c r="H575" s="58">
        <v>400000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0</v>
      </c>
      <c r="K575" s="60">
        <f>REKAP[[#This Row],[Trx In]]+REKAP[[#This Row],[Trx Out]]</f>
        <v>0</v>
      </c>
      <c r="L575" s="55">
        <v>0</v>
      </c>
      <c r="M575" s="74">
        <f>SUMIF(MASUK!$C:$C,REKAP[[#This Row],[ID]],MASUK!$H:$H)</f>
        <v>0</v>
      </c>
      <c r="N575" s="74">
        <f>SUMIF(KELUAR!$C:$C,REKAP[[#This Row],[ID]],KELUAR!$H:$H)</f>
        <v>0</v>
      </c>
      <c r="O575" s="74">
        <f>REKAP[[#This Row],[Stok Awal]]+REKAP[[#This Row],[Masuk]]-REKAP[[#This Row],[Keluar]]</f>
        <v>0</v>
      </c>
      <c r="P575" s="55"/>
      <c r="Q575" s="62">
        <f>REKAP[[#This Row],[Harga Satuan]]*REKAP[[#This Row],[Stok Akhir]]</f>
        <v>0</v>
      </c>
      <c r="R575" s="61">
        <f>IF(REKAP[[#This Row],[Stok Aktual]]&lt;&gt;"",REKAP[[#This Row],[Stok Aktual]]-REKAP[[#This Row],[Stok Akhir]],0)</f>
        <v>0</v>
      </c>
      <c r="S575" s="132"/>
      <c r="T575" s="137">
        <f>IF(REKAP[[#This Row],[Selisih]]&lt;=-1,REKAP[[#This Row],[Harga Satuan]]*REKAP[[#This Row],[Selisih]],0)</f>
        <v>0</v>
      </c>
    </row>
    <row r="576" spans="1:20" x14ac:dyDescent="0.25">
      <c r="A576" s="55" t="s">
        <v>902</v>
      </c>
      <c r="B576" s="55" t="s">
        <v>845</v>
      </c>
      <c r="C576" s="55" t="s">
        <v>845</v>
      </c>
      <c r="D576" s="56" t="s">
        <v>1438</v>
      </c>
      <c r="E576" s="57"/>
      <c r="F576" s="75" t="s">
        <v>898</v>
      </c>
      <c r="G576" s="55"/>
      <c r="H576" s="58"/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>
        <f>IF(REKAP[[#This Row],[Stok Aktual]]&lt;&gt;"",REKAP[[#This Row],[Stok Aktual]]-REKAP[[#This Row],[Stok Akhir]],0)</f>
        <v>0</v>
      </c>
      <c r="S576" s="132"/>
      <c r="T576" s="137">
        <f>IF(REKAP[[#This Row],[Selisih]]&lt;=-1,REKAP[[#This Row],[Harga Satuan]]*REKAP[[#This Row],[Selisih]],0)</f>
        <v>0</v>
      </c>
    </row>
    <row r="577" spans="1:20" x14ac:dyDescent="0.25">
      <c r="A577" s="55" t="s">
        <v>903</v>
      </c>
      <c r="B577" s="55" t="s">
        <v>846</v>
      </c>
      <c r="C577" s="55" t="s">
        <v>846</v>
      </c>
      <c r="D577" s="56" t="s">
        <v>1439</v>
      </c>
      <c r="E577" s="57"/>
      <c r="F577" s="75" t="s">
        <v>898</v>
      </c>
      <c r="G577" s="55"/>
      <c r="H577" s="58">
        <v>106477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>
        <f>IF(REKAP[[#This Row],[Stok Aktual]]&lt;&gt;"",REKAP[[#This Row],[Stok Aktual]]-REKAP[[#This Row],[Stok Akhir]],0)</f>
        <v>0</v>
      </c>
      <c r="S577" s="132"/>
      <c r="T577" s="137">
        <f>IF(REKAP[[#This Row],[Selisih]]&lt;=-1,REKAP[[#This Row],[Harga Satuan]]*REKAP[[#This Row],[Selisih]],0)</f>
        <v>0</v>
      </c>
    </row>
    <row r="578" spans="1:20" x14ac:dyDescent="0.25">
      <c r="A578" s="55" t="s">
        <v>904</v>
      </c>
      <c r="B578" s="55" t="s">
        <v>847</v>
      </c>
      <c r="C578" s="55" t="s">
        <v>847</v>
      </c>
      <c r="D578" s="56" t="s">
        <v>1440</v>
      </c>
      <c r="E578" s="57"/>
      <c r="F578" s="75" t="s">
        <v>898</v>
      </c>
      <c r="G578" s="55"/>
      <c r="H578" s="58">
        <v>130000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0</v>
      </c>
      <c r="L578" s="55">
        <v>0</v>
      </c>
      <c r="M578" s="74">
        <f>SUMIF(MASUK!$C:$C,REKAP[[#This Row],[ID]],MASUK!$H:$H)</f>
        <v>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0</v>
      </c>
      <c r="P578" s="55"/>
      <c r="Q578" s="62">
        <f>REKAP[[#This Row],[Harga Satuan]]*REKAP[[#This Row],[Stok Akhir]]</f>
        <v>0</v>
      </c>
      <c r="R578" s="61">
        <f>IF(REKAP[[#This Row],[Stok Aktual]]&lt;&gt;"",REKAP[[#This Row],[Stok Aktual]]-REKAP[[#This Row],[Stok Akhir]],0)</f>
        <v>0</v>
      </c>
      <c r="S578" s="132"/>
      <c r="T578" s="137">
        <f>IF(REKAP[[#This Row],[Selisih]]&lt;=-1,REKAP[[#This Row],[Harga Satuan]]*REKAP[[#This Row],[Selisih]],0)</f>
        <v>0</v>
      </c>
    </row>
    <row r="579" spans="1:20" x14ac:dyDescent="0.25">
      <c r="A579" s="55" t="s">
        <v>905</v>
      </c>
      <c r="B579" s="55" t="s">
        <v>847</v>
      </c>
      <c r="C579" s="55" t="s">
        <v>847</v>
      </c>
      <c r="D579" s="56" t="s">
        <v>1441</v>
      </c>
      <c r="E579" s="57"/>
      <c r="F579" s="75" t="s">
        <v>898</v>
      </c>
      <c r="G579" s="55"/>
      <c r="H579" s="58">
        <v>108000</v>
      </c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1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1</v>
      </c>
      <c r="P579" s="55"/>
      <c r="Q579" s="62">
        <f>REKAP[[#This Row],[Harga Satuan]]*REKAP[[#This Row],[Stok Akhir]]</f>
        <v>108000</v>
      </c>
      <c r="R579" s="61">
        <f>IF(REKAP[[#This Row],[Stok Aktual]]&lt;&gt;"",REKAP[[#This Row],[Stok Aktual]]-REKAP[[#This Row],[Stok Akhir]],0)</f>
        <v>0</v>
      </c>
      <c r="S579" s="132"/>
      <c r="T579" s="137">
        <f>IF(REKAP[[#This Row],[Selisih]]&lt;=-1,REKAP[[#This Row],[Harga Satuan]]*REKAP[[#This Row],[Selisih]],0)</f>
        <v>0</v>
      </c>
    </row>
    <row r="580" spans="1:20" x14ac:dyDescent="0.25">
      <c r="A580" s="55" t="s">
        <v>906</v>
      </c>
      <c r="B580" s="55" t="s">
        <v>847</v>
      </c>
      <c r="C580" s="55" t="s">
        <v>847</v>
      </c>
      <c r="D580" s="56" t="s">
        <v>1442</v>
      </c>
      <c r="E580" s="57"/>
      <c r="F580" s="75" t="s">
        <v>898</v>
      </c>
      <c r="G580" s="55"/>
      <c r="H580" s="58">
        <v>150000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2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2</v>
      </c>
      <c r="P580" s="55"/>
      <c r="Q580" s="62">
        <f>REKAP[[#This Row],[Harga Satuan]]*REKAP[[#This Row],[Stok Akhir]]</f>
        <v>300000</v>
      </c>
      <c r="R580" s="61">
        <f>IF(REKAP[[#This Row],[Stok Aktual]]&lt;&gt;"",REKAP[[#This Row],[Stok Aktual]]-REKAP[[#This Row],[Stok Akhir]],0)</f>
        <v>0</v>
      </c>
      <c r="S580" s="132"/>
      <c r="T580" s="137">
        <f>IF(REKAP[[#This Row],[Selisih]]&lt;=-1,REKAP[[#This Row],[Harga Satuan]]*REKAP[[#This Row],[Selisih]],0)</f>
        <v>0</v>
      </c>
    </row>
    <row r="581" spans="1:20" x14ac:dyDescent="0.25">
      <c r="A581" s="55" t="s">
        <v>907</v>
      </c>
      <c r="B581" s="55" t="s">
        <v>847</v>
      </c>
      <c r="C581" s="55" t="s">
        <v>847</v>
      </c>
      <c r="D581" s="56" t="s">
        <v>1443</v>
      </c>
      <c r="E581" s="57"/>
      <c r="F581" s="75" t="s">
        <v>898</v>
      </c>
      <c r="G581" s="55"/>
      <c r="H581" s="58">
        <v>240000</v>
      </c>
      <c r="I581" s="59">
        <f>IF(COUNTIF(MASUK[Kode Barang],REKAP[[#This Row],[ID]])=0,0,COUNTIF(MASUK[Kode Barang],REKAP[[#This Row],[ID]]))</f>
        <v>0</v>
      </c>
      <c r="J581" s="59">
        <f>IF(COUNTIF(MASUK8[Kode Barang],REKAP[[#This Row],[ID]])=0,0,COUNTIF(MASUK8[Kode Barang],REKAP[[#This Row],[ID]]))</f>
        <v>0</v>
      </c>
      <c r="K581" s="60">
        <f>REKAP[[#This Row],[Trx In]]+REKAP[[#This Row],[Trx Out]]</f>
        <v>0</v>
      </c>
      <c r="L581" s="55">
        <v>0</v>
      </c>
      <c r="M581" s="74">
        <f>SUMIF(MASUK!$C:$C,REKAP[[#This Row],[ID]],MASUK!$H:$H)</f>
        <v>0</v>
      </c>
      <c r="N581" s="74">
        <f>SUMIF(KELUAR!$C:$C,REKAP[[#This Row],[ID]],KELUAR!$H:$H)</f>
        <v>0</v>
      </c>
      <c r="O581" s="74">
        <f>REKAP[[#This Row],[Stok Awal]]+REKAP[[#This Row],[Masuk]]-REKAP[[#This Row],[Keluar]]</f>
        <v>0</v>
      </c>
      <c r="P581" s="55"/>
      <c r="Q581" s="62">
        <f>REKAP[[#This Row],[Harga Satuan]]*REKAP[[#This Row],[Stok Akhir]]</f>
        <v>0</v>
      </c>
      <c r="R581" s="61">
        <f>IF(REKAP[[#This Row],[Stok Aktual]]&lt;&gt;"",REKAP[[#This Row],[Stok Aktual]]-REKAP[[#This Row],[Stok Akhir]],0)</f>
        <v>0</v>
      </c>
      <c r="S581" s="132"/>
      <c r="T581" s="137">
        <f>IF(REKAP[[#This Row],[Selisih]]&lt;=-1,REKAP[[#This Row],[Harga Satuan]]*REKAP[[#This Row],[Selisih]],0)</f>
        <v>0</v>
      </c>
    </row>
    <row r="582" spans="1:20" x14ac:dyDescent="0.25">
      <c r="A582" s="55" t="s">
        <v>908</v>
      </c>
      <c r="B582" s="55" t="s">
        <v>847</v>
      </c>
      <c r="C582" s="55" t="s">
        <v>847</v>
      </c>
      <c r="D582" s="56" t="s">
        <v>1444</v>
      </c>
      <c r="E582" s="57"/>
      <c r="F582" s="75" t="s">
        <v>898</v>
      </c>
      <c r="G582" s="55"/>
      <c r="H582" s="58">
        <v>150000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0</v>
      </c>
      <c r="K582" s="60">
        <f>REKAP[[#This Row],[Trx In]]+REKAP[[#This Row],[Trx Out]]</f>
        <v>0</v>
      </c>
      <c r="L582" s="55">
        <v>2</v>
      </c>
      <c r="M582" s="74">
        <f>SUMIF(MASUK!$C:$C,REKAP[[#This Row],[ID]],MASUK!$H:$H)</f>
        <v>0</v>
      </c>
      <c r="N582" s="74">
        <f>SUMIF(KELUAR!$C:$C,REKAP[[#This Row],[ID]],KELUAR!$H:$H)</f>
        <v>0</v>
      </c>
      <c r="O582" s="74">
        <f>REKAP[[#This Row],[Stok Awal]]+REKAP[[#This Row],[Masuk]]-REKAP[[#This Row],[Keluar]]</f>
        <v>2</v>
      </c>
      <c r="P582" s="55"/>
      <c r="Q582" s="62">
        <f>REKAP[[#This Row],[Harga Satuan]]*REKAP[[#This Row],[Stok Akhir]]</f>
        <v>300000</v>
      </c>
      <c r="R582" s="61">
        <f>IF(REKAP[[#This Row],[Stok Aktual]]&lt;&gt;"",REKAP[[#This Row],[Stok Aktual]]-REKAP[[#This Row],[Stok Akhir]],0)</f>
        <v>0</v>
      </c>
      <c r="S582" s="132"/>
      <c r="T582" s="137">
        <f>IF(REKAP[[#This Row],[Selisih]]&lt;=-1,REKAP[[#This Row],[Harga Satuan]]*REKAP[[#This Row],[Selisih]],0)</f>
        <v>0</v>
      </c>
    </row>
    <row r="583" spans="1:20" x14ac:dyDescent="0.25">
      <c r="A583" s="55" t="s">
        <v>909</v>
      </c>
      <c r="B583" s="55" t="s">
        <v>848</v>
      </c>
      <c r="C583" s="55" t="s">
        <v>848</v>
      </c>
      <c r="D583" s="56" t="s">
        <v>1445</v>
      </c>
      <c r="E583" s="57"/>
      <c r="F583" s="75" t="s">
        <v>898</v>
      </c>
      <c r="G583" s="55" t="s">
        <v>1967</v>
      </c>
      <c r="H583" s="58">
        <v>236300</v>
      </c>
      <c r="I583" s="59">
        <f>IF(COUNTIF(MASUK[Kode Barang],REKAP[[#This Row],[ID]])=0,0,COUNTIF(MASUK[Kode Barang],REKAP[[#This Row],[ID]]))</f>
        <v>0</v>
      </c>
      <c r="J583" s="59">
        <f>IF(COUNTIF(MASUK8[Kode Barang],REKAP[[#This Row],[ID]])=0,0,COUNTIF(MASUK8[Kode Barang],REKAP[[#This Row],[ID]]))</f>
        <v>0</v>
      </c>
      <c r="K583" s="60">
        <f>REKAP[[#This Row],[Trx In]]+REKAP[[#This Row],[Trx Out]]</f>
        <v>0</v>
      </c>
      <c r="L583" s="55">
        <v>0</v>
      </c>
      <c r="M583" s="74">
        <f>SUMIF(MASUK!$C:$C,REKAP[[#This Row],[ID]],MASUK!$H:$H)</f>
        <v>0</v>
      </c>
      <c r="N583" s="74">
        <f>SUMIF(KELUAR!$C:$C,REKAP[[#This Row],[ID]],KELUAR!$H:$H)</f>
        <v>0</v>
      </c>
      <c r="O583" s="74">
        <f>REKAP[[#This Row],[Stok Awal]]+REKAP[[#This Row],[Masuk]]-REKAP[[#This Row],[Keluar]]</f>
        <v>0</v>
      </c>
      <c r="P583" s="55"/>
      <c r="Q583" s="62">
        <f>REKAP[[#This Row],[Harga Satuan]]*REKAP[[#This Row],[Stok Akhir]]</f>
        <v>0</v>
      </c>
      <c r="R583" s="61">
        <f>IF(REKAP[[#This Row],[Stok Aktual]]&lt;&gt;"",REKAP[[#This Row],[Stok Aktual]]-REKAP[[#This Row],[Stok Akhir]],0)</f>
        <v>0</v>
      </c>
      <c r="S583" s="132"/>
      <c r="T583" s="137">
        <f>IF(REKAP[[#This Row],[Selisih]]&lt;=-1,REKAP[[#This Row],[Harga Satuan]]*REKAP[[#This Row],[Selisih]],0)</f>
        <v>0</v>
      </c>
    </row>
    <row r="584" spans="1:20" x14ac:dyDescent="0.25">
      <c r="A584" s="55" t="s">
        <v>910</v>
      </c>
      <c r="B584" s="55" t="s">
        <v>849</v>
      </c>
      <c r="C584" s="55" t="s">
        <v>849</v>
      </c>
      <c r="D584" s="56" t="s">
        <v>1446</v>
      </c>
      <c r="E584" s="57"/>
      <c r="F584" s="75" t="s">
        <v>898</v>
      </c>
      <c r="G584" s="55" t="s">
        <v>1968</v>
      </c>
      <c r="H584" s="58">
        <v>41000</v>
      </c>
      <c r="I584" s="59">
        <f>IF(COUNTIF(MASUK[Kode Barang],REKAP[[#This Row],[ID]])=0,0,COUNTIF(MASUK[Kode Barang],REKAP[[#This Row],[ID]]))</f>
        <v>1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2</v>
      </c>
      <c r="L584" s="55">
        <v>0</v>
      </c>
      <c r="M584" s="74">
        <f>SUMIF(MASUK!$C:$C,REKAP[[#This Row],[ID]],MASUK!$H:$H)</f>
        <v>6</v>
      </c>
      <c r="N584" s="74">
        <f>SUMIF(KELUAR!$C:$C,REKAP[[#This Row],[ID]],KELUAR!$H:$H)</f>
        <v>6</v>
      </c>
      <c r="O584" s="74">
        <f>REKAP[[#This Row],[Stok Awal]]+REKAP[[#This Row],[Masuk]]-REKAP[[#This Row],[Keluar]]</f>
        <v>0</v>
      </c>
      <c r="P584" s="55">
        <v>0</v>
      </c>
      <c r="Q584" s="62">
        <f>REKAP[[#This Row],[Harga Satuan]]*REKAP[[#This Row],[Stok Akhir]]</f>
        <v>0</v>
      </c>
      <c r="R584" s="61">
        <f>IF(REKAP[[#This Row],[Stok Aktual]]&lt;&gt;"",REKAP[[#This Row],[Stok Aktual]]-REKAP[[#This Row],[Stok Akhir]],0)</f>
        <v>0</v>
      </c>
      <c r="S584" s="132"/>
      <c r="T584" s="137">
        <f>IF(REKAP[[#This Row],[Selisih]]&lt;=-1,REKAP[[#This Row],[Harga Satuan]]*REKAP[[#This Row],[Selisih]],0)</f>
        <v>0</v>
      </c>
    </row>
    <row r="585" spans="1:20" x14ac:dyDescent="0.25">
      <c r="A585" s="55" t="s">
        <v>911</v>
      </c>
      <c r="B585" s="55" t="s">
        <v>849</v>
      </c>
      <c r="C585" s="55" t="s">
        <v>849</v>
      </c>
      <c r="D585" s="56" t="s">
        <v>1447</v>
      </c>
      <c r="E585" s="57"/>
      <c r="F585" s="75" t="s">
        <v>898</v>
      </c>
      <c r="G585" s="55" t="s">
        <v>1968</v>
      </c>
      <c r="H585" s="58">
        <v>60000</v>
      </c>
      <c r="I585" s="59">
        <f>IF(COUNTIF(MASUK[Kode Barang],REKAP[[#This Row],[ID]])=0,0,COUNTIF(MASUK[Kode Barang],REKAP[[#This Row],[ID]]))</f>
        <v>1</v>
      </c>
      <c r="J585" s="59">
        <f>IF(COUNTIF(MASUK8[Kode Barang],REKAP[[#This Row],[ID]])=0,0,COUNTIF(MASUK8[Kode Barang],REKAP[[#This Row],[ID]]))</f>
        <v>1</v>
      </c>
      <c r="K585" s="60">
        <f>REKAP[[#This Row],[Trx In]]+REKAP[[#This Row],[Trx Out]]</f>
        <v>2</v>
      </c>
      <c r="L585" s="55">
        <v>0</v>
      </c>
      <c r="M585" s="74">
        <f>SUMIF(MASUK!$C:$C,REKAP[[#This Row],[ID]],MASUK!$H:$H)</f>
        <v>3</v>
      </c>
      <c r="N585" s="74">
        <f>SUMIF(KELUAR!$C:$C,REKAP[[#This Row],[ID]],KELUAR!$H:$H)</f>
        <v>3</v>
      </c>
      <c r="O585" s="74">
        <f>REKAP[[#This Row],[Stok Awal]]+REKAP[[#This Row],[Masuk]]-REKAP[[#This Row],[Keluar]]</f>
        <v>0</v>
      </c>
      <c r="P585" s="55">
        <v>0</v>
      </c>
      <c r="Q585" s="62">
        <f>REKAP[[#This Row],[Harga Satuan]]*REKAP[[#This Row],[Stok Akhir]]</f>
        <v>0</v>
      </c>
      <c r="R585" s="61">
        <f>IF(REKAP[[#This Row],[Stok Aktual]]&lt;&gt;"",REKAP[[#This Row],[Stok Aktual]]-REKAP[[#This Row],[Stok Akhir]],0)</f>
        <v>0</v>
      </c>
      <c r="S585" s="132"/>
      <c r="T585" s="137">
        <f>IF(REKAP[[#This Row],[Selisih]]&lt;=-1,REKAP[[#This Row],[Harga Satuan]]*REKAP[[#This Row],[Selisih]],0)</f>
        <v>0</v>
      </c>
    </row>
    <row r="586" spans="1:20" x14ac:dyDescent="0.25">
      <c r="A586" s="55" t="s">
        <v>912</v>
      </c>
      <c r="B586" s="55" t="s">
        <v>849</v>
      </c>
      <c r="C586" s="55" t="s">
        <v>849</v>
      </c>
      <c r="D586" s="56" t="s">
        <v>1448</v>
      </c>
      <c r="E586" s="57"/>
      <c r="F586" s="75" t="s">
        <v>898</v>
      </c>
      <c r="G586" s="55" t="s">
        <v>1968</v>
      </c>
      <c r="H586" s="58">
        <v>55000</v>
      </c>
      <c r="I586" s="59">
        <f>IF(COUNTIF(MASUK[Kode Barang],REKAP[[#This Row],[ID]])=0,0,COUNTIF(MASUK[Kode Barang],REKAP[[#This Row],[ID]]))</f>
        <v>1</v>
      </c>
      <c r="J586" s="59">
        <f>IF(COUNTIF(MASUK8[Kode Barang],REKAP[[#This Row],[ID]])=0,0,COUNTIF(MASUK8[Kode Barang],REKAP[[#This Row],[ID]]))</f>
        <v>1</v>
      </c>
      <c r="K586" s="60">
        <f>REKAP[[#This Row],[Trx In]]+REKAP[[#This Row],[Trx Out]]</f>
        <v>2</v>
      </c>
      <c r="L586" s="55">
        <v>0</v>
      </c>
      <c r="M586" s="74">
        <f>SUMIF(MASUK!$C:$C,REKAP[[#This Row],[ID]],MASUK!$H:$H)</f>
        <v>3</v>
      </c>
      <c r="N586" s="74">
        <f>SUMIF(KELUAR!$C:$C,REKAP[[#This Row],[ID]],KELUAR!$H:$H)</f>
        <v>3</v>
      </c>
      <c r="O586" s="74">
        <f>REKAP[[#This Row],[Stok Awal]]+REKAP[[#This Row],[Masuk]]-REKAP[[#This Row],[Keluar]]</f>
        <v>0</v>
      </c>
      <c r="P586" s="55">
        <v>0</v>
      </c>
      <c r="Q586" s="62">
        <f>REKAP[[#This Row],[Harga Satuan]]*REKAP[[#This Row],[Stok Akhir]]</f>
        <v>0</v>
      </c>
      <c r="R586" s="61">
        <f>IF(REKAP[[#This Row],[Stok Aktual]]&lt;&gt;"",REKAP[[#This Row],[Stok Aktual]]-REKAP[[#This Row],[Stok Akhir]],0)</f>
        <v>0</v>
      </c>
      <c r="S586" s="132"/>
      <c r="T586" s="137">
        <f>IF(REKAP[[#This Row],[Selisih]]&lt;=-1,REKAP[[#This Row],[Harga Satuan]]*REKAP[[#This Row],[Selisih]],0)</f>
        <v>0</v>
      </c>
    </row>
    <row r="587" spans="1:20" x14ac:dyDescent="0.25">
      <c r="A587" s="55" t="s">
        <v>913</v>
      </c>
      <c r="B587" s="55" t="s">
        <v>849</v>
      </c>
      <c r="C587" s="55" t="s">
        <v>849</v>
      </c>
      <c r="D587" s="56" t="s">
        <v>1449</v>
      </c>
      <c r="E587" s="57"/>
      <c r="F587" s="75" t="s">
        <v>898</v>
      </c>
      <c r="G587" s="55" t="s">
        <v>1968</v>
      </c>
      <c r="H587" s="58">
        <v>21000</v>
      </c>
      <c r="I587" s="59">
        <f>IF(COUNTIF(MASUK[Kode Barang],REKAP[[#This Row],[ID]])=0,0,COUNTIF(MASUK[Kode Barang],REKAP[[#This Row],[ID]]))</f>
        <v>1</v>
      </c>
      <c r="J587" s="59">
        <f>IF(COUNTIF(MASUK8[Kode Barang],REKAP[[#This Row],[ID]])=0,0,COUNTIF(MASUK8[Kode Barang],REKAP[[#This Row],[ID]]))</f>
        <v>1</v>
      </c>
      <c r="K587" s="60">
        <f>REKAP[[#This Row],[Trx In]]+REKAP[[#This Row],[Trx Out]]</f>
        <v>2</v>
      </c>
      <c r="L587" s="55">
        <v>0</v>
      </c>
      <c r="M587" s="74">
        <f>SUMIF(MASUK!$C:$C,REKAP[[#This Row],[ID]],MASUK!$H:$H)</f>
        <v>16</v>
      </c>
      <c r="N587" s="74">
        <f>SUMIF(KELUAR!$C:$C,REKAP[[#This Row],[ID]],KELUAR!$H:$H)</f>
        <v>16</v>
      </c>
      <c r="O587" s="74">
        <f>REKAP[[#This Row],[Stok Awal]]+REKAP[[#This Row],[Masuk]]-REKAP[[#This Row],[Keluar]]</f>
        <v>0</v>
      </c>
      <c r="P587" s="55">
        <v>0</v>
      </c>
      <c r="Q587" s="62">
        <f>REKAP[[#This Row],[Harga Satuan]]*REKAP[[#This Row],[Stok Akhir]]</f>
        <v>0</v>
      </c>
      <c r="R587" s="61">
        <f>IF(REKAP[[#This Row],[Stok Aktual]]&lt;&gt;"",REKAP[[#This Row],[Stok Aktual]]-REKAP[[#This Row],[Stok Akhir]],0)</f>
        <v>0</v>
      </c>
      <c r="S587" s="132"/>
      <c r="T587" s="137">
        <f>IF(REKAP[[#This Row],[Selisih]]&lt;=-1,REKAP[[#This Row],[Harga Satuan]]*REKAP[[#This Row],[Selisih]],0)</f>
        <v>0</v>
      </c>
    </row>
    <row r="588" spans="1:20" x14ac:dyDescent="0.25">
      <c r="A588" s="55" t="s">
        <v>914</v>
      </c>
      <c r="B588" s="55" t="s">
        <v>849</v>
      </c>
      <c r="C588" s="55" t="s">
        <v>849</v>
      </c>
      <c r="D588" s="56" t="s">
        <v>1450</v>
      </c>
      <c r="E588" s="57"/>
      <c r="F588" s="75" t="s">
        <v>898</v>
      </c>
      <c r="G588" s="55" t="s">
        <v>1969</v>
      </c>
      <c r="H588" s="58">
        <v>45000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0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0</v>
      </c>
      <c r="P588" s="55"/>
      <c r="Q588" s="62">
        <f>REKAP[[#This Row],[Harga Satuan]]*REKAP[[#This Row],[Stok Akhir]]</f>
        <v>0</v>
      </c>
      <c r="R588" s="61">
        <f>IF(REKAP[[#This Row],[Stok Aktual]]&lt;&gt;"",REKAP[[#This Row],[Stok Aktual]]-REKAP[[#This Row],[Stok Akhir]],0)</f>
        <v>0</v>
      </c>
      <c r="S588" s="132"/>
      <c r="T588" s="137">
        <f>IF(REKAP[[#This Row],[Selisih]]&lt;=-1,REKAP[[#This Row],[Harga Satuan]]*REKAP[[#This Row],[Selisih]],0)</f>
        <v>0</v>
      </c>
    </row>
    <row r="589" spans="1:20" x14ac:dyDescent="0.25">
      <c r="A589" s="55" t="s">
        <v>915</v>
      </c>
      <c r="B589" s="55" t="s">
        <v>849</v>
      </c>
      <c r="C589" s="55" t="s">
        <v>849</v>
      </c>
      <c r="D589" s="56" t="s">
        <v>1451</v>
      </c>
      <c r="E589" s="57"/>
      <c r="F589" s="75" t="s">
        <v>898</v>
      </c>
      <c r="G589" s="55"/>
      <c r="H589" s="58">
        <v>65000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0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0</v>
      </c>
      <c r="P589" s="55"/>
      <c r="Q589" s="62">
        <f>REKAP[[#This Row],[Harga Satuan]]*REKAP[[#This Row],[Stok Akhir]]</f>
        <v>0</v>
      </c>
      <c r="R589" s="61">
        <f>IF(REKAP[[#This Row],[Stok Aktual]]&lt;&gt;"",REKAP[[#This Row],[Stok Aktual]]-REKAP[[#This Row],[Stok Akhir]],0)</f>
        <v>0</v>
      </c>
      <c r="S589" s="132"/>
      <c r="T589" s="137">
        <f>IF(REKAP[[#This Row],[Selisih]]&lt;=-1,REKAP[[#This Row],[Harga Satuan]]*REKAP[[#This Row],[Selisih]],0)</f>
        <v>0</v>
      </c>
    </row>
    <row r="590" spans="1:20" x14ac:dyDescent="0.25">
      <c r="A590" s="55" t="s">
        <v>916</v>
      </c>
      <c r="B590" s="55" t="s">
        <v>850</v>
      </c>
      <c r="C590" s="55" t="s">
        <v>850</v>
      </c>
      <c r="D590" s="56" t="s">
        <v>1452</v>
      </c>
      <c r="E590" s="57"/>
      <c r="F590" s="75" t="s">
        <v>898</v>
      </c>
      <c r="G590" s="55" t="s">
        <v>1970</v>
      </c>
      <c r="H590" s="58">
        <v>90000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0</v>
      </c>
      <c r="K590" s="60">
        <f>REKAP[[#This Row],[Trx In]]+REKAP[[#This Row],[Trx Out]]</f>
        <v>0</v>
      </c>
      <c r="L590" s="55">
        <v>0</v>
      </c>
      <c r="M590" s="74">
        <f>SUMIF(MASUK!$C:$C,REKAP[[#This Row],[ID]],MASUK!$H:$H)</f>
        <v>0</v>
      </c>
      <c r="N590" s="74">
        <f>SUMIF(KELUAR!$C:$C,REKAP[[#This Row],[ID]],KELUAR!$H:$H)</f>
        <v>0</v>
      </c>
      <c r="O590" s="74">
        <f>REKAP[[#This Row],[Stok Awal]]+REKAP[[#This Row],[Masuk]]-REKAP[[#This Row],[Keluar]]</f>
        <v>0</v>
      </c>
      <c r="P590" s="55"/>
      <c r="Q590" s="62">
        <f>REKAP[[#This Row],[Harga Satuan]]*REKAP[[#This Row],[Stok Akhir]]</f>
        <v>0</v>
      </c>
      <c r="R590" s="61">
        <f>IF(REKAP[[#This Row],[Stok Aktual]]&lt;&gt;"",REKAP[[#This Row],[Stok Aktual]]-REKAP[[#This Row],[Stok Akhir]],0)</f>
        <v>0</v>
      </c>
      <c r="S590" s="132"/>
      <c r="T590" s="137">
        <f>IF(REKAP[[#This Row],[Selisih]]&lt;=-1,REKAP[[#This Row],[Harga Satuan]]*REKAP[[#This Row],[Selisih]],0)</f>
        <v>0</v>
      </c>
    </row>
    <row r="591" spans="1:20" x14ac:dyDescent="0.25">
      <c r="A591" s="55" t="s">
        <v>917</v>
      </c>
      <c r="B591" s="55" t="s">
        <v>851</v>
      </c>
      <c r="C591" s="55" t="s">
        <v>851</v>
      </c>
      <c r="D591" s="56" t="s">
        <v>3763</v>
      </c>
      <c r="E591" s="57"/>
      <c r="F591" s="75" t="s">
        <v>898</v>
      </c>
      <c r="G591" s="55" t="s">
        <v>1971</v>
      </c>
      <c r="H591" s="58">
        <v>40000</v>
      </c>
      <c r="I591" s="59">
        <f>IF(COUNTIF(MASUK[Kode Barang],REKAP[[#This Row],[ID]])=0,0,COUNTIF(MASUK[Kode Barang],REKAP[[#This Row],[ID]]))</f>
        <v>1</v>
      </c>
      <c r="J591" s="59">
        <f>IF(COUNTIF(MASUK8[Kode Barang],REKAP[[#This Row],[ID]])=0,0,COUNTIF(MASUK8[Kode Barang],REKAP[[#This Row],[ID]]))</f>
        <v>1</v>
      </c>
      <c r="K591" s="60">
        <f>REKAP[[#This Row],[Trx In]]+REKAP[[#This Row],[Trx Out]]</f>
        <v>2</v>
      </c>
      <c r="L591" s="55">
        <v>0</v>
      </c>
      <c r="M591" s="74">
        <f>SUMIF(MASUK!$C:$C,REKAP[[#This Row],[ID]],MASUK!$H:$H)</f>
        <v>21</v>
      </c>
      <c r="N591" s="74">
        <f>SUMIF(KELUAR!$C:$C,REKAP[[#This Row],[ID]],KELUAR!$H:$H)</f>
        <v>21</v>
      </c>
      <c r="O591" s="74">
        <f>REKAP[[#This Row],[Stok Awal]]+REKAP[[#This Row],[Masuk]]-REKAP[[#This Row],[Keluar]]</f>
        <v>0</v>
      </c>
      <c r="P591" s="55">
        <v>0</v>
      </c>
      <c r="Q591" s="62">
        <f>REKAP[[#This Row],[Harga Satuan]]*REKAP[[#This Row],[Stok Akhir]]</f>
        <v>0</v>
      </c>
      <c r="R591" s="61">
        <f>IF(REKAP[[#This Row],[Stok Aktual]]&lt;&gt;"",REKAP[[#This Row],[Stok Aktual]]-REKAP[[#This Row],[Stok Akhir]],0)</f>
        <v>0</v>
      </c>
      <c r="S591" s="132"/>
      <c r="T591" s="137">
        <f>IF(REKAP[[#This Row],[Selisih]]&lt;=-1,REKAP[[#This Row],[Harga Satuan]]*REKAP[[#This Row],[Selisih]],0)</f>
        <v>0</v>
      </c>
    </row>
    <row r="592" spans="1:20" x14ac:dyDescent="0.25">
      <c r="A592" s="55" t="s">
        <v>918</v>
      </c>
      <c r="B592" s="55" t="s">
        <v>852</v>
      </c>
      <c r="C592" s="55" t="s">
        <v>852</v>
      </c>
      <c r="D592" s="56" t="s">
        <v>1454</v>
      </c>
      <c r="E592" s="57"/>
      <c r="F592" s="75" t="s">
        <v>898</v>
      </c>
      <c r="G592" s="55" t="s">
        <v>1970</v>
      </c>
      <c r="H592" s="58">
        <v>4500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0</v>
      </c>
      <c r="K592" s="60">
        <f>REKAP[[#This Row],[Trx In]]+REKAP[[#This Row],[Trx Out]]</f>
        <v>0</v>
      </c>
      <c r="L592" s="55">
        <v>0</v>
      </c>
      <c r="M592" s="74">
        <f>SUMIF(MASUK!$C:$C,REKAP[[#This Row],[ID]],MASUK!$H:$H)</f>
        <v>0</v>
      </c>
      <c r="N592" s="74">
        <f>SUMIF(KELUAR!$C:$C,REKAP[[#This Row],[ID]],KELUAR!$H:$H)</f>
        <v>0</v>
      </c>
      <c r="O592" s="74">
        <f>REKAP[[#This Row],[Stok Awal]]+REKAP[[#This Row],[Masuk]]-REKAP[[#This Row],[Keluar]]</f>
        <v>0</v>
      </c>
      <c r="P592" s="55"/>
      <c r="Q592" s="62">
        <f>REKAP[[#This Row],[Harga Satuan]]*REKAP[[#This Row],[Stok Akhir]]</f>
        <v>0</v>
      </c>
      <c r="R592" s="61">
        <f>IF(REKAP[[#This Row],[Stok Aktual]]&lt;&gt;"",REKAP[[#This Row],[Stok Aktual]]-REKAP[[#This Row],[Stok Akhir]],0)</f>
        <v>0</v>
      </c>
      <c r="S592" s="132"/>
      <c r="T592" s="137">
        <f>IF(REKAP[[#This Row],[Selisih]]&lt;=-1,REKAP[[#This Row],[Harga Satuan]]*REKAP[[#This Row],[Selisih]],0)</f>
        <v>0</v>
      </c>
    </row>
    <row r="593" spans="1:20" x14ac:dyDescent="0.25">
      <c r="A593" s="55" t="s">
        <v>919</v>
      </c>
      <c r="B593" s="55" t="s">
        <v>852</v>
      </c>
      <c r="C593" s="55" t="s">
        <v>852</v>
      </c>
      <c r="D593" s="56" t="s">
        <v>1455</v>
      </c>
      <c r="E593" s="57"/>
      <c r="F593" s="75" t="s">
        <v>898</v>
      </c>
      <c r="G593" s="55" t="s">
        <v>1970</v>
      </c>
      <c r="H593" s="58">
        <v>15318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0</v>
      </c>
      <c r="K593" s="60">
        <f>REKAP[[#This Row],[Trx In]]+REKAP[[#This Row],[Trx Out]]</f>
        <v>0</v>
      </c>
      <c r="L593" s="55">
        <v>0</v>
      </c>
      <c r="M593" s="74">
        <f>SUMIF(MASUK!$C:$C,REKAP[[#This Row],[ID]],MASUK!$H:$H)</f>
        <v>0</v>
      </c>
      <c r="N593" s="74">
        <f>SUMIF(KELUAR!$C:$C,REKAP[[#This Row],[ID]],KELUAR!$H:$H)</f>
        <v>0</v>
      </c>
      <c r="O593" s="74">
        <f>REKAP[[#This Row],[Stok Awal]]+REKAP[[#This Row],[Masuk]]-REKAP[[#This Row],[Keluar]]</f>
        <v>0</v>
      </c>
      <c r="P593" s="55"/>
      <c r="Q593" s="62">
        <f>REKAP[[#This Row],[Harga Satuan]]*REKAP[[#This Row],[Stok Akhir]]</f>
        <v>0</v>
      </c>
      <c r="R593" s="61">
        <f>IF(REKAP[[#This Row],[Stok Aktual]]&lt;&gt;"",REKAP[[#This Row],[Stok Aktual]]-REKAP[[#This Row],[Stok Akhir]],0)</f>
        <v>0</v>
      </c>
      <c r="S593" s="132"/>
      <c r="T593" s="137">
        <f>IF(REKAP[[#This Row],[Selisih]]&lt;=-1,REKAP[[#This Row],[Harga Satuan]]*REKAP[[#This Row],[Selisih]],0)</f>
        <v>0</v>
      </c>
    </row>
    <row r="594" spans="1:20" x14ac:dyDescent="0.25">
      <c r="A594" s="55" t="s">
        <v>920</v>
      </c>
      <c r="B594" s="55" t="s">
        <v>853</v>
      </c>
      <c r="C594" s="55" t="s">
        <v>853</v>
      </c>
      <c r="D594" s="56" t="s">
        <v>1456</v>
      </c>
      <c r="E594" s="57"/>
      <c r="F594" s="75" t="s">
        <v>898</v>
      </c>
      <c r="G594" s="55"/>
      <c r="H594" s="58">
        <v>85722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2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2</v>
      </c>
      <c r="P594" s="55"/>
      <c r="Q594" s="62">
        <f>REKAP[[#This Row],[Harga Satuan]]*REKAP[[#This Row],[Stok Akhir]]</f>
        <v>171444</v>
      </c>
      <c r="R594" s="61">
        <f>IF(REKAP[[#This Row],[Stok Aktual]]&lt;&gt;"",REKAP[[#This Row],[Stok Aktual]]-REKAP[[#This Row],[Stok Akhir]],0)</f>
        <v>0</v>
      </c>
      <c r="S594" s="132"/>
      <c r="T594" s="137">
        <f>IF(REKAP[[#This Row],[Selisih]]&lt;=-1,REKAP[[#This Row],[Harga Satuan]]*REKAP[[#This Row],[Selisih]],0)</f>
        <v>0</v>
      </c>
    </row>
    <row r="595" spans="1:20" x14ac:dyDescent="0.25">
      <c r="A595" s="55" t="s">
        <v>921</v>
      </c>
      <c r="B595" s="55" t="s">
        <v>853</v>
      </c>
      <c r="C595" s="55" t="s">
        <v>853</v>
      </c>
      <c r="D595" s="56" t="s">
        <v>1457</v>
      </c>
      <c r="E595" s="57"/>
      <c r="F595" s="75" t="s">
        <v>898</v>
      </c>
      <c r="G595" s="55"/>
      <c r="H595" s="58">
        <v>22500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0</v>
      </c>
      <c r="K595" s="60">
        <f>REKAP[[#This Row],[Trx In]]+REKAP[[#This Row],[Trx Out]]</f>
        <v>0</v>
      </c>
      <c r="L595" s="55">
        <v>0</v>
      </c>
      <c r="M595" s="74">
        <f>SUMIF(MASUK!$C:$C,REKAP[[#This Row],[ID]],MASUK!$H:$H)</f>
        <v>0</v>
      </c>
      <c r="N595" s="74">
        <f>SUMIF(KELUAR!$C:$C,REKAP[[#This Row],[ID]],KELUAR!$H:$H)</f>
        <v>0</v>
      </c>
      <c r="O595" s="74">
        <f>REKAP[[#This Row],[Stok Awal]]+REKAP[[#This Row],[Masuk]]-REKAP[[#This Row],[Keluar]]</f>
        <v>0</v>
      </c>
      <c r="P595" s="55"/>
      <c r="Q595" s="62">
        <f>REKAP[[#This Row],[Harga Satuan]]*REKAP[[#This Row],[Stok Akhir]]</f>
        <v>0</v>
      </c>
      <c r="R595" s="61">
        <f>IF(REKAP[[#This Row],[Stok Aktual]]&lt;&gt;"",REKAP[[#This Row],[Stok Aktual]]-REKAP[[#This Row],[Stok Akhir]],0)</f>
        <v>0</v>
      </c>
      <c r="S595" s="132"/>
      <c r="T595" s="137">
        <f>IF(REKAP[[#This Row],[Selisih]]&lt;=-1,REKAP[[#This Row],[Harga Satuan]]*REKAP[[#This Row],[Selisih]],0)</f>
        <v>0</v>
      </c>
    </row>
    <row r="596" spans="1:20" x14ac:dyDescent="0.25">
      <c r="A596" s="55" t="s">
        <v>922</v>
      </c>
      <c r="B596" s="55" t="s">
        <v>853</v>
      </c>
      <c r="C596" s="55" t="s">
        <v>853</v>
      </c>
      <c r="D596" s="56" t="s">
        <v>1458</v>
      </c>
      <c r="E596" s="57"/>
      <c r="F596" s="75" t="s">
        <v>898</v>
      </c>
      <c r="G596" s="55"/>
      <c r="H596" s="58"/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0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0</v>
      </c>
      <c r="P596" s="55"/>
      <c r="Q596" s="62">
        <f>REKAP[[#This Row],[Harga Satuan]]*REKAP[[#This Row],[Stok Akhir]]</f>
        <v>0</v>
      </c>
      <c r="R596" s="61">
        <f>IF(REKAP[[#This Row],[Stok Aktual]]&lt;&gt;"",REKAP[[#This Row],[Stok Aktual]]-REKAP[[#This Row],[Stok Akhir]],0)</f>
        <v>0</v>
      </c>
      <c r="S596" s="132"/>
      <c r="T596" s="137">
        <f>IF(REKAP[[#This Row],[Selisih]]&lt;=-1,REKAP[[#This Row],[Harga Satuan]]*REKAP[[#This Row],[Selisih]],0)</f>
        <v>0</v>
      </c>
    </row>
    <row r="597" spans="1:20" x14ac:dyDescent="0.25">
      <c r="A597" s="55" t="s">
        <v>923</v>
      </c>
      <c r="B597" s="55" t="s">
        <v>854</v>
      </c>
      <c r="C597" s="55" t="s">
        <v>854</v>
      </c>
      <c r="D597" s="56" t="s">
        <v>1459</v>
      </c>
      <c r="E597" s="57"/>
      <c r="F597" s="75" t="s">
        <v>898</v>
      </c>
      <c r="G597" s="55"/>
      <c r="H597" s="58">
        <v>30900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4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4</v>
      </c>
      <c r="P597" s="55"/>
      <c r="Q597" s="62">
        <f>REKAP[[#This Row],[Harga Satuan]]*REKAP[[#This Row],[Stok Akhir]]</f>
        <v>123600</v>
      </c>
      <c r="R597" s="61">
        <f>IF(REKAP[[#This Row],[Stok Aktual]]&lt;&gt;"",REKAP[[#This Row],[Stok Aktual]]-REKAP[[#This Row],[Stok Akhir]],0)</f>
        <v>0</v>
      </c>
      <c r="S597" s="132"/>
      <c r="T597" s="137">
        <f>IF(REKAP[[#This Row],[Selisih]]&lt;=-1,REKAP[[#This Row],[Harga Satuan]]*REKAP[[#This Row],[Selisih]],0)</f>
        <v>0</v>
      </c>
    </row>
    <row r="598" spans="1:20" x14ac:dyDescent="0.25">
      <c r="A598" s="55" t="s">
        <v>924</v>
      </c>
      <c r="B598" s="55" t="s">
        <v>854</v>
      </c>
      <c r="C598" s="55" t="s">
        <v>854</v>
      </c>
      <c r="D598" s="56" t="s">
        <v>1460</v>
      </c>
      <c r="E598" s="57"/>
      <c r="F598" s="75" t="s">
        <v>898</v>
      </c>
      <c r="G598" s="55"/>
      <c r="H598" s="58">
        <v>75000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0</v>
      </c>
      <c r="K598" s="60">
        <f>REKAP[[#This Row],[Trx In]]+REKAP[[#This Row],[Trx Out]]</f>
        <v>0</v>
      </c>
      <c r="L598" s="55">
        <v>0</v>
      </c>
      <c r="M598" s="74">
        <f>SUMIF(MASUK!$C:$C,REKAP[[#This Row],[ID]],MASUK!$H:$H)</f>
        <v>0</v>
      </c>
      <c r="N598" s="74">
        <f>SUMIF(KELUAR!$C:$C,REKAP[[#This Row],[ID]],KELUAR!$H:$H)</f>
        <v>0</v>
      </c>
      <c r="O598" s="74">
        <f>REKAP[[#This Row],[Stok Awal]]+REKAP[[#This Row],[Masuk]]-REKAP[[#This Row],[Keluar]]</f>
        <v>0</v>
      </c>
      <c r="P598" s="55"/>
      <c r="Q598" s="62">
        <f>REKAP[[#This Row],[Harga Satuan]]*REKAP[[#This Row],[Stok Akhir]]</f>
        <v>0</v>
      </c>
      <c r="R598" s="61">
        <f>IF(REKAP[[#This Row],[Stok Aktual]]&lt;&gt;"",REKAP[[#This Row],[Stok Aktual]]-REKAP[[#This Row],[Stok Akhir]],0)</f>
        <v>0</v>
      </c>
      <c r="S598" s="132"/>
      <c r="T598" s="137">
        <f>IF(REKAP[[#This Row],[Selisih]]&lt;=-1,REKAP[[#This Row],[Harga Satuan]]*REKAP[[#This Row],[Selisih]],0)</f>
        <v>0</v>
      </c>
    </row>
    <row r="599" spans="1:20" x14ac:dyDescent="0.25">
      <c r="A599" s="55" t="s">
        <v>925</v>
      </c>
      <c r="B599" s="55" t="s">
        <v>854</v>
      </c>
      <c r="C599" s="55" t="s">
        <v>854</v>
      </c>
      <c r="D599" s="56" t="s">
        <v>1461</v>
      </c>
      <c r="E599" s="57"/>
      <c r="F599" s="75" t="s">
        <v>898</v>
      </c>
      <c r="G599" s="55"/>
      <c r="H599" s="58"/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1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1</v>
      </c>
      <c r="P599" s="55"/>
      <c r="Q599" s="62">
        <f>REKAP[[#This Row],[Harga Satuan]]*REKAP[[#This Row],[Stok Akhir]]</f>
        <v>0</v>
      </c>
      <c r="R599" s="61">
        <f>IF(REKAP[[#This Row],[Stok Aktual]]&lt;&gt;"",REKAP[[#This Row],[Stok Aktual]]-REKAP[[#This Row],[Stok Akhir]],0)</f>
        <v>0</v>
      </c>
      <c r="S599" s="132"/>
      <c r="T599" s="137">
        <f>IF(REKAP[[#This Row],[Selisih]]&lt;=-1,REKAP[[#This Row],[Harga Satuan]]*REKAP[[#This Row],[Selisih]],0)</f>
        <v>0</v>
      </c>
    </row>
    <row r="600" spans="1:20" x14ac:dyDescent="0.25">
      <c r="A600" s="55" t="s">
        <v>926</v>
      </c>
      <c r="B600" s="55" t="s">
        <v>854</v>
      </c>
      <c r="C600" s="55" t="s">
        <v>854</v>
      </c>
      <c r="D600" s="56" t="s">
        <v>1462</v>
      </c>
      <c r="E600" s="57"/>
      <c r="F600" s="75" t="s">
        <v>898</v>
      </c>
      <c r="G600" s="55"/>
      <c r="H600" s="58">
        <v>52700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4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4</v>
      </c>
      <c r="P600" s="55"/>
      <c r="Q600" s="62">
        <f>REKAP[[#This Row],[Harga Satuan]]*REKAP[[#This Row],[Stok Akhir]]</f>
        <v>210800</v>
      </c>
      <c r="R600" s="61">
        <f>IF(REKAP[[#This Row],[Stok Aktual]]&lt;&gt;"",REKAP[[#This Row],[Stok Aktual]]-REKAP[[#This Row],[Stok Akhir]],0)</f>
        <v>0</v>
      </c>
      <c r="S600" s="132"/>
      <c r="T600" s="137">
        <f>IF(REKAP[[#This Row],[Selisih]]&lt;=-1,REKAP[[#This Row],[Harga Satuan]]*REKAP[[#This Row],[Selisih]],0)</f>
        <v>0</v>
      </c>
    </row>
    <row r="601" spans="1:20" x14ac:dyDescent="0.25">
      <c r="A601" s="55" t="s">
        <v>927</v>
      </c>
      <c r="B601" s="55" t="s">
        <v>854</v>
      </c>
      <c r="C601" s="55" t="s">
        <v>854</v>
      </c>
      <c r="D601" s="56" t="s">
        <v>1463</v>
      </c>
      <c r="E601" s="57"/>
      <c r="F601" s="75" t="s">
        <v>898</v>
      </c>
      <c r="G601" s="55"/>
      <c r="H601" s="58">
        <v>22000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1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1</v>
      </c>
      <c r="P601" s="55"/>
      <c r="Q601" s="62">
        <f>REKAP[[#This Row],[Harga Satuan]]*REKAP[[#This Row],[Stok Akhir]]</f>
        <v>22000</v>
      </c>
      <c r="R601" s="61">
        <f>IF(REKAP[[#This Row],[Stok Aktual]]&lt;&gt;"",REKAP[[#This Row],[Stok Aktual]]-REKAP[[#This Row],[Stok Akhir]],0)</f>
        <v>0</v>
      </c>
      <c r="S601" s="132"/>
      <c r="T601" s="137">
        <f>IF(REKAP[[#This Row],[Selisih]]&lt;=-1,REKAP[[#This Row],[Harga Satuan]]*REKAP[[#This Row],[Selisih]],0)</f>
        <v>0</v>
      </c>
    </row>
    <row r="602" spans="1:20" x14ac:dyDescent="0.25">
      <c r="A602" s="55" t="s">
        <v>928</v>
      </c>
      <c r="B602" s="55" t="s">
        <v>854</v>
      </c>
      <c r="C602" s="55" t="s">
        <v>854</v>
      </c>
      <c r="D602" s="56" t="s">
        <v>1464</v>
      </c>
      <c r="E602" s="57"/>
      <c r="F602" s="75" t="s">
        <v>898</v>
      </c>
      <c r="G602" s="55"/>
      <c r="H602" s="58">
        <v>25500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>
        <f>IF(REKAP[[#This Row],[Stok Aktual]]&lt;&gt;"",REKAP[[#This Row],[Stok Aktual]]-REKAP[[#This Row],[Stok Akhir]],0)</f>
        <v>0</v>
      </c>
      <c r="S602" s="132"/>
      <c r="T602" s="137">
        <f>IF(REKAP[[#This Row],[Selisih]]&lt;=-1,REKAP[[#This Row],[Harga Satuan]]*REKAP[[#This Row],[Selisih]],0)</f>
        <v>0</v>
      </c>
    </row>
    <row r="603" spans="1:20" x14ac:dyDescent="0.25">
      <c r="A603" s="55" t="s">
        <v>929</v>
      </c>
      <c r="B603" s="55" t="s">
        <v>3607</v>
      </c>
      <c r="C603" s="55" t="s">
        <v>3607</v>
      </c>
      <c r="D603" s="56" t="s">
        <v>1465</v>
      </c>
      <c r="E603" s="57"/>
      <c r="F603" s="75" t="s">
        <v>898</v>
      </c>
      <c r="G603" s="55" t="s">
        <v>1967</v>
      </c>
      <c r="H603" s="58">
        <v>416100</v>
      </c>
      <c r="I603" s="59">
        <f>IF(COUNTIF(MASUK[Kode Barang],REKAP[[#This Row],[ID]])=0,0,COUNTIF(MASUK[Kode Barang],REKAP[[#This Row],[ID]]))</f>
        <v>1</v>
      </c>
      <c r="J603" s="59">
        <f>IF(COUNTIF(MASUK8[Kode Barang],REKAP[[#This Row],[ID]])=0,0,COUNTIF(MASUK8[Kode Barang],REKAP[[#This Row],[ID]]))</f>
        <v>2</v>
      </c>
      <c r="K603" s="60">
        <f>REKAP[[#This Row],[Trx In]]+REKAP[[#This Row],[Trx Out]]</f>
        <v>3</v>
      </c>
      <c r="L603" s="55">
        <v>2</v>
      </c>
      <c r="M603" s="74">
        <f>SUMIF(MASUK!$C:$C,REKAP[[#This Row],[ID]],MASUK!$H:$H)</f>
        <v>2</v>
      </c>
      <c r="N603" s="74">
        <f>SUMIF(KELUAR!$C:$C,REKAP[[#This Row],[ID]],KELUAR!$H:$H)</f>
        <v>2</v>
      </c>
      <c r="O603" s="74">
        <f>REKAP[[#This Row],[Stok Awal]]+REKAP[[#This Row],[Masuk]]-REKAP[[#This Row],[Keluar]]</f>
        <v>2</v>
      </c>
      <c r="P603" s="55">
        <v>2</v>
      </c>
      <c r="Q603" s="62">
        <f>REKAP[[#This Row],[Harga Satuan]]*REKAP[[#This Row],[Stok Akhir]]</f>
        <v>832200</v>
      </c>
      <c r="R603" s="61">
        <f>IF(REKAP[[#This Row],[Stok Aktual]]&lt;&gt;"",REKAP[[#This Row],[Stok Aktual]]-REKAP[[#This Row],[Stok Akhir]],0)</f>
        <v>0</v>
      </c>
      <c r="S603" s="139"/>
      <c r="T603" s="137">
        <f>IF(REKAP[[#This Row],[Selisih]]&lt;=-1,REKAP[[#This Row],[Harga Satuan]]*REKAP[[#This Row],[Selisih]],0)</f>
        <v>0</v>
      </c>
    </row>
    <row r="604" spans="1:20" x14ac:dyDescent="0.25">
      <c r="A604" s="55" t="s">
        <v>930</v>
      </c>
      <c r="B604" s="55" t="s">
        <v>855</v>
      </c>
      <c r="C604" s="55" t="s">
        <v>855</v>
      </c>
      <c r="D604" s="56" t="s">
        <v>1466</v>
      </c>
      <c r="E604" s="57"/>
      <c r="F604" s="75" t="s">
        <v>898</v>
      </c>
      <c r="G604" s="55" t="s">
        <v>1967</v>
      </c>
      <c r="H604" s="58">
        <v>382800</v>
      </c>
      <c r="I604" s="59">
        <f>IF(COUNTIF(MASUK[Kode Barang],REKAP[[#This Row],[ID]])=0,0,COUNTIF(MASUK[Kode Barang],REKAP[[#This Row],[ID]]))</f>
        <v>1</v>
      </c>
      <c r="J604" s="59">
        <f>IF(COUNTIF(MASUK8[Kode Barang],REKAP[[#This Row],[ID]])=0,0,COUNTIF(MASUK8[Kode Barang],REKAP[[#This Row],[ID]]))</f>
        <v>1</v>
      </c>
      <c r="K604" s="60">
        <f>REKAP[[#This Row],[Trx In]]+REKAP[[#This Row],[Trx Out]]</f>
        <v>2</v>
      </c>
      <c r="L604" s="55">
        <v>0</v>
      </c>
      <c r="M604" s="74">
        <f>SUMIF(MASUK!$C:$C,REKAP[[#This Row],[ID]],MASUK!$H:$H)</f>
        <v>2</v>
      </c>
      <c r="N604" s="74">
        <f>SUMIF(KELUAR!$C:$C,REKAP[[#This Row],[ID]],KELUAR!$H:$H)</f>
        <v>2</v>
      </c>
      <c r="O604" s="74">
        <f>REKAP[[#This Row],[Stok Awal]]+REKAP[[#This Row],[Masuk]]-REKAP[[#This Row],[Keluar]]</f>
        <v>0</v>
      </c>
      <c r="P604" s="55">
        <v>0</v>
      </c>
      <c r="Q604" s="62">
        <f>REKAP[[#This Row],[Harga Satuan]]*REKAP[[#This Row],[Stok Akhir]]</f>
        <v>0</v>
      </c>
      <c r="R604" s="61">
        <f>IF(REKAP[[#This Row],[Stok Aktual]]&lt;&gt;"",REKAP[[#This Row],[Stok Aktual]]-REKAP[[#This Row],[Stok Akhir]],0)</f>
        <v>0</v>
      </c>
      <c r="S604" s="132"/>
      <c r="T604" s="137">
        <f>IF(REKAP[[#This Row],[Selisih]]&lt;=-1,REKAP[[#This Row],[Harga Satuan]]*REKAP[[#This Row],[Selisih]],0)</f>
        <v>0</v>
      </c>
    </row>
    <row r="605" spans="1:20" x14ac:dyDescent="0.25">
      <c r="A605" s="55" t="s">
        <v>931</v>
      </c>
      <c r="B605" s="55" t="s">
        <v>855</v>
      </c>
      <c r="C605" s="55" t="s">
        <v>855</v>
      </c>
      <c r="D605" s="56" t="s">
        <v>1467</v>
      </c>
      <c r="E605" s="57"/>
      <c r="F605" s="75" t="s">
        <v>898</v>
      </c>
      <c r="G605" s="55" t="s">
        <v>1967</v>
      </c>
      <c r="H605" s="58">
        <v>1046071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0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0</v>
      </c>
      <c r="P605" s="55"/>
      <c r="Q605" s="62">
        <f>REKAP[[#This Row],[Harga Satuan]]*REKAP[[#This Row],[Stok Akhir]]</f>
        <v>0</v>
      </c>
      <c r="R605" s="61">
        <f>IF(REKAP[[#This Row],[Stok Aktual]]&lt;&gt;"",REKAP[[#This Row],[Stok Aktual]]-REKAP[[#This Row],[Stok Akhir]],0)</f>
        <v>0</v>
      </c>
      <c r="S605" s="132"/>
      <c r="T605" s="137">
        <f>IF(REKAP[[#This Row],[Selisih]]&lt;=-1,REKAP[[#This Row],[Harga Satuan]]*REKAP[[#This Row],[Selisih]],0)</f>
        <v>0</v>
      </c>
    </row>
    <row r="606" spans="1:20" x14ac:dyDescent="0.25">
      <c r="A606" s="55" t="s">
        <v>932</v>
      </c>
      <c r="B606" s="55" t="s">
        <v>856</v>
      </c>
      <c r="C606" s="55" t="s">
        <v>856</v>
      </c>
      <c r="D606" s="56" t="s">
        <v>1468</v>
      </c>
      <c r="E606" s="57"/>
      <c r="F606" s="75" t="s">
        <v>898</v>
      </c>
      <c r="G606" s="55" t="s">
        <v>1967</v>
      </c>
      <c r="H606" s="58">
        <v>154400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>
        <f>IF(REKAP[[#This Row],[Stok Aktual]]&lt;&gt;"",REKAP[[#This Row],[Stok Aktual]]-REKAP[[#This Row],[Stok Akhir]],0)</f>
        <v>0</v>
      </c>
      <c r="S606" s="132"/>
      <c r="T606" s="137">
        <f>IF(REKAP[[#This Row],[Selisih]]&lt;=-1,REKAP[[#This Row],[Harga Satuan]]*REKAP[[#This Row],[Selisih]],0)</f>
        <v>0</v>
      </c>
    </row>
    <row r="607" spans="1:20" x14ac:dyDescent="0.25">
      <c r="A607" s="55" t="s">
        <v>933</v>
      </c>
      <c r="B607" s="55" t="s">
        <v>857</v>
      </c>
      <c r="C607" s="55" t="s">
        <v>857</v>
      </c>
      <c r="D607" s="56" t="s">
        <v>1469</v>
      </c>
      <c r="E607" s="57"/>
      <c r="F607" s="75" t="s">
        <v>898</v>
      </c>
      <c r="G607" s="55"/>
      <c r="H607" s="58">
        <v>150940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16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16</v>
      </c>
      <c r="P607" s="55"/>
      <c r="Q607" s="62">
        <f>REKAP[[#This Row],[Harga Satuan]]*REKAP[[#This Row],[Stok Akhir]]</f>
        <v>2415040</v>
      </c>
      <c r="R607" s="61">
        <f>IF(REKAP[[#This Row],[Stok Aktual]]&lt;&gt;"",REKAP[[#This Row],[Stok Aktual]]-REKAP[[#This Row],[Stok Akhir]],0)</f>
        <v>0</v>
      </c>
      <c r="S607" s="132"/>
      <c r="T607" s="137">
        <f>IF(REKAP[[#This Row],[Selisih]]&lt;=-1,REKAP[[#This Row],[Harga Satuan]]*REKAP[[#This Row],[Selisih]],0)</f>
        <v>0</v>
      </c>
    </row>
    <row r="608" spans="1:20" x14ac:dyDescent="0.25">
      <c r="A608" s="55" t="s">
        <v>934</v>
      </c>
      <c r="B608" s="55" t="s">
        <v>857</v>
      </c>
      <c r="C608" s="55" t="s">
        <v>857</v>
      </c>
      <c r="D608" s="56" t="s">
        <v>1470</v>
      </c>
      <c r="E608" s="57"/>
      <c r="F608" s="75" t="s">
        <v>898</v>
      </c>
      <c r="G608" s="55"/>
      <c r="H608" s="58">
        <v>77888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0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0</v>
      </c>
      <c r="P608" s="55"/>
      <c r="Q608" s="62">
        <f>REKAP[[#This Row],[Harga Satuan]]*REKAP[[#This Row],[Stok Akhir]]</f>
        <v>0</v>
      </c>
      <c r="R608" s="61">
        <f>IF(REKAP[[#This Row],[Stok Aktual]]&lt;&gt;"",REKAP[[#This Row],[Stok Aktual]]-REKAP[[#This Row],[Stok Akhir]],0)</f>
        <v>0</v>
      </c>
      <c r="S608" s="132"/>
      <c r="T608" s="137">
        <f>IF(REKAP[[#This Row],[Selisih]]&lt;=-1,REKAP[[#This Row],[Harga Satuan]]*REKAP[[#This Row],[Selisih]],0)</f>
        <v>0</v>
      </c>
    </row>
    <row r="609" spans="1:20" x14ac:dyDescent="0.25">
      <c r="A609" s="55" t="s">
        <v>935</v>
      </c>
      <c r="B609" s="55" t="s">
        <v>857</v>
      </c>
      <c r="C609" s="55" t="s">
        <v>857</v>
      </c>
      <c r="D609" s="56" t="s">
        <v>1471</v>
      </c>
      <c r="E609" s="57"/>
      <c r="F609" s="75" t="s">
        <v>898</v>
      </c>
      <c r="G609" s="55"/>
      <c r="H609" s="58">
        <v>63329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1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1</v>
      </c>
      <c r="P609" s="55"/>
      <c r="Q609" s="62">
        <f>REKAP[[#This Row],[Harga Satuan]]*REKAP[[#This Row],[Stok Akhir]]</f>
        <v>63329</v>
      </c>
      <c r="R609" s="61">
        <f>IF(REKAP[[#This Row],[Stok Aktual]]&lt;&gt;"",REKAP[[#This Row],[Stok Aktual]]-REKAP[[#This Row],[Stok Akhir]],0)</f>
        <v>0</v>
      </c>
      <c r="S609" s="132"/>
      <c r="T609" s="137">
        <f>IF(REKAP[[#This Row],[Selisih]]&lt;=-1,REKAP[[#This Row],[Harga Satuan]]*REKAP[[#This Row],[Selisih]],0)</f>
        <v>0</v>
      </c>
    </row>
    <row r="610" spans="1:20" x14ac:dyDescent="0.25">
      <c r="A610" s="55" t="s">
        <v>936</v>
      </c>
      <c r="B610" s="55" t="s">
        <v>857</v>
      </c>
      <c r="C610" s="55" t="s">
        <v>857</v>
      </c>
      <c r="D610" s="56" t="s">
        <v>1472</v>
      </c>
      <c r="E610" s="57"/>
      <c r="F610" s="75" t="s">
        <v>898</v>
      </c>
      <c r="G610" s="55"/>
      <c r="H610" s="58">
        <v>56035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3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3</v>
      </c>
      <c r="P610" s="55"/>
      <c r="Q610" s="62">
        <f>REKAP[[#This Row],[Harga Satuan]]*REKAP[[#This Row],[Stok Akhir]]</f>
        <v>168105</v>
      </c>
      <c r="R610" s="61">
        <f>IF(REKAP[[#This Row],[Stok Aktual]]&lt;&gt;"",REKAP[[#This Row],[Stok Aktual]]-REKAP[[#This Row],[Stok Akhir]],0)</f>
        <v>0</v>
      </c>
      <c r="S610" s="132"/>
      <c r="T610" s="137">
        <f>IF(REKAP[[#This Row],[Selisih]]&lt;=-1,REKAP[[#This Row],[Harga Satuan]]*REKAP[[#This Row],[Selisih]],0)</f>
        <v>0</v>
      </c>
    </row>
    <row r="611" spans="1:20" x14ac:dyDescent="0.25">
      <c r="A611" s="55" t="s">
        <v>937</v>
      </c>
      <c r="B611" s="55" t="s">
        <v>857</v>
      </c>
      <c r="C611" s="55" t="s">
        <v>857</v>
      </c>
      <c r="D611" s="56" t="s">
        <v>1473</v>
      </c>
      <c r="E611" s="57"/>
      <c r="F611" s="75" t="s">
        <v>898</v>
      </c>
      <c r="G611" s="55"/>
      <c r="H611" s="58">
        <v>60060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2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2</v>
      </c>
      <c r="P611" s="55"/>
      <c r="Q611" s="62">
        <f>REKAP[[#This Row],[Harga Satuan]]*REKAP[[#This Row],[Stok Akhir]]</f>
        <v>120120</v>
      </c>
      <c r="R611" s="61">
        <f>IF(REKAP[[#This Row],[Stok Aktual]]&lt;&gt;"",REKAP[[#This Row],[Stok Aktual]]-REKAP[[#This Row],[Stok Akhir]],0)</f>
        <v>0</v>
      </c>
      <c r="S611" s="132"/>
      <c r="T611" s="137">
        <f>IF(REKAP[[#This Row],[Selisih]]&lt;=-1,REKAP[[#This Row],[Harga Satuan]]*REKAP[[#This Row],[Selisih]],0)</f>
        <v>0</v>
      </c>
    </row>
    <row r="612" spans="1:20" x14ac:dyDescent="0.25">
      <c r="A612" s="55" t="s">
        <v>938</v>
      </c>
      <c r="B612" s="55" t="s">
        <v>857</v>
      </c>
      <c r="C612" s="55" t="s">
        <v>857</v>
      </c>
      <c r="D612" s="56" t="s">
        <v>1474</v>
      </c>
      <c r="E612" s="57"/>
      <c r="F612" s="75" t="s">
        <v>898</v>
      </c>
      <c r="G612" s="55"/>
      <c r="H612" s="58">
        <v>49464</v>
      </c>
      <c r="I612" s="59">
        <f>IF(COUNTIF(MASUK[Kode Barang],REKAP[[#This Row],[ID]])=0,0,COUNTIF(MASUK[Kode Barang],REKAP[[#This Row],[ID]]))</f>
        <v>0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0</v>
      </c>
      <c r="L612" s="55">
        <v>0</v>
      </c>
      <c r="M612" s="74">
        <f>SUMIF(MASUK!$C:$C,REKAP[[#This Row],[ID]],MASUK!$H:$H)</f>
        <v>0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>
        <f>IF(REKAP[[#This Row],[Stok Aktual]]&lt;&gt;"",REKAP[[#This Row],[Stok Aktual]]-REKAP[[#This Row],[Stok Akhir]],0)</f>
        <v>0</v>
      </c>
      <c r="S612" s="132"/>
      <c r="T612" s="137">
        <f>IF(REKAP[[#This Row],[Selisih]]&lt;=-1,REKAP[[#This Row],[Harga Satuan]]*REKAP[[#This Row],[Selisih]],0)</f>
        <v>0</v>
      </c>
    </row>
    <row r="613" spans="1:20" x14ac:dyDescent="0.25">
      <c r="A613" s="55" t="s">
        <v>939</v>
      </c>
      <c r="B613" s="55" t="s">
        <v>857</v>
      </c>
      <c r="C613" s="55" t="s">
        <v>857</v>
      </c>
      <c r="D613" s="56" t="s">
        <v>1475</v>
      </c>
      <c r="E613" s="57"/>
      <c r="F613" s="75" t="s">
        <v>898</v>
      </c>
      <c r="G613" s="55"/>
      <c r="H613" s="58">
        <v>84852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0</v>
      </c>
      <c r="K613" s="60">
        <f>REKAP[[#This Row],[Trx In]]+REKAP[[#This Row],[Trx Out]]</f>
        <v>0</v>
      </c>
      <c r="L613" s="55">
        <v>0</v>
      </c>
      <c r="M613" s="74">
        <f>SUMIF(MASUK!$C:$C,REKAP[[#This Row],[ID]],MASUK!$H:$H)</f>
        <v>0</v>
      </c>
      <c r="N613" s="74">
        <f>SUMIF(KELUAR!$C:$C,REKAP[[#This Row],[ID]],KELUAR!$H:$H)</f>
        <v>0</v>
      </c>
      <c r="O613" s="74">
        <f>REKAP[[#This Row],[Stok Awal]]+REKAP[[#This Row],[Masuk]]-REKAP[[#This Row],[Keluar]]</f>
        <v>0</v>
      </c>
      <c r="P613" s="55"/>
      <c r="Q613" s="62">
        <f>REKAP[[#This Row],[Harga Satuan]]*REKAP[[#This Row],[Stok Akhir]]</f>
        <v>0</v>
      </c>
      <c r="R613" s="61">
        <f>IF(REKAP[[#This Row],[Stok Aktual]]&lt;&gt;"",REKAP[[#This Row],[Stok Aktual]]-REKAP[[#This Row],[Stok Akhir]],0)</f>
        <v>0</v>
      </c>
      <c r="S613" s="132"/>
      <c r="T613" s="137">
        <f>IF(REKAP[[#This Row],[Selisih]]&lt;=-1,REKAP[[#This Row],[Harga Satuan]]*REKAP[[#This Row],[Selisih]],0)</f>
        <v>0</v>
      </c>
    </row>
    <row r="614" spans="1:20" x14ac:dyDescent="0.25">
      <c r="A614" s="55" t="s">
        <v>940</v>
      </c>
      <c r="B614" s="55" t="s">
        <v>857</v>
      </c>
      <c r="C614" s="55" t="s">
        <v>857</v>
      </c>
      <c r="D614" s="56" t="s">
        <v>1476</v>
      </c>
      <c r="E614" s="57"/>
      <c r="F614" s="75" t="s">
        <v>898</v>
      </c>
      <c r="G614" s="55"/>
      <c r="H614" s="58">
        <v>49464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0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0</v>
      </c>
      <c r="P614" s="55"/>
      <c r="Q614" s="62">
        <f>REKAP[[#This Row],[Harga Satuan]]*REKAP[[#This Row],[Stok Akhir]]</f>
        <v>0</v>
      </c>
      <c r="R614" s="61">
        <f>IF(REKAP[[#This Row],[Stok Aktual]]&lt;&gt;"",REKAP[[#This Row],[Stok Aktual]]-REKAP[[#This Row],[Stok Akhir]],0)</f>
        <v>0</v>
      </c>
      <c r="S614" s="132"/>
      <c r="T614" s="137">
        <f>IF(REKAP[[#This Row],[Selisih]]&lt;=-1,REKAP[[#This Row],[Harga Satuan]]*REKAP[[#This Row],[Selisih]],0)</f>
        <v>0</v>
      </c>
    </row>
    <row r="615" spans="1:20" x14ac:dyDescent="0.25">
      <c r="A615" s="55" t="s">
        <v>941</v>
      </c>
      <c r="B615" s="55" t="s">
        <v>857</v>
      </c>
      <c r="C615" s="55" t="s">
        <v>857</v>
      </c>
      <c r="D615" s="56" t="s">
        <v>1477</v>
      </c>
      <c r="E615" s="57"/>
      <c r="F615" s="75" t="s">
        <v>898</v>
      </c>
      <c r="G615" s="55"/>
      <c r="H615" s="58">
        <v>60060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0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0</v>
      </c>
      <c r="P615" s="55"/>
      <c r="Q615" s="62">
        <f>REKAP[[#This Row],[Harga Satuan]]*REKAP[[#This Row],[Stok Akhir]]</f>
        <v>0</v>
      </c>
      <c r="R615" s="61">
        <f>IF(REKAP[[#This Row],[Stok Aktual]]&lt;&gt;"",REKAP[[#This Row],[Stok Aktual]]-REKAP[[#This Row],[Stok Akhir]],0)</f>
        <v>0</v>
      </c>
      <c r="S615" s="132"/>
      <c r="T615" s="137">
        <f>IF(REKAP[[#This Row],[Selisih]]&lt;=-1,REKAP[[#This Row],[Harga Satuan]]*REKAP[[#This Row],[Selisih]],0)</f>
        <v>0</v>
      </c>
    </row>
    <row r="616" spans="1:20" x14ac:dyDescent="0.25">
      <c r="A616" s="55" t="s">
        <v>942</v>
      </c>
      <c r="B616" s="55" t="s">
        <v>857</v>
      </c>
      <c r="C616" s="55" t="s">
        <v>857</v>
      </c>
      <c r="D616" s="56" t="s">
        <v>1478</v>
      </c>
      <c r="E616" s="57"/>
      <c r="F616" s="75" t="s">
        <v>898</v>
      </c>
      <c r="G616" s="55"/>
      <c r="H616" s="58">
        <v>57708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0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0</v>
      </c>
      <c r="P616" s="55"/>
      <c r="Q616" s="62">
        <f>REKAP[[#This Row],[Harga Satuan]]*REKAP[[#This Row],[Stok Akhir]]</f>
        <v>0</v>
      </c>
      <c r="R616" s="61">
        <f>IF(REKAP[[#This Row],[Stok Aktual]]&lt;&gt;"",REKAP[[#This Row],[Stok Aktual]]-REKAP[[#This Row],[Stok Akhir]],0)</f>
        <v>0</v>
      </c>
      <c r="S616" s="132"/>
      <c r="T616" s="137">
        <f>IF(REKAP[[#This Row],[Selisih]]&lt;=-1,REKAP[[#This Row],[Harga Satuan]]*REKAP[[#This Row],[Selisih]],0)</f>
        <v>0</v>
      </c>
    </row>
    <row r="617" spans="1:20" x14ac:dyDescent="0.25">
      <c r="A617" s="55" t="s">
        <v>943</v>
      </c>
      <c r="B617" s="55" t="s">
        <v>857</v>
      </c>
      <c r="C617" s="55" t="s">
        <v>857</v>
      </c>
      <c r="D617" s="56" t="s">
        <v>1479</v>
      </c>
      <c r="E617" s="57"/>
      <c r="F617" s="75" t="s">
        <v>898</v>
      </c>
      <c r="G617" s="55"/>
      <c r="H617" s="58">
        <v>51298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0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0</v>
      </c>
      <c r="P617" s="55"/>
      <c r="Q617" s="62">
        <f>REKAP[[#This Row],[Harga Satuan]]*REKAP[[#This Row],[Stok Akhir]]</f>
        <v>0</v>
      </c>
      <c r="R617" s="61">
        <f>IF(REKAP[[#This Row],[Stok Aktual]]&lt;&gt;"",REKAP[[#This Row],[Stok Aktual]]-REKAP[[#This Row],[Stok Akhir]],0)</f>
        <v>0</v>
      </c>
      <c r="S617" s="132"/>
      <c r="T617" s="137">
        <f>IF(REKAP[[#This Row],[Selisih]]&lt;=-1,REKAP[[#This Row],[Harga Satuan]]*REKAP[[#This Row],[Selisih]],0)</f>
        <v>0</v>
      </c>
    </row>
    <row r="618" spans="1:20" x14ac:dyDescent="0.25">
      <c r="A618" s="55" t="s">
        <v>944</v>
      </c>
      <c r="B618" s="55" t="s">
        <v>858</v>
      </c>
      <c r="C618" s="55" t="s">
        <v>858</v>
      </c>
      <c r="D618" s="56" t="s">
        <v>1480</v>
      </c>
      <c r="E618" s="57"/>
      <c r="F618" s="75" t="s">
        <v>898</v>
      </c>
      <c r="G618" s="55" t="s">
        <v>1972</v>
      </c>
      <c r="H618" s="58">
        <v>123000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0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0</v>
      </c>
      <c r="P618" s="55"/>
      <c r="Q618" s="62">
        <f>REKAP[[#This Row],[Harga Satuan]]*REKAP[[#This Row],[Stok Akhir]]</f>
        <v>0</v>
      </c>
      <c r="R618" s="61">
        <f>IF(REKAP[[#This Row],[Stok Aktual]]&lt;&gt;"",REKAP[[#This Row],[Stok Aktual]]-REKAP[[#This Row],[Stok Akhir]],0)</f>
        <v>0</v>
      </c>
      <c r="S618" s="132"/>
      <c r="T618" s="137">
        <f>IF(REKAP[[#This Row],[Selisih]]&lt;=-1,REKAP[[#This Row],[Harga Satuan]]*REKAP[[#This Row],[Selisih]],0)</f>
        <v>0</v>
      </c>
    </row>
    <row r="619" spans="1:20" x14ac:dyDescent="0.25">
      <c r="A619" s="55" t="s">
        <v>945</v>
      </c>
      <c r="B619" s="55" t="s">
        <v>859</v>
      </c>
      <c r="C619" s="55" t="s">
        <v>859</v>
      </c>
      <c r="D619" s="56" t="s">
        <v>1481</v>
      </c>
      <c r="E619" s="57"/>
      <c r="F619" s="75" t="s">
        <v>898</v>
      </c>
      <c r="G619" s="55"/>
      <c r="H619" s="58">
        <v>2421</v>
      </c>
      <c r="I619" s="59">
        <f>IF(COUNTIF(MASUK[Kode Barang],REKAP[[#This Row],[ID]])=0,0,COUNTIF(MASUK[Kode Barang],REKAP[[#This Row],[ID]]))</f>
        <v>2</v>
      </c>
      <c r="J619" s="59">
        <f>IF(COUNTIF(MASUK8[Kode Barang],REKAP[[#This Row],[ID]])=0,0,COUNTIF(MASUK8[Kode Barang],REKAP[[#This Row],[ID]]))</f>
        <v>2</v>
      </c>
      <c r="K619" s="60">
        <f>REKAP[[#This Row],[Trx In]]+REKAP[[#This Row],[Trx Out]]</f>
        <v>4</v>
      </c>
      <c r="L619" s="55">
        <v>0</v>
      </c>
      <c r="M619" s="74">
        <f>SUMIF(MASUK!$C:$C,REKAP[[#This Row],[ID]],MASUK!$H:$H)</f>
        <v>12</v>
      </c>
      <c r="N619" s="74">
        <f>SUMIF(KELUAR!$C:$C,REKAP[[#This Row],[ID]],KELUAR!$H:$H)</f>
        <v>12</v>
      </c>
      <c r="O619" s="74">
        <f>REKAP[[#This Row],[Stok Awal]]+REKAP[[#This Row],[Masuk]]-REKAP[[#This Row],[Keluar]]</f>
        <v>0</v>
      </c>
      <c r="P619" s="55">
        <v>0</v>
      </c>
      <c r="Q619" s="62">
        <f>REKAP[[#This Row],[Harga Satuan]]*REKAP[[#This Row],[Stok Akhir]]</f>
        <v>0</v>
      </c>
      <c r="R619" s="61">
        <f>IF(REKAP[[#This Row],[Stok Aktual]]&lt;&gt;"",REKAP[[#This Row],[Stok Aktual]]-REKAP[[#This Row],[Stok Akhir]],0)</f>
        <v>0</v>
      </c>
      <c r="S619" s="132"/>
      <c r="T619" s="137">
        <f>IF(REKAP[[#This Row],[Selisih]]&lt;=-1,REKAP[[#This Row],[Harga Satuan]]*REKAP[[#This Row],[Selisih]],0)</f>
        <v>0</v>
      </c>
    </row>
    <row r="620" spans="1:20" x14ac:dyDescent="0.25">
      <c r="A620" s="55" t="s">
        <v>946</v>
      </c>
      <c r="B620" s="55" t="s">
        <v>859</v>
      </c>
      <c r="C620" s="55" t="s">
        <v>859</v>
      </c>
      <c r="D620" s="56" t="s">
        <v>1482</v>
      </c>
      <c r="E620" s="57"/>
      <c r="F620" s="75" t="s">
        <v>898</v>
      </c>
      <c r="G620" s="55"/>
      <c r="H620" s="58">
        <v>2226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2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2</v>
      </c>
      <c r="P620" s="55"/>
      <c r="Q620" s="62">
        <f>REKAP[[#This Row],[Harga Satuan]]*REKAP[[#This Row],[Stok Akhir]]</f>
        <v>4452</v>
      </c>
      <c r="R620" s="61">
        <f>IF(REKAP[[#This Row],[Stok Aktual]]&lt;&gt;"",REKAP[[#This Row],[Stok Aktual]]-REKAP[[#This Row],[Stok Akhir]],0)</f>
        <v>0</v>
      </c>
      <c r="S620" s="132"/>
      <c r="T620" s="137">
        <f>IF(REKAP[[#This Row],[Selisih]]&lt;=-1,REKAP[[#This Row],[Harga Satuan]]*REKAP[[#This Row],[Selisih]],0)</f>
        <v>0</v>
      </c>
    </row>
    <row r="621" spans="1:20" x14ac:dyDescent="0.25">
      <c r="A621" s="55" t="s">
        <v>947</v>
      </c>
      <c r="B621" s="55" t="s">
        <v>859</v>
      </c>
      <c r="C621" s="55" t="s">
        <v>859</v>
      </c>
      <c r="D621" s="56" t="s">
        <v>1483</v>
      </c>
      <c r="E621" s="57"/>
      <c r="F621" s="75" t="s">
        <v>898</v>
      </c>
      <c r="G621" s="55"/>
      <c r="H621" s="58">
        <v>2421</v>
      </c>
      <c r="I621" s="59">
        <f>IF(COUNTIF(MASUK[Kode Barang],REKAP[[#This Row],[ID]])=0,0,COUNTIF(MASUK[Kode Barang],REKAP[[#This Row],[ID]]))</f>
        <v>1</v>
      </c>
      <c r="J621" s="59">
        <f>IF(COUNTIF(MASUK8[Kode Barang],REKAP[[#This Row],[ID]])=0,0,COUNTIF(MASUK8[Kode Barang],REKAP[[#This Row],[ID]]))</f>
        <v>2</v>
      </c>
      <c r="K621" s="60">
        <f>REKAP[[#This Row],[Trx In]]+REKAP[[#This Row],[Trx Out]]</f>
        <v>3</v>
      </c>
      <c r="L621" s="55">
        <v>7</v>
      </c>
      <c r="M621" s="74">
        <f>SUMIF(MASUK!$C:$C,REKAP[[#This Row],[ID]],MASUK!$H:$H)</f>
        <v>29</v>
      </c>
      <c r="N621" s="74">
        <f>SUMIF(KELUAR!$C:$C,REKAP[[#This Row],[ID]],KELUAR!$H:$H)</f>
        <v>36</v>
      </c>
      <c r="O621" s="74">
        <f>REKAP[[#This Row],[Stok Awal]]+REKAP[[#This Row],[Masuk]]-REKAP[[#This Row],[Keluar]]</f>
        <v>0</v>
      </c>
      <c r="P621" s="55">
        <v>0</v>
      </c>
      <c r="Q621" s="62">
        <f>REKAP[[#This Row],[Harga Satuan]]*REKAP[[#This Row],[Stok Akhir]]</f>
        <v>0</v>
      </c>
      <c r="R621" s="61">
        <f>IF(REKAP[[#This Row],[Stok Aktual]]&lt;&gt;"",REKAP[[#This Row],[Stok Aktual]]-REKAP[[#This Row],[Stok Akhir]],0)</f>
        <v>0</v>
      </c>
      <c r="S621" s="132"/>
      <c r="T621" s="137">
        <f>IF(REKAP[[#This Row],[Selisih]]&lt;=-1,REKAP[[#This Row],[Harga Satuan]]*REKAP[[#This Row],[Selisih]],0)</f>
        <v>0</v>
      </c>
    </row>
    <row r="622" spans="1:20" x14ac:dyDescent="0.25">
      <c r="A622" s="55" t="s">
        <v>948</v>
      </c>
      <c r="B622" s="55" t="s">
        <v>859</v>
      </c>
      <c r="C622" s="55" t="s">
        <v>859</v>
      </c>
      <c r="D622" s="56" t="s">
        <v>1484</v>
      </c>
      <c r="E622" s="57"/>
      <c r="F622" s="75" t="s">
        <v>898</v>
      </c>
      <c r="G622" s="55"/>
      <c r="H622" s="58">
        <v>2030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0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0</v>
      </c>
      <c r="P622" s="55"/>
      <c r="Q622" s="62">
        <f>REKAP[[#This Row],[Harga Satuan]]*REKAP[[#This Row],[Stok Akhir]]</f>
        <v>0</v>
      </c>
      <c r="R622" s="61">
        <f>IF(REKAP[[#This Row],[Stok Aktual]]&lt;&gt;"",REKAP[[#This Row],[Stok Aktual]]-REKAP[[#This Row],[Stok Akhir]],0)</f>
        <v>0</v>
      </c>
      <c r="S622" s="132"/>
      <c r="T622" s="137">
        <f>IF(REKAP[[#This Row],[Selisih]]&lt;=-1,REKAP[[#This Row],[Harga Satuan]]*REKAP[[#This Row],[Selisih]],0)</f>
        <v>0</v>
      </c>
    </row>
    <row r="623" spans="1:20" x14ac:dyDescent="0.25">
      <c r="A623" s="55" t="s">
        <v>949</v>
      </c>
      <c r="B623" s="55" t="s">
        <v>859</v>
      </c>
      <c r="C623" s="55" t="s">
        <v>859</v>
      </c>
      <c r="D623" s="56" t="s">
        <v>1485</v>
      </c>
      <c r="E623" s="57"/>
      <c r="F623" s="75" t="s">
        <v>898</v>
      </c>
      <c r="G623" s="55"/>
      <c r="H623" s="58">
        <v>2226</v>
      </c>
      <c r="I623" s="59">
        <f>IF(COUNTIF(MASUK[Kode Barang],REKAP[[#This Row],[ID]])=0,0,COUNTIF(MASUK[Kode Barang],REKAP[[#This Row],[ID]]))</f>
        <v>0</v>
      </c>
      <c r="J623" s="59">
        <f>IF(COUNTIF(MASUK8[Kode Barang],REKAP[[#This Row],[ID]])=0,0,COUNTIF(MASUK8[Kode Barang],REKAP[[#This Row],[ID]]))</f>
        <v>0</v>
      </c>
      <c r="K623" s="60">
        <f>REKAP[[#This Row],[Trx In]]+REKAP[[#This Row],[Trx Out]]</f>
        <v>0</v>
      </c>
      <c r="L623" s="55">
        <v>0</v>
      </c>
      <c r="M623" s="74">
        <f>SUMIF(MASUK!$C:$C,REKAP[[#This Row],[ID]],MASUK!$H:$H)</f>
        <v>0</v>
      </c>
      <c r="N623" s="74">
        <f>SUMIF(KELUAR!$C:$C,REKAP[[#This Row],[ID]],KELUAR!$H:$H)</f>
        <v>0</v>
      </c>
      <c r="O623" s="74">
        <f>REKAP[[#This Row],[Stok Awal]]+REKAP[[#This Row],[Masuk]]-REKAP[[#This Row],[Keluar]]</f>
        <v>0</v>
      </c>
      <c r="P623" s="55"/>
      <c r="Q623" s="62">
        <f>REKAP[[#This Row],[Harga Satuan]]*REKAP[[#This Row],[Stok Akhir]]</f>
        <v>0</v>
      </c>
      <c r="R623" s="61">
        <f>IF(REKAP[[#This Row],[Stok Aktual]]&lt;&gt;"",REKAP[[#This Row],[Stok Aktual]]-REKAP[[#This Row],[Stok Akhir]],0)</f>
        <v>0</v>
      </c>
      <c r="S623" s="132"/>
      <c r="T623" s="137">
        <f>IF(REKAP[[#This Row],[Selisih]]&lt;=-1,REKAP[[#This Row],[Harga Satuan]]*REKAP[[#This Row],[Selisih]],0)</f>
        <v>0</v>
      </c>
    </row>
    <row r="624" spans="1:20" x14ac:dyDescent="0.25">
      <c r="A624" s="55" t="s">
        <v>950</v>
      </c>
      <c r="B624" s="55" t="s">
        <v>859</v>
      </c>
      <c r="C624" s="55" t="s">
        <v>859</v>
      </c>
      <c r="D624" s="56" t="s">
        <v>1486</v>
      </c>
      <c r="E624" s="57"/>
      <c r="F624" s="75" t="s">
        <v>898</v>
      </c>
      <c r="G624" s="55"/>
      <c r="H624" s="58">
        <v>2421</v>
      </c>
      <c r="I624" s="59">
        <f>IF(COUNTIF(MASUK[Kode Barang],REKAP[[#This Row],[ID]])=0,0,COUNTIF(MASUK[Kode Barang],REKAP[[#This Row],[ID]]))</f>
        <v>1</v>
      </c>
      <c r="J624" s="59">
        <f>IF(COUNTIF(MASUK8[Kode Barang],REKAP[[#This Row],[ID]])=0,0,COUNTIF(MASUK8[Kode Barang],REKAP[[#This Row],[ID]]))</f>
        <v>1</v>
      </c>
      <c r="K624" s="60">
        <f>REKAP[[#This Row],[Trx In]]+REKAP[[#This Row],[Trx Out]]</f>
        <v>2</v>
      </c>
      <c r="L624" s="55">
        <v>0</v>
      </c>
      <c r="M624" s="74">
        <f>SUMIF(MASUK!$C:$C,REKAP[[#This Row],[ID]],MASUK!$H:$H)</f>
        <v>8</v>
      </c>
      <c r="N624" s="74">
        <f>SUMIF(KELUAR!$C:$C,REKAP[[#This Row],[ID]],KELUAR!$H:$H)</f>
        <v>8</v>
      </c>
      <c r="O624" s="74">
        <f>REKAP[[#This Row],[Stok Awal]]+REKAP[[#This Row],[Masuk]]-REKAP[[#This Row],[Keluar]]</f>
        <v>0</v>
      </c>
      <c r="P624" s="55">
        <v>0</v>
      </c>
      <c r="Q624" s="62">
        <f>REKAP[[#This Row],[Harga Satuan]]*REKAP[[#This Row],[Stok Akhir]]</f>
        <v>0</v>
      </c>
      <c r="R624" s="61">
        <f>IF(REKAP[[#This Row],[Stok Aktual]]&lt;&gt;"",REKAP[[#This Row],[Stok Aktual]]-REKAP[[#This Row],[Stok Akhir]],0)</f>
        <v>0</v>
      </c>
      <c r="S624" s="132"/>
      <c r="T624" s="137">
        <f>IF(REKAP[[#This Row],[Selisih]]&lt;=-1,REKAP[[#This Row],[Harga Satuan]]*REKAP[[#This Row],[Selisih]],0)</f>
        <v>0</v>
      </c>
    </row>
    <row r="625" spans="1:20" x14ac:dyDescent="0.25">
      <c r="A625" s="55" t="s">
        <v>951</v>
      </c>
      <c r="B625" s="55" t="s">
        <v>859</v>
      </c>
      <c r="C625" s="55" t="s">
        <v>859</v>
      </c>
      <c r="D625" s="56" t="s">
        <v>1487</v>
      </c>
      <c r="E625" s="57"/>
      <c r="F625" s="75" t="s">
        <v>898</v>
      </c>
      <c r="G625" s="55"/>
      <c r="H625" s="58"/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0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0</v>
      </c>
      <c r="P625" s="55"/>
      <c r="Q625" s="62">
        <f>REKAP[[#This Row],[Harga Satuan]]*REKAP[[#This Row],[Stok Akhir]]</f>
        <v>0</v>
      </c>
      <c r="R625" s="61">
        <f>IF(REKAP[[#This Row],[Stok Aktual]]&lt;&gt;"",REKAP[[#This Row],[Stok Aktual]]-REKAP[[#This Row],[Stok Akhir]],0)</f>
        <v>0</v>
      </c>
      <c r="S625" s="132"/>
      <c r="T625" s="137">
        <f>IF(REKAP[[#This Row],[Selisih]]&lt;=-1,REKAP[[#This Row],[Harga Satuan]]*REKAP[[#This Row],[Selisih]],0)</f>
        <v>0</v>
      </c>
    </row>
    <row r="626" spans="1:20" x14ac:dyDescent="0.25">
      <c r="A626" s="55" t="s">
        <v>952</v>
      </c>
      <c r="B626" s="55" t="s">
        <v>859</v>
      </c>
      <c r="C626" s="55" t="s">
        <v>859</v>
      </c>
      <c r="D626" s="56" t="s">
        <v>1488</v>
      </c>
      <c r="E626" s="57"/>
      <c r="F626" s="75" t="s">
        <v>898</v>
      </c>
      <c r="G626" s="55"/>
      <c r="H626" s="58">
        <v>2484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4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4</v>
      </c>
      <c r="P626" s="55"/>
      <c r="Q626" s="62">
        <f>REKAP[[#This Row],[Harga Satuan]]*REKAP[[#This Row],[Stok Akhir]]</f>
        <v>9936</v>
      </c>
      <c r="R626" s="61">
        <f>IF(REKAP[[#This Row],[Stok Aktual]]&lt;&gt;"",REKAP[[#This Row],[Stok Aktual]]-REKAP[[#This Row],[Stok Akhir]],0)</f>
        <v>0</v>
      </c>
      <c r="S626" s="132"/>
      <c r="T626" s="137">
        <f>IF(REKAP[[#This Row],[Selisih]]&lt;=-1,REKAP[[#This Row],[Harga Satuan]]*REKAP[[#This Row],[Selisih]],0)</f>
        <v>0</v>
      </c>
    </row>
    <row r="627" spans="1:20" x14ac:dyDescent="0.25">
      <c r="A627" s="55" t="s">
        <v>953</v>
      </c>
      <c r="B627" s="55" t="s">
        <v>859</v>
      </c>
      <c r="C627" s="55" t="s">
        <v>859</v>
      </c>
      <c r="D627" s="56" t="s">
        <v>1489</v>
      </c>
      <c r="E627" s="57"/>
      <c r="F627" s="75" t="s">
        <v>898</v>
      </c>
      <c r="G627" s="55"/>
      <c r="H627" s="58">
        <v>2618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2</v>
      </c>
      <c r="K627" s="60">
        <f>REKAP[[#This Row],[Trx In]]+REKAP[[#This Row],[Trx Out]]</f>
        <v>2</v>
      </c>
      <c r="L627" s="55">
        <v>25</v>
      </c>
      <c r="M627" s="74">
        <f>SUMIF(MASUK!$C:$C,REKAP[[#This Row],[ID]],MASUK!$H:$H)</f>
        <v>0</v>
      </c>
      <c r="N627" s="74">
        <f>SUMIF(KELUAR!$C:$C,REKAP[[#This Row],[ID]],KELUAR!$H:$H)</f>
        <v>6</v>
      </c>
      <c r="O627" s="74">
        <f>REKAP[[#This Row],[Stok Awal]]+REKAP[[#This Row],[Masuk]]-REKAP[[#This Row],[Keluar]]</f>
        <v>19</v>
      </c>
      <c r="P627" s="55">
        <v>19</v>
      </c>
      <c r="Q627" s="62">
        <f>REKAP[[#This Row],[Harga Satuan]]*REKAP[[#This Row],[Stok Akhir]]</f>
        <v>49742</v>
      </c>
      <c r="R627" s="61">
        <f>IF(REKAP[[#This Row],[Stok Aktual]]&lt;&gt;"",REKAP[[#This Row],[Stok Aktual]]-REKAP[[#This Row],[Stok Akhir]],0)</f>
        <v>0</v>
      </c>
      <c r="S627" s="132"/>
      <c r="T627" s="137">
        <f>IF(REKAP[[#This Row],[Selisih]]&lt;=-1,REKAP[[#This Row],[Harga Satuan]]*REKAP[[#This Row],[Selisih]],0)</f>
        <v>0</v>
      </c>
    </row>
    <row r="628" spans="1:20" x14ac:dyDescent="0.25">
      <c r="A628" s="55" t="s">
        <v>954</v>
      </c>
      <c r="B628" s="55" t="s">
        <v>859</v>
      </c>
      <c r="C628" s="55" t="s">
        <v>859</v>
      </c>
      <c r="D628" s="56" t="s">
        <v>1490</v>
      </c>
      <c r="E628" s="57"/>
      <c r="F628" s="75" t="s">
        <v>898</v>
      </c>
      <c r="G628" s="55"/>
      <c r="H628" s="58">
        <v>2836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2</v>
      </c>
      <c r="K628" s="60">
        <f>REKAP[[#This Row],[Trx In]]+REKAP[[#This Row],[Trx Out]]</f>
        <v>2</v>
      </c>
      <c r="L628" s="55">
        <v>9</v>
      </c>
      <c r="M628" s="74">
        <f>SUMIF(MASUK!$C:$C,REKAP[[#This Row],[ID]],MASUK!$H:$H)</f>
        <v>0</v>
      </c>
      <c r="N628" s="74">
        <f>SUMIF(KELUAR!$C:$C,REKAP[[#This Row],[ID]],KELUAR!$H:$H)</f>
        <v>4</v>
      </c>
      <c r="O628" s="74">
        <f>REKAP[[#This Row],[Stok Awal]]+REKAP[[#This Row],[Masuk]]-REKAP[[#This Row],[Keluar]]</f>
        <v>5</v>
      </c>
      <c r="P628" s="55">
        <v>5</v>
      </c>
      <c r="Q628" s="62">
        <f>REKAP[[#This Row],[Harga Satuan]]*REKAP[[#This Row],[Stok Akhir]]</f>
        <v>14180</v>
      </c>
      <c r="R628" s="61">
        <f>IF(REKAP[[#This Row],[Stok Aktual]]&lt;&gt;"",REKAP[[#This Row],[Stok Aktual]]-REKAP[[#This Row],[Stok Akhir]],0)</f>
        <v>0</v>
      </c>
      <c r="S628" s="132"/>
      <c r="T628" s="137">
        <f>IF(REKAP[[#This Row],[Selisih]]&lt;=-1,REKAP[[#This Row],[Harga Satuan]]*REKAP[[#This Row],[Selisih]],0)</f>
        <v>0</v>
      </c>
    </row>
    <row r="629" spans="1:20" x14ac:dyDescent="0.25">
      <c r="A629" s="55" t="s">
        <v>955</v>
      </c>
      <c r="B629" s="55" t="s">
        <v>859</v>
      </c>
      <c r="C629" s="55" t="s">
        <v>859</v>
      </c>
      <c r="D629" s="56" t="s">
        <v>1491</v>
      </c>
      <c r="E629" s="57"/>
      <c r="F629" s="75" t="s">
        <v>898</v>
      </c>
      <c r="G629" s="55"/>
      <c r="H629" s="58">
        <v>10000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1</v>
      </c>
      <c r="K629" s="60">
        <f>REKAP[[#This Row],[Trx In]]+REKAP[[#This Row],[Trx Out]]</f>
        <v>1</v>
      </c>
      <c r="L629" s="55">
        <v>7</v>
      </c>
      <c r="M629" s="74">
        <f>SUMIF(MASUK!$C:$C,REKAP[[#This Row],[ID]],MASUK!$H:$H)</f>
        <v>0</v>
      </c>
      <c r="N629" s="74">
        <f>SUMIF(KELUAR!$C:$C,REKAP[[#This Row],[ID]],KELUAR!$H:$H)</f>
        <v>2</v>
      </c>
      <c r="O629" s="74">
        <f>REKAP[[#This Row],[Stok Awal]]+REKAP[[#This Row],[Masuk]]-REKAP[[#This Row],[Keluar]]</f>
        <v>5</v>
      </c>
      <c r="P629" s="55">
        <v>5</v>
      </c>
      <c r="Q629" s="62">
        <f>REKAP[[#This Row],[Harga Satuan]]*REKAP[[#This Row],[Stok Akhir]]</f>
        <v>50000</v>
      </c>
      <c r="R629" s="61">
        <f>IF(REKAP[[#This Row],[Stok Aktual]]&lt;&gt;"",REKAP[[#This Row],[Stok Aktual]]-REKAP[[#This Row],[Stok Akhir]],0)</f>
        <v>0</v>
      </c>
      <c r="S629" s="132"/>
      <c r="T629" s="137">
        <f>IF(REKAP[[#This Row],[Selisih]]&lt;=-1,REKAP[[#This Row],[Harga Satuan]]*REKAP[[#This Row],[Selisih]],0)</f>
        <v>0</v>
      </c>
    </row>
    <row r="630" spans="1:20" x14ac:dyDescent="0.25">
      <c r="A630" s="55" t="s">
        <v>956</v>
      </c>
      <c r="B630" s="55" t="s">
        <v>859</v>
      </c>
      <c r="C630" s="55" t="s">
        <v>859</v>
      </c>
      <c r="D630" s="56" t="s">
        <v>1492</v>
      </c>
      <c r="E630" s="57"/>
      <c r="F630" s="75" t="s">
        <v>898</v>
      </c>
      <c r="G630" s="55"/>
      <c r="H630" s="58">
        <v>2943</v>
      </c>
      <c r="I630" s="59">
        <f>IF(COUNTIF(MASUK[Kode Barang],REKAP[[#This Row],[ID]])=0,0,COUNTIF(MASUK[Kode Barang],REKAP[[#This Row],[ID]]))</f>
        <v>1</v>
      </c>
      <c r="J630" s="59">
        <f>IF(COUNTIF(MASUK8[Kode Barang],REKAP[[#This Row],[ID]])=0,0,COUNTIF(MASUK8[Kode Barang],REKAP[[#This Row],[ID]]))</f>
        <v>1</v>
      </c>
      <c r="K630" s="60">
        <f>REKAP[[#This Row],[Trx In]]+REKAP[[#This Row],[Trx Out]]</f>
        <v>2</v>
      </c>
      <c r="L630" s="55">
        <v>0</v>
      </c>
      <c r="M630" s="74">
        <f>SUMIF(MASUK!$C:$C,REKAP[[#This Row],[ID]],MASUK!$H:$H)</f>
        <v>8</v>
      </c>
      <c r="N630" s="74">
        <f>SUMIF(KELUAR!$C:$C,REKAP[[#This Row],[ID]],KELUAR!$H:$H)</f>
        <v>8</v>
      </c>
      <c r="O630" s="74">
        <f>REKAP[[#This Row],[Stok Awal]]+REKAP[[#This Row],[Masuk]]-REKAP[[#This Row],[Keluar]]</f>
        <v>0</v>
      </c>
      <c r="P630" s="55">
        <v>0</v>
      </c>
      <c r="Q630" s="62">
        <f>REKAP[[#This Row],[Harga Satuan]]*REKAP[[#This Row],[Stok Akhir]]</f>
        <v>0</v>
      </c>
      <c r="R630" s="61">
        <f>IF(REKAP[[#This Row],[Stok Aktual]]&lt;&gt;"",REKAP[[#This Row],[Stok Aktual]]-REKAP[[#This Row],[Stok Akhir]],0)</f>
        <v>0</v>
      </c>
      <c r="S630" s="132"/>
      <c r="T630" s="137">
        <f>IF(REKAP[[#This Row],[Selisih]]&lt;=-1,REKAP[[#This Row],[Harga Satuan]]*REKAP[[#This Row],[Selisih]],0)</f>
        <v>0</v>
      </c>
    </row>
    <row r="631" spans="1:20" x14ac:dyDescent="0.25">
      <c r="A631" s="55" t="s">
        <v>957</v>
      </c>
      <c r="B631" s="55" t="s">
        <v>859</v>
      </c>
      <c r="C631" s="55" t="s">
        <v>859</v>
      </c>
      <c r="D631" s="56" t="s">
        <v>1493</v>
      </c>
      <c r="E631" s="57"/>
      <c r="F631" s="75" t="s">
        <v>898</v>
      </c>
      <c r="G631" s="55"/>
      <c r="H631" s="58">
        <v>2879</v>
      </c>
      <c r="I631" s="59">
        <f>IF(COUNTIF(MASUK[Kode Barang],REKAP[[#This Row],[ID]])=0,0,COUNTIF(MASUK[Kode Barang],REKAP[[#This Row],[ID]]))</f>
        <v>3</v>
      </c>
      <c r="J631" s="59">
        <f>IF(COUNTIF(MASUK8[Kode Barang],REKAP[[#This Row],[ID]])=0,0,COUNTIF(MASUK8[Kode Barang],REKAP[[#This Row],[ID]]))</f>
        <v>3</v>
      </c>
      <c r="K631" s="60">
        <f>REKAP[[#This Row],[Trx In]]+REKAP[[#This Row],[Trx Out]]</f>
        <v>6</v>
      </c>
      <c r="L631" s="55">
        <v>3</v>
      </c>
      <c r="M631" s="74">
        <f>SUMIF(MASUK!$C:$C,REKAP[[#This Row],[ID]],MASUK!$H:$H)</f>
        <v>32</v>
      </c>
      <c r="N631" s="74">
        <f>SUMIF(KELUAR!$C:$C,REKAP[[#This Row],[ID]],KELUAR!$H:$H)</f>
        <v>32</v>
      </c>
      <c r="O631" s="74">
        <f>REKAP[[#This Row],[Stok Awal]]+REKAP[[#This Row],[Masuk]]-REKAP[[#This Row],[Keluar]]</f>
        <v>3</v>
      </c>
      <c r="P631" s="55">
        <v>3</v>
      </c>
      <c r="Q631" s="62">
        <f>REKAP[[#This Row],[Harga Satuan]]*REKAP[[#This Row],[Stok Akhir]]</f>
        <v>8637</v>
      </c>
      <c r="R631" s="61">
        <f>IF(REKAP[[#This Row],[Stok Aktual]]&lt;&gt;"",REKAP[[#This Row],[Stok Aktual]]-REKAP[[#This Row],[Stok Akhir]],0)</f>
        <v>0</v>
      </c>
      <c r="S631" s="132"/>
      <c r="T631" s="137">
        <f>IF(REKAP[[#This Row],[Selisih]]&lt;=-1,REKAP[[#This Row],[Harga Satuan]]*REKAP[[#This Row],[Selisih]],0)</f>
        <v>0</v>
      </c>
    </row>
    <row r="632" spans="1:20" x14ac:dyDescent="0.25">
      <c r="A632" s="55" t="s">
        <v>958</v>
      </c>
      <c r="B632" s="55" t="s">
        <v>859</v>
      </c>
      <c r="C632" s="55" t="s">
        <v>859</v>
      </c>
      <c r="D632" s="56" t="s">
        <v>1494</v>
      </c>
      <c r="E632" s="57"/>
      <c r="F632" s="75" t="s">
        <v>898</v>
      </c>
      <c r="G632" s="55"/>
      <c r="H632" s="58">
        <v>2879</v>
      </c>
      <c r="I632" s="59">
        <f>IF(COUNTIF(MASUK[Kode Barang],REKAP[[#This Row],[ID]])=0,0,COUNTIF(MASUK[Kode Barang],REKAP[[#This Row],[ID]]))</f>
        <v>2</v>
      </c>
      <c r="J632" s="59">
        <f>IF(COUNTIF(MASUK8[Kode Barang],REKAP[[#This Row],[ID]])=0,0,COUNTIF(MASUK8[Kode Barang],REKAP[[#This Row],[ID]]))</f>
        <v>3</v>
      </c>
      <c r="K632" s="60">
        <f>REKAP[[#This Row],[Trx In]]+REKAP[[#This Row],[Trx Out]]</f>
        <v>5</v>
      </c>
      <c r="L632" s="55">
        <v>22</v>
      </c>
      <c r="M632" s="74">
        <f>SUMIF(MASUK!$C:$C,REKAP[[#This Row],[ID]],MASUK!$H:$H)</f>
        <v>112</v>
      </c>
      <c r="N632" s="74">
        <f>SUMIF(KELUAR!$C:$C,REKAP[[#This Row],[ID]],KELUAR!$H:$H)</f>
        <v>112</v>
      </c>
      <c r="O632" s="74">
        <f>REKAP[[#This Row],[Stok Awal]]+REKAP[[#This Row],[Masuk]]-REKAP[[#This Row],[Keluar]]</f>
        <v>22</v>
      </c>
      <c r="P632" s="55">
        <v>22</v>
      </c>
      <c r="Q632" s="62">
        <f>REKAP[[#This Row],[Harga Satuan]]*REKAP[[#This Row],[Stok Akhir]]</f>
        <v>63338</v>
      </c>
      <c r="R632" s="61">
        <f>IF(REKAP[[#This Row],[Stok Aktual]]&lt;&gt;"",REKAP[[#This Row],[Stok Aktual]]-REKAP[[#This Row],[Stok Akhir]],0)</f>
        <v>0</v>
      </c>
      <c r="S632" s="132"/>
      <c r="T632" s="137">
        <f>IF(REKAP[[#This Row],[Selisih]]&lt;=-1,REKAP[[#This Row],[Harga Satuan]]*REKAP[[#This Row],[Selisih]],0)</f>
        <v>0</v>
      </c>
    </row>
    <row r="633" spans="1:20" x14ac:dyDescent="0.25">
      <c r="A633" s="55" t="s">
        <v>959</v>
      </c>
      <c r="B633" s="55" t="s">
        <v>859</v>
      </c>
      <c r="C633" s="55" t="s">
        <v>859</v>
      </c>
      <c r="D633" s="56" t="s">
        <v>1495</v>
      </c>
      <c r="E633" s="57"/>
      <c r="F633" s="75" t="s">
        <v>898</v>
      </c>
      <c r="G633" s="55"/>
      <c r="H633" s="58">
        <v>3270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7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7</v>
      </c>
      <c r="P633" s="55"/>
      <c r="Q633" s="62">
        <f>REKAP[[#This Row],[Harga Satuan]]*REKAP[[#This Row],[Stok Akhir]]</f>
        <v>22890</v>
      </c>
      <c r="R633" s="61">
        <f>IF(REKAP[[#This Row],[Stok Aktual]]&lt;&gt;"",REKAP[[#This Row],[Stok Aktual]]-REKAP[[#This Row],[Stok Akhir]],0)</f>
        <v>0</v>
      </c>
      <c r="S633" s="132"/>
      <c r="T633" s="137">
        <f>IF(REKAP[[#This Row],[Selisih]]&lt;=-1,REKAP[[#This Row],[Harga Satuan]]*REKAP[[#This Row],[Selisih]],0)</f>
        <v>0</v>
      </c>
    </row>
    <row r="634" spans="1:20" x14ac:dyDescent="0.25">
      <c r="A634" s="55" t="s">
        <v>960</v>
      </c>
      <c r="B634" s="55" t="s">
        <v>859</v>
      </c>
      <c r="C634" s="55" t="s">
        <v>859</v>
      </c>
      <c r="D634" s="56" t="s">
        <v>1496</v>
      </c>
      <c r="E634" s="57"/>
      <c r="F634" s="75" t="s">
        <v>898</v>
      </c>
      <c r="G634" s="55"/>
      <c r="H634" s="58">
        <v>6000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6000</v>
      </c>
      <c r="R634" s="61">
        <f>IF(REKAP[[#This Row],[Stok Aktual]]&lt;&gt;"",REKAP[[#This Row],[Stok Aktual]]-REKAP[[#This Row],[Stok Akhir]],0)</f>
        <v>0</v>
      </c>
      <c r="S634" s="132"/>
      <c r="T634" s="137">
        <f>IF(REKAP[[#This Row],[Selisih]]&lt;=-1,REKAP[[#This Row],[Harga Satuan]]*REKAP[[#This Row],[Selisih]],0)</f>
        <v>0</v>
      </c>
    </row>
    <row r="635" spans="1:20" x14ac:dyDescent="0.25">
      <c r="A635" s="55" t="s">
        <v>961</v>
      </c>
      <c r="B635" s="55" t="s">
        <v>859</v>
      </c>
      <c r="C635" s="55" t="s">
        <v>859</v>
      </c>
      <c r="D635" s="56" t="s">
        <v>1497</v>
      </c>
      <c r="E635" s="57"/>
      <c r="F635" s="75" t="s">
        <v>898</v>
      </c>
      <c r="G635" s="55"/>
      <c r="H635" s="58">
        <v>2906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3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3</v>
      </c>
      <c r="P635" s="55"/>
      <c r="Q635" s="62">
        <f>REKAP[[#This Row],[Harga Satuan]]*REKAP[[#This Row],[Stok Akhir]]</f>
        <v>8718</v>
      </c>
      <c r="R635" s="61">
        <f>IF(REKAP[[#This Row],[Stok Aktual]]&lt;&gt;"",REKAP[[#This Row],[Stok Aktual]]-REKAP[[#This Row],[Stok Akhir]],0)</f>
        <v>0</v>
      </c>
      <c r="S635" s="132"/>
      <c r="T635" s="137">
        <f>IF(REKAP[[#This Row],[Selisih]]&lt;=-1,REKAP[[#This Row],[Harga Satuan]]*REKAP[[#This Row],[Selisih]],0)</f>
        <v>0</v>
      </c>
    </row>
    <row r="636" spans="1:20" x14ac:dyDescent="0.25">
      <c r="A636" s="55" t="s">
        <v>962</v>
      </c>
      <c r="B636" s="55" t="s">
        <v>859</v>
      </c>
      <c r="C636" s="55" t="s">
        <v>859</v>
      </c>
      <c r="D636" s="56" t="s">
        <v>1498</v>
      </c>
      <c r="E636" s="57"/>
      <c r="F636" s="75" t="s">
        <v>898</v>
      </c>
      <c r="G636" s="55"/>
      <c r="H636" s="58">
        <v>3726</v>
      </c>
      <c r="I636" s="59">
        <f>IF(COUNTIF(MASUK[Kode Barang],REKAP[[#This Row],[ID]])=0,0,COUNTIF(MASUK[Kode Barang],REKAP[[#This Row],[ID]]))</f>
        <v>4</v>
      </c>
      <c r="J636" s="59">
        <f>IF(COUNTIF(MASUK8[Kode Barang],REKAP[[#This Row],[ID]])=0,0,COUNTIF(MASUK8[Kode Barang],REKAP[[#This Row],[ID]]))</f>
        <v>4</v>
      </c>
      <c r="K636" s="60">
        <f>REKAP[[#This Row],[Trx In]]+REKAP[[#This Row],[Trx Out]]</f>
        <v>8</v>
      </c>
      <c r="L636" s="55">
        <v>2</v>
      </c>
      <c r="M636" s="74">
        <f>SUMIF(MASUK!$C:$C,REKAP[[#This Row],[ID]],MASUK!$H:$H)</f>
        <v>26</v>
      </c>
      <c r="N636" s="74">
        <f>SUMIF(KELUAR!$C:$C,REKAP[[#This Row],[ID]],KELUAR!$H:$H)</f>
        <v>26</v>
      </c>
      <c r="O636" s="74">
        <f>REKAP[[#This Row],[Stok Awal]]+REKAP[[#This Row],[Masuk]]-REKAP[[#This Row],[Keluar]]</f>
        <v>2</v>
      </c>
      <c r="P636" s="55">
        <v>2</v>
      </c>
      <c r="Q636" s="62">
        <f>REKAP[[#This Row],[Harga Satuan]]*REKAP[[#This Row],[Stok Akhir]]</f>
        <v>7452</v>
      </c>
      <c r="R636" s="61">
        <f>IF(REKAP[[#This Row],[Stok Aktual]]&lt;&gt;"",REKAP[[#This Row],[Stok Aktual]]-REKAP[[#This Row],[Stok Akhir]],0)</f>
        <v>0</v>
      </c>
      <c r="S636" s="132"/>
      <c r="T636" s="137">
        <f>IF(REKAP[[#This Row],[Selisih]]&lt;=-1,REKAP[[#This Row],[Harga Satuan]]*REKAP[[#This Row],[Selisih]],0)</f>
        <v>0</v>
      </c>
    </row>
    <row r="637" spans="1:20" x14ac:dyDescent="0.25">
      <c r="A637" s="55" t="s">
        <v>963</v>
      </c>
      <c r="B637" s="55" t="s">
        <v>859</v>
      </c>
      <c r="C637" s="55" t="s">
        <v>859</v>
      </c>
      <c r="D637" s="56" t="s">
        <v>1499</v>
      </c>
      <c r="E637" s="57"/>
      <c r="F637" s="75" t="s">
        <v>898</v>
      </c>
      <c r="G637" s="55"/>
      <c r="H637" s="58">
        <v>10500</v>
      </c>
      <c r="I637" s="59">
        <f>IF(COUNTIF(MASUK[Kode Barang],REKAP[[#This Row],[ID]])=0,0,COUNTIF(MASUK[Kode Barang],REKAP[[#This Row],[ID]]))</f>
        <v>1</v>
      </c>
      <c r="J637" s="59">
        <f>IF(COUNTIF(MASUK8[Kode Barang],REKAP[[#This Row],[ID]])=0,0,COUNTIF(MASUK8[Kode Barang],REKAP[[#This Row],[ID]]))</f>
        <v>1</v>
      </c>
      <c r="K637" s="60">
        <f>REKAP[[#This Row],[Trx In]]+REKAP[[#This Row],[Trx Out]]</f>
        <v>2</v>
      </c>
      <c r="L637" s="55">
        <v>0</v>
      </c>
      <c r="M637" s="74">
        <f>SUMIF(MASUK!$C:$C,REKAP[[#This Row],[ID]],MASUK!$H:$H)</f>
        <v>4</v>
      </c>
      <c r="N637" s="74">
        <f>SUMIF(KELUAR!$C:$C,REKAP[[#This Row],[ID]],KELUAR!$H:$H)</f>
        <v>4</v>
      </c>
      <c r="O637" s="74">
        <f>REKAP[[#This Row],[Stok Awal]]+REKAP[[#This Row],[Masuk]]-REKAP[[#This Row],[Keluar]]</f>
        <v>0</v>
      </c>
      <c r="P637" s="55">
        <v>0</v>
      </c>
      <c r="Q637" s="62">
        <f>REKAP[[#This Row],[Harga Satuan]]*REKAP[[#This Row],[Stok Akhir]]</f>
        <v>0</v>
      </c>
      <c r="R637" s="61">
        <f>IF(REKAP[[#This Row],[Stok Aktual]]&lt;&gt;"",REKAP[[#This Row],[Stok Aktual]]-REKAP[[#This Row],[Stok Akhir]],0)</f>
        <v>0</v>
      </c>
      <c r="S637" s="132"/>
      <c r="T637" s="137">
        <f>IF(REKAP[[#This Row],[Selisih]]&lt;=-1,REKAP[[#This Row],[Harga Satuan]]*REKAP[[#This Row],[Selisih]],0)</f>
        <v>0</v>
      </c>
    </row>
    <row r="638" spans="1:20" x14ac:dyDescent="0.25">
      <c r="A638" s="55" t="s">
        <v>964</v>
      </c>
      <c r="B638" s="55" t="s">
        <v>859</v>
      </c>
      <c r="C638" s="55" t="s">
        <v>859</v>
      </c>
      <c r="D638" s="56" t="s">
        <v>1500</v>
      </c>
      <c r="E638" s="57"/>
      <c r="F638" s="75" t="s">
        <v>898</v>
      </c>
      <c r="G638" s="55"/>
      <c r="H638" s="58">
        <v>14904</v>
      </c>
      <c r="I638" s="59">
        <f>IF(COUNTIF(MASUK[Kode Barang],REKAP[[#This Row],[ID]])=0,0,COUNTIF(MASUK[Kode Barang],REKAP[[#This Row],[ID]]))</f>
        <v>1</v>
      </c>
      <c r="J638" s="59">
        <f>IF(COUNTIF(MASUK8[Kode Barang],REKAP[[#This Row],[ID]])=0,0,COUNTIF(MASUK8[Kode Barang],REKAP[[#This Row],[ID]]))</f>
        <v>1</v>
      </c>
      <c r="K638" s="60">
        <f>REKAP[[#This Row],[Trx In]]+REKAP[[#This Row],[Trx Out]]</f>
        <v>2</v>
      </c>
      <c r="L638" s="55">
        <v>6</v>
      </c>
      <c r="M638" s="74">
        <f>SUMIF(MASUK!$C:$C,REKAP[[#This Row],[ID]],MASUK!$H:$H)</f>
        <v>24</v>
      </c>
      <c r="N638" s="74">
        <f>SUMIF(KELUAR!$C:$C,REKAP[[#This Row],[ID]],KELUAR!$H:$H)</f>
        <v>24</v>
      </c>
      <c r="O638" s="74">
        <f>REKAP[[#This Row],[Stok Awal]]+REKAP[[#This Row],[Masuk]]-REKAP[[#This Row],[Keluar]]</f>
        <v>6</v>
      </c>
      <c r="P638" s="55">
        <v>6</v>
      </c>
      <c r="Q638" s="62">
        <f>REKAP[[#This Row],[Harga Satuan]]*REKAP[[#This Row],[Stok Akhir]]</f>
        <v>89424</v>
      </c>
      <c r="R638" s="61">
        <f>IF(REKAP[[#This Row],[Stok Aktual]]&lt;&gt;"",REKAP[[#This Row],[Stok Aktual]]-REKAP[[#This Row],[Stok Akhir]],0)</f>
        <v>0</v>
      </c>
      <c r="S638" s="132"/>
      <c r="T638" s="137">
        <f>IF(REKAP[[#This Row],[Selisih]]&lt;=-1,REKAP[[#This Row],[Harga Satuan]]*REKAP[[#This Row],[Selisih]],0)</f>
        <v>0</v>
      </c>
    </row>
    <row r="639" spans="1:20" x14ac:dyDescent="0.25">
      <c r="A639" s="55" t="s">
        <v>965</v>
      </c>
      <c r="B639" s="55" t="s">
        <v>859</v>
      </c>
      <c r="C639" s="55" t="s">
        <v>859</v>
      </c>
      <c r="D639" s="56" t="s">
        <v>1501</v>
      </c>
      <c r="E639" s="57"/>
      <c r="F639" s="75" t="s">
        <v>898</v>
      </c>
      <c r="G639" s="55"/>
      <c r="H639" s="58">
        <v>10500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7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7</v>
      </c>
      <c r="P639" s="55"/>
      <c r="Q639" s="62">
        <f>REKAP[[#This Row],[Harga Satuan]]*REKAP[[#This Row],[Stok Akhir]]</f>
        <v>73500</v>
      </c>
      <c r="R639" s="61">
        <f>IF(REKAP[[#This Row],[Stok Aktual]]&lt;&gt;"",REKAP[[#This Row],[Stok Aktual]]-REKAP[[#This Row],[Stok Akhir]],0)</f>
        <v>0</v>
      </c>
      <c r="S639" s="132"/>
      <c r="T639" s="137">
        <f>IF(REKAP[[#This Row],[Selisih]]&lt;=-1,REKAP[[#This Row],[Harga Satuan]]*REKAP[[#This Row],[Selisih]],0)</f>
        <v>0</v>
      </c>
    </row>
    <row r="640" spans="1:20" x14ac:dyDescent="0.25">
      <c r="A640" s="55" t="s">
        <v>966</v>
      </c>
      <c r="B640" s="55" t="s">
        <v>859</v>
      </c>
      <c r="C640" s="55" t="s">
        <v>859</v>
      </c>
      <c r="D640" s="56" t="s">
        <v>1502</v>
      </c>
      <c r="E640" s="57"/>
      <c r="F640" s="75" t="s">
        <v>898</v>
      </c>
      <c r="G640" s="55"/>
      <c r="H640" s="58">
        <v>10500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10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10</v>
      </c>
      <c r="P640" s="55"/>
      <c r="Q640" s="62">
        <f>REKAP[[#This Row],[Harga Satuan]]*REKAP[[#This Row],[Stok Akhir]]</f>
        <v>105000</v>
      </c>
      <c r="R640" s="61">
        <f>IF(REKAP[[#This Row],[Stok Aktual]]&lt;&gt;"",REKAP[[#This Row],[Stok Aktual]]-REKAP[[#This Row],[Stok Akhir]],0)</f>
        <v>0</v>
      </c>
      <c r="S640" s="132"/>
      <c r="T640" s="137">
        <f>IF(REKAP[[#This Row],[Selisih]]&lt;=-1,REKAP[[#This Row],[Harga Satuan]]*REKAP[[#This Row],[Selisih]],0)</f>
        <v>0</v>
      </c>
    </row>
    <row r="641" spans="1:20" x14ac:dyDescent="0.25">
      <c r="A641" s="55" t="s">
        <v>967</v>
      </c>
      <c r="B641" s="55" t="s">
        <v>859</v>
      </c>
      <c r="C641" s="55" t="s">
        <v>859</v>
      </c>
      <c r="D641" s="56" t="s">
        <v>1503</v>
      </c>
      <c r="E641" s="57"/>
      <c r="F641" s="75" t="s">
        <v>898</v>
      </c>
      <c r="G641" s="55"/>
      <c r="H641" s="58">
        <v>5226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4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4</v>
      </c>
      <c r="P641" s="55"/>
      <c r="Q641" s="62">
        <f>REKAP[[#This Row],[Harga Satuan]]*REKAP[[#This Row],[Stok Akhir]]</f>
        <v>20904</v>
      </c>
      <c r="R641" s="61">
        <f>IF(REKAP[[#This Row],[Stok Aktual]]&lt;&gt;"",REKAP[[#This Row],[Stok Aktual]]-REKAP[[#This Row],[Stok Akhir]],0)</f>
        <v>0</v>
      </c>
      <c r="S641" s="132"/>
      <c r="T641" s="137">
        <f>IF(REKAP[[#This Row],[Selisih]]&lt;=-1,REKAP[[#This Row],[Harga Satuan]]*REKAP[[#This Row],[Selisih]],0)</f>
        <v>0</v>
      </c>
    </row>
    <row r="642" spans="1:20" x14ac:dyDescent="0.25">
      <c r="A642" s="55" t="s">
        <v>968</v>
      </c>
      <c r="B642" s="55" t="s">
        <v>859</v>
      </c>
      <c r="C642" s="55" t="s">
        <v>859</v>
      </c>
      <c r="D642" s="56" t="s">
        <v>1504</v>
      </c>
      <c r="E642" s="57"/>
      <c r="F642" s="75" t="s">
        <v>898</v>
      </c>
      <c r="G642" s="55"/>
      <c r="H642" s="58">
        <v>10500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4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4</v>
      </c>
      <c r="P642" s="55"/>
      <c r="Q642" s="62">
        <f>REKAP[[#This Row],[Harga Satuan]]*REKAP[[#This Row],[Stok Akhir]]</f>
        <v>42000</v>
      </c>
      <c r="R642" s="61">
        <f>IF(REKAP[[#This Row],[Stok Aktual]]&lt;&gt;"",REKAP[[#This Row],[Stok Aktual]]-REKAP[[#This Row],[Stok Akhir]],0)</f>
        <v>0</v>
      </c>
      <c r="S642" s="132"/>
      <c r="T642" s="137">
        <f>IF(REKAP[[#This Row],[Selisih]]&lt;=-1,REKAP[[#This Row],[Harga Satuan]]*REKAP[[#This Row],[Selisih]],0)</f>
        <v>0</v>
      </c>
    </row>
    <row r="643" spans="1:20" x14ac:dyDescent="0.25">
      <c r="A643" s="55" t="s">
        <v>969</v>
      </c>
      <c r="B643" s="55" t="s">
        <v>859</v>
      </c>
      <c r="C643" s="55" t="s">
        <v>859</v>
      </c>
      <c r="D643" s="56" t="s">
        <v>1505</v>
      </c>
      <c r="E643" s="57"/>
      <c r="F643" s="75" t="s">
        <v>898</v>
      </c>
      <c r="G643" s="55"/>
      <c r="H643" s="58">
        <v>5096</v>
      </c>
      <c r="I643" s="59">
        <f>IF(COUNTIF(MASUK[Kode Barang],REKAP[[#This Row],[ID]])=0,0,COUNTIF(MASUK[Kode Barang],REKAP[[#This Row],[ID]]))</f>
        <v>1</v>
      </c>
      <c r="J643" s="59">
        <f>IF(COUNTIF(MASUK8[Kode Barang],REKAP[[#This Row],[ID]])=0,0,COUNTIF(MASUK8[Kode Barang],REKAP[[#This Row],[ID]]))</f>
        <v>1</v>
      </c>
      <c r="K643" s="60">
        <f>REKAP[[#This Row],[Trx In]]+REKAP[[#This Row],[Trx Out]]</f>
        <v>2</v>
      </c>
      <c r="L643" s="55">
        <v>4</v>
      </c>
      <c r="M643" s="74">
        <f>SUMIF(MASUK!$C:$C,REKAP[[#This Row],[ID]],MASUK!$H:$H)</f>
        <v>4</v>
      </c>
      <c r="N643" s="74">
        <f>SUMIF(KELUAR!$C:$C,REKAP[[#This Row],[ID]],KELUAR!$H:$H)</f>
        <v>4</v>
      </c>
      <c r="O643" s="74">
        <f>REKAP[[#This Row],[Stok Awal]]+REKAP[[#This Row],[Masuk]]-REKAP[[#This Row],[Keluar]]</f>
        <v>4</v>
      </c>
      <c r="P643" s="55">
        <v>4</v>
      </c>
      <c r="Q643" s="62">
        <f>REKAP[[#This Row],[Harga Satuan]]*REKAP[[#This Row],[Stok Akhir]]</f>
        <v>20384</v>
      </c>
      <c r="R643" s="61">
        <f>IF(REKAP[[#This Row],[Stok Aktual]]&lt;&gt;"",REKAP[[#This Row],[Stok Aktual]]-REKAP[[#This Row],[Stok Akhir]],0)</f>
        <v>0</v>
      </c>
      <c r="S643" s="132"/>
      <c r="T643" s="137">
        <f>IF(REKAP[[#This Row],[Selisih]]&lt;=-1,REKAP[[#This Row],[Harga Satuan]]*REKAP[[#This Row],[Selisih]],0)</f>
        <v>0</v>
      </c>
    </row>
    <row r="644" spans="1:20" x14ac:dyDescent="0.25">
      <c r="A644" s="55" t="s">
        <v>970</v>
      </c>
      <c r="B644" s="55" t="s">
        <v>859</v>
      </c>
      <c r="C644" s="55" t="s">
        <v>859</v>
      </c>
      <c r="D644" s="56" t="s">
        <v>1506</v>
      </c>
      <c r="E644" s="57"/>
      <c r="F644" s="75" t="s">
        <v>898</v>
      </c>
      <c r="G644" s="55"/>
      <c r="H644" s="58">
        <v>5398</v>
      </c>
      <c r="I644" s="59">
        <f>IF(COUNTIF(MASUK[Kode Barang],REKAP[[#This Row],[ID]])=0,0,COUNTIF(MASUK[Kode Barang],REKAP[[#This Row],[ID]]))</f>
        <v>1</v>
      </c>
      <c r="J644" s="59">
        <f>IF(COUNTIF(MASUK8[Kode Barang],REKAP[[#This Row],[ID]])=0,0,COUNTIF(MASUK8[Kode Barang],REKAP[[#This Row],[ID]]))</f>
        <v>1</v>
      </c>
      <c r="K644" s="60">
        <f>REKAP[[#This Row],[Trx In]]+REKAP[[#This Row],[Trx Out]]</f>
        <v>2</v>
      </c>
      <c r="L644" s="55">
        <v>1</v>
      </c>
      <c r="M644" s="74">
        <f>SUMIF(MASUK!$C:$C,REKAP[[#This Row],[ID]],MASUK!$H:$H)</f>
        <v>4</v>
      </c>
      <c r="N644" s="74">
        <f>SUMIF(KELUAR!$C:$C,REKAP[[#This Row],[ID]],KELUAR!$H:$H)</f>
        <v>4</v>
      </c>
      <c r="O644" s="74">
        <f>REKAP[[#This Row],[Stok Awal]]+REKAP[[#This Row],[Masuk]]-REKAP[[#This Row],[Keluar]]</f>
        <v>1</v>
      </c>
      <c r="P644" s="55">
        <v>1</v>
      </c>
      <c r="Q644" s="62">
        <f>REKAP[[#This Row],[Harga Satuan]]*REKAP[[#This Row],[Stok Akhir]]</f>
        <v>5398</v>
      </c>
      <c r="R644" s="61">
        <f>IF(REKAP[[#This Row],[Stok Aktual]]&lt;&gt;"",REKAP[[#This Row],[Stok Aktual]]-REKAP[[#This Row],[Stok Akhir]],0)</f>
        <v>0</v>
      </c>
      <c r="S644" s="132"/>
      <c r="T644" s="137">
        <f>IF(REKAP[[#This Row],[Selisih]]&lt;=-1,REKAP[[#This Row],[Harga Satuan]]*REKAP[[#This Row],[Selisih]],0)</f>
        <v>0</v>
      </c>
    </row>
    <row r="645" spans="1:20" x14ac:dyDescent="0.25">
      <c r="A645" s="55" t="s">
        <v>971</v>
      </c>
      <c r="B645" s="55" t="s">
        <v>859</v>
      </c>
      <c r="C645" s="55" t="s">
        <v>859</v>
      </c>
      <c r="D645" s="56" t="s">
        <v>1507</v>
      </c>
      <c r="E645" s="57"/>
      <c r="F645" s="75" t="s">
        <v>898</v>
      </c>
      <c r="G645" s="55"/>
      <c r="H645" s="58">
        <v>13000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22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22</v>
      </c>
      <c r="P645" s="55"/>
      <c r="Q645" s="62">
        <f>REKAP[[#This Row],[Harga Satuan]]*REKAP[[#This Row],[Stok Akhir]]</f>
        <v>286000</v>
      </c>
      <c r="R645" s="61">
        <f>IF(REKAP[[#This Row],[Stok Aktual]]&lt;&gt;"",REKAP[[#This Row],[Stok Aktual]]-REKAP[[#This Row],[Stok Akhir]],0)</f>
        <v>0</v>
      </c>
      <c r="S645" s="132"/>
      <c r="T645" s="137">
        <f>IF(REKAP[[#This Row],[Selisih]]&lt;=-1,REKAP[[#This Row],[Harga Satuan]]*REKAP[[#This Row],[Selisih]],0)</f>
        <v>0</v>
      </c>
    </row>
    <row r="646" spans="1:20" x14ac:dyDescent="0.25">
      <c r="A646" s="55" t="s">
        <v>972</v>
      </c>
      <c r="B646" s="55" t="s">
        <v>859</v>
      </c>
      <c r="C646" s="55" t="s">
        <v>859</v>
      </c>
      <c r="D646" s="56" t="s">
        <v>1508</v>
      </c>
      <c r="E646" s="57"/>
      <c r="F646" s="75" t="s">
        <v>898</v>
      </c>
      <c r="G646" s="55"/>
      <c r="H646" s="58">
        <v>5798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14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14</v>
      </c>
      <c r="P646" s="55"/>
      <c r="Q646" s="62">
        <f>REKAP[[#This Row],[Harga Satuan]]*REKAP[[#This Row],[Stok Akhir]]</f>
        <v>81172</v>
      </c>
      <c r="R646" s="61">
        <f>IF(REKAP[[#This Row],[Stok Aktual]]&lt;&gt;"",REKAP[[#This Row],[Stok Aktual]]-REKAP[[#This Row],[Stok Akhir]],0)</f>
        <v>0</v>
      </c>
      <c r="S646" s="132"/>
      <c r="T646" s="137">
        <f>IF(REKAP[[#This Row],[Selisih]]&lt;=-1,REKAP[[#This Row],[Harga Satuan]]*REKAP[[#This Row],[Selisih]],0)</f>
        <v>0</v>
      </c>
    </row>
    <row r="647" spans="1:20" x14ac:dyDescent="0.25">
      <c r="A647" s="55" t="s">
        <v>973</v>
      </c>
      <c r="B647" s="55" t="s">
        <v>859</v>
      </c>
      <c r="C647" s="55" t="s">
        <v>859</v>
      </c>
      <c r="D647" s="56" t="s">
        <v>1509</v>
      </c>
      <c r="E647" s="57"/>
      <c r="F647" s="75" t="s">
        <v>898</v>
      </c>
      <c r="G647" s="55"/>
      <c r="H647" s="58">
        <v>13000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2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2</v>
      </c>
      <c r="P647" s="55"/>
      <c r="Q647" s="62">
        <f>REKAP[[#This Row],[Harga Satuan]]*REKAP[[#This Row],[Stok Akhir]]</f>
        <v>26000</v>
      </c>
      <c r="R647" s="61">
        <f>IF(REKAP[[#This Row],[Stok Aktual]]&lt;&gt;"",REKAP[[#This Row],[Stok Aktual]]-REKAP[[#This Row],[Stok Akhir]],0)</f>
        <v>0</v>
      </c>
      <c r="S647" s="132"/>
      <c r="T647" s="137">
        <f>IF(REKAP[[#This Row],[Selisih]]&lt;=-1,REKAP[[#This Row],[Harga Satuan]]*REKAP[[#This Row],[Selisih]],0)</f>
        <v>0</v>
      </c>
    </row>
    <row r="648" spans="1:20" x14ac:dyDescent="0.25">
      <c r="A648" s="55" t="s">
        <v>974</v>
      </c>
      <c r="B648" s="55" t="s">
        <v>859</v>
      </c>
      <c r="C648" s="55" t="s">
        <v>859</v>
      </c>
      <c r="D648" s="56" t="s">
        <v>1510</v>
      </c>
      <c r="E648" s="57"/>
      <c r="F648" s="75" t="s">
        <v>898</v>
      </c>
      <c r="G648" s="55"/>
      <c r="H648" s="58">
        <v>13000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0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0</v>
      </c>
      <c r="P648" s="55"/>
      <c r="Q648" s="62">
        <f>REKAP[[#This Row],[Harga Satuan]]*REKAP[[#This Row],[Stok Akhir]]</f>
        <v>0</v>
      </c>
      <c r="R648" s="61">
        <f>IF(REKAP[[#This Row],[Stok Aktual]]&lt;&gt;"",REKAP[[#This Row],[Stok Aktual]]-REKAP[[#This Row],[Stok Akhir]],0)</f>
        <v>0</v>
      </c>
      <c r="S648" s="132"/>
      <c r="T648" s="137">
        <f>IF(REKAP[[#This Row],[Selisih]]&lt;=-1,REKAP[[#This Row],[Harga Satuan]]*REKAP[[#This Row],[Selisih]],0)</f>
        <v>0</v>
      </c>
    </row>
    <row r="649" spans="1:20" x14ac:dyDescent="0.25">
      <c r="A649" s="55" t="s">
        <v>975</v>
      </c>
      <c r="B649" s="55" t="s">
        <v>859</v>
      </c>
      <c r="C649" s="55" t="s">
        <v>859</v>
      </c>
      <c r="D649" s="56" t="s">
        <v>1511</v>
      </c>
      <c r="E649" s="57"/>
      <c r="F649" s="75" t="s">
        <v>898</v>
      </c>
      <c r="G649" s="55"/>
      <c r="H649" s="58">
        <v>13382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>
        <f>IF(REKAP[[#This Row],[Stok Aktual]]&lt;&gt;"",REKAP[[#This Row],[Stok Aktual]]-REKAP[[#This Row],[Stok Akhir]],0)</f>
        <v>0</v>
      </c>
      <c r="S649" s="132"/>
      <c r="T649" s="137">
        <f>IF(REKAP[[#This Row],[Selisih]]&lt;=-1,REKAP[[#This Row],[Harga Satuan]]*REKAP[[#This Row],[Selisih]],0)</f>
        <v>0</v>
      </c>
    </row>
    <row r="650" spans="1:20" x14ac:dyDescent="0.25">
      <c r="A650" s="55" t="s">
        <v>976</v>
      </c>
      <c r="B650" s="55" t="s">
        <v>859</v>
      </c>
      <c r="C650" s="55" t="s">
        <v>859</v>
      </c>
      <c r="D650" s="56" t="s">
        <v>1512</v>
      </c>
      <c r="E650" s="57"/>
      <c r="F650" s="75" t="s">
        <v>898</v>
      </c>
      <c r="G650" s="55"/>
      <c r="H650" s="58">
        <v>10000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44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44</v>
      </c>
      <c r="P650" s="55"/>
      <c r="Q650" s="62">
        <f>REKAP[[#This Row],[Harga Satuan]]*REKAP[[#This Row],[Stok Akhir]]</f>
        <v>440000</v>
      </c>
      <c r="R650" s="61">
        <f>IF(REKAP[[#This Row],[Stok Aktual]]&lt;&gt;"",REKAP[[#This Row],[Stok Aktual]]-REKAP[[#This Row],[Stok Akhir]],0)</f>
        <v>0</v>
      </c>
      <c r="S650" s="132"/>
      <c r="T650" s="137">
        <f>IF(REKAP[[#This Row],[Selisih]]&lt;=-1,REKAP[[#This Row],[Harga Satuan]]*REKAP[[#This Row],[Selisih]],0)</f>
        <v>0</v>
      </c>
    </row>
    <row r="651" spans="1:20" x14ac:dyDescent="0.25">
      <c r="A651" s="55" t="s">
        <v>977</v>
      </c>
      <c r="B651" s="55" t="s">
        <v>859</v>
      </c>
      <c r="C651" s="55" t="s">
        <v>859</v>
      </c>
      <c r="D651" s="56" t="s">
        <v>1513</v>
      </c>
      <c r="E651" s="57"/>
      <c r="F651" s="75" t="s">
        <v>898</v>
      </c>
      <c r="G651" s="55"/>
      <c r="H651" s="58">
        <v>10500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0</v>
      </c>
      <c r="K651" s="60">
        <f>REKAP[[#This Row],[Trx In]]+REKAP[[#This Row],[Trx Out]]</f>
        <v>0</v>
      </c>
      <c r="L651" s="55">
        <v>4</v>
      </c>
      <c r="M651" s="74">
        <f>SUMIF(MASUK!$C:$C,REKAP[[#This Row],[ID]],MASUK!$H:$H)</f>
        <v>0</v>
      </c>
      <c r="N651" s="74">
        <f>SUMIF(KELUAR!$C:$C,REKAP[[#This Row],[ID]],KELUAR!$H:$H)</f>
        <v>0</v>
      </c>
      <c r="O651" s="74">
        <f>REKAP[[#This Row],[Stok Awal]]+REKAP[[#This Row],[Masuk]]-REKAP[[#This Row],[Keluar]]</f>
        <v>4</v>
      </c>
      <c r="P651" s="55"/>
      <c r="Q651" s="62">
        <f>REKAP[[#This Row],[Harga Satuan]]*REKAP[[#This Row],[Stok Akhir]]</f>
        <v>42000</v>
      </c>
      <c r="R651" s="61">
        <f>IF(REKAP[[#This Row],[Stok Aktual]]&lt;&gt;"",REKAP[[#This Row],[Stok Aktual]]-REKAP[[#This Row],[Stok Akhir]],0)</f>
        <v>0</v>
      </c>
      <c r="S651" s="132"/>
      <c r="T651" s="137">
        <f>IF(REKAP[[#This Row],[Selisih]]&lt;=-1,REKAP[[#This Row],[Harga Satuan]]*REKAP[[#This Row],[Selisih]],0)</f>
        <v>0</v>
      </c>
    </row>
    <row r="652" spans="1:20" x14ac:dyDescent="0.25">
      <c r="A652" s="55" t="s">
        <v>978</v>
      </c>
      <c r="B652" s="55" t="s">
        <v>859</v>
      </c>
      <c r="C652" s="55" t="s">
        <v>859</v>
      </c>
      <c r="D652" s="56" t="s">
        <v>1514</v>
      </c>
      <c r="E652" s="57"/>
      <c r="F652" s="75" t="s">
        <v>898</v>
      </c>
      <c r="G652" s="55"/>
      <c r="H652" s="58">
        <v>7578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>
        <f>IF(REKAP[[#This Row],[Stok Aktual]]&lt;&gt;"",REKAP[[#This Row],[Stok Aktual]]-REKAP[[#This Row],[Stok Akhir]],0)</f>
        <v>0</v>
      </c>
      <c r="S652" s="132"/>
      <c r="T652" s="137">
        <f>IF(REKAP[[#This Row],[Selisih]]&lt;=-1,REKAP[[#This Row],[Harga Satuan]]*REKAP[[#This Row],[Selisih]],0)</f>
        <v>0</v>
      </c>
    </row>
    <row r="653" spans="1:20" x14ac:dyDescent="0.25">
      <c r="A653" s="55" t="s">
        <v>979</v>
      </c>
      <c r="B653" s="55" t="s">
        <v>859</v>
      </c>
      <c r="C653" s="55" t="s">
        <v>859</v>
      </c>
      <c r="D653" s="56" t="s">
        <v>1515</v>
      </c>
      <c r="E653" s="57"/>
      <c r="F653" s="75" t="s">
        <v>898</v>
      </c>
      <c r="G653" s="55"/>
      <c r="H653" s="58">
        <v>9000</v>
      </c>
      <c r="I653" s="59">
        <f>IF(COUNTIF(MASUK[Kode Barang],REKAP[[#This Row],[ID]])=0,0,COUNTIF(MASUK[Kode Barang],REKAP[[#This Row],[ID]]))</f>
        <v>1</v>
      </c>
      <c r="J653" s="59">
        <f>IF(COUNTIF(MASUK8[Kode Barang],REKAP[[#This Row],[ID]])=0,0,COUNTIF(MASUK8[Kode Barang],REKAP[[#This Row],[ID]]))</f>
        <v>1</v>
      </c>
      <c r="K653" s="60">
        <f>REKAP[[#This Row],[Trx In]]+REKAP[[#This Row],[Trx Out]]</f>
        <v>2</v>
      </c>
      <c r="L653" s="55">
        <v>1</v>
      </c>
      <c r="M653" s="74">
        <f>SUMIF(MASUK!$C:$C,REKAP[[#This Row],[ID]],MASUK!$H:$H)</f>
        <v>24</v>
      </c>
      <c r="N653" s="74">
        <f>SUMIF(KELUAR!$C:$C,REKAP[[#This Row],[ID]],KELUAR!$H:$H)</f>
        <v>24</v>
      </c>
      <c r="O653" s="74">
        <f>REKAP[[#This Row],[Stok Awal]]+REKAP[[#This Row],[Masuk]]-REKAP[[#This Row],[Keluar]]</f>
        <v>1</v>
      </c>
      <c r="P653" s="55">
        <v>1</v>
      </c>
      <c r="Q653" s="62">
        <f>REKAP[[#This Row],[Harga Satuan]]*REKAP[[#This Row],[Stok Akhir]]</f>
        <v>9000</v>
      </c>
      <c r="R653" s="61">
        <f>IF(REKAP[[#This Row],[Stok Aktual]]&lt;&gt;"",REKAP[[#This Row],[Stok Aktual]]-REKAP[[#This Row],[Stok Akhir]],0)</f>
        <v>0</v>
      </c>
      <c r="S653" s="132"/>
      <c r="T653" s="137">
        <f>IF(REKAP[[#This Row],[Selisih]]&lt;=-1,REKAP[[#This Row],[Harga Satuan]]*REKAP[[#This Row],[Selisih]],0)</f>
        <v>0</v>
      </c>
    </row>
    <row r="654" spans="1:20" x14ac:dyDescent="0.25">
      <c r="A654" s="55" t="s">
        <v>980</v>
      </c>
      <c r="B654" s="55" t="s">
        <v>859</v>
      </c>
      <c r="C654" s="55" t="s">
        <v>859</v>
      </c>
      <c r="D654" s="56" t="s">
        <v>1516</v>
      </c>
      <c r="E654" s="57"/>
      <c r="F654" s="75" t="s">
        <v>898</v>
      </c>
      <c r="G654" s="55"/>
      <c r="H654" s="58">
        <v>7905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11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11</v>
      </c>
      <c r="P654" s="55"/>
      <c r="Q654" s="62">
        <f>REKAP[[#This Row],[Harga Satuan]]*REKAP[[#This Row],[Stok Akhir]]</f>
        <v>86955</v>
      </c>
      <c r="R654" s="61">
        <f>IF(REKAP[[#This Row],[Stok Aktual]]&lt;&gt;"",REKAP[[#This Row],[Stok Aktual]]-REKAP[[#This Row],[Stok Akhir]],0)</f>
        <v>0</v>
      </c>
      <c r="S654" s="132"/>
      <c r="T654" s="137">
        <f>IF(REKAP[[#This Row],[Selisih]]&lt;=-1,REKAP[[#This Row],[Harga Satuan]]*REKAP[[#This Row],[Selisih]],0)</f>
        <v>0</v>
      </c>
    </row>
    <row r="655" spans="1:20" x14ac:dyDescent="0.25">
      <c r="A655" s="55" t="s">
        <v>981</v>
      </c>
      <c r="B655" s="55" t="s">
        <v>859</v>
      </c>
      <c r="C655" s="55" t="s">
        <v>859</v>
      </c>
      <c r="D655" s="56" t="s">
        <v>1517</v>
      </c>
      <c r="E655" s="57"/>
      <c r="F655" s="75" t="s">
        <v>898</v>
      </c>
      <c r="G655" s="55"/>
      <c r="H655" s="58">
        <v>7905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1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1</v>
      </c>
      <c r="P655" s="55"/>
      <c r="Q655" s="62">
        <f>REKAP[[#This Row],[Harga Satuan]]*REKAP[[#This Row],[Stok Akhir]]</f>
        <v>7905</v>
      </c>
      <c r="R655" s="61">
        <f>IF(REKAP[[#This Row],[Stok Aktual]]&lt;&gt;"",REKAP[[#This Row],[Stok Aktual]]-REKAP[[#This Row],[Stok Akhir]],0)</f>
        <v>0</v>
      </c>
      <c r="S655" s="132"/>
      <c r="T655" s="137">
        <f>IF(REKAP[[#This Row],[Selisih]]&lt;=-1,REKAP[[#This Row],[Harga Satuan]]*REKAP[[#This Row],[Selisih]],0)</f>
        <v>0</v>
      </c>
    </row>
    <row r="656" spans="1:20" x14ac:dyDescent="0.25">
      <c r="A656" s="55" t="s">
        <v>982</v>
      </c>
      <c r="B656" s="55" t="s">
        <v>859</v>
      </c>
      <c r="C656" s="55" t="s">
        <v>859</v>
      </c>
      <c r="D656" s="56" t="s">
        <v>1518</v>
      </c>
      <c r="E656" s="57"/>
      <c r="F656" s="75" t="s">
        <v>898</v>
      </c>
      <c r="G656" s="64"/>
      <c r="H656" s="58">
        <v>6455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3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3</v>
      </c>
      <c r="P656" s="55"/>
      <c r="Q656" s="62">
        <f>REKAP[[#This Row],[Harga Satuan]]*REKAP[[#This Row],[Stok Akhir]]</f>
        <v>19365</v>
      </c>
      <c r="R656" s="61">
        <f>IF(REKAP[[#This Row],[Stok Aktual]]&lt;&gt;"",REKAP[[#This Row],[Stok Aktual]]-REKAP[[#This Row],[Stok Akhir]],0)</f>
        <v>0</v>
      </c>
      <c r="S656" s="132"/>
      <c r="T656" s="137">
        <f>IF(REKAP[[#This Row],[Selisih]]&lt;=-1,REKAP[[#This Row],[Harga Satuan]]*REKAP[[#This Row],[Selisih]],0)</f>
        <v>0</v>
      </c>
    </row>
    <row r="657" spans="1:20" x14ac:dyDescent="0.25">
      <c r="A657" s="55" t="s">
        <v>983</v>
      </c>
      <c r="B657" s="55" t="s">
        <v>859</v>
      </c>
      <c r="C657" s="55" t="s">
        <v>859</v>
      </c>
      <c r="D657" s="56" t="s">
        <v>1519</v>
      </c>
      <c r="E657" s="57"/>
      <c r="F657" s="75" t="s">
        <v>898</v>
      </c>
      <c r="G657" s="64"/>
      <c r="H657" s="58">
        <v>9600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4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4</v>
      </c>
      <c r="P657" s="55"/>
      <c r="Q657" s="62">
        <f>REKAP[[#This Row],[Harga Satuan]]*REKAP[[#This Row],[Stok Akhir]]</f>
        <v>38400</v>
      </c>
      <c r="R657" s="61">
        <f>IF(REKAP[[#This Row],[Stok Aktual]]&lt;&gt;"",REKAP[[#This Row],[Stok Aktual]]-REKAP[[#This Row],[Stok Akhir]],0)</f>
        <v>0</v>
      </c>
      <c r="S657" s="132"/>
      <c r="T657" s="137">
        <f>IF(REKAP[[#This Row],[Selisih]]&lt;=-1,REKAP[[#This Row],[Harga Satuan]]*REKAP[[#This Row],[Selisih]],0)</f>
        <v>0</v>
      </c>
    </row>
    <row r="658" spans="1:20" x14ac:dyDescent="0.25">
      <c r="A658" s="55" t="s">
        <v>984</v>
      </c>
      <c r="B658" s="55" t="s">
        <v>859</v>
      </c>
      <c r="C658" s="55" t="s">
        <v>859</v>
      </c>
      <c r="D658" s="56" t="s">
        <v>1520</v>
      </c>
      <c r="E658" s="57"/>
      <c r="F658" s="75" t="s">
        <v>898</v>
      </c>
      <c r="G658" s="64"/>
      <c r="H658" s="58">
        <v>8622</v>
      </c>
      <c r="I658" s="59">
        <f>IF(COUNTIF(MASUK[Kode Barang],REKAP[[#This Row],[ID]])=0,0,COUNTIF(MASUK[Kode Barang],REKAP[[#This Row],[ID]]))</f>
        <v>1</v>
      </c>
      <c r="J658" s="59">
        <f>IF(COUNTIF(MASUK8[Kode Barang],REKAP[[#This Row],[ID]])=0,0,COUNTIF(MASUK8[Kode Barang],REKAP[[#This Row],[ID]]))</f>
        <v>1</v>
      </c>
      <c r="K658" s="60">
        <f>REKAP[[#This Row],[Trx In]]+REKAP[[#This Row],[Trx Out]]</f>
        <v>2</v>
      </c>
      <c r="L658" s="55">
        <v>1</v>
      </c>
      <c r="M658" s="74">
        <f>SUMIF(MASUK!$C:$C,REKAP[[#This Row],[ID]],MASUK!$H:$H)</f>
        <v>8</v>
      </c>
      <c r="N658" s="74">
        <f>SUMIF(KELUAR!$C:$C,REKAP[[#This Row],[ID]],KELUAR!$H:$H)</f>
        <v>8</v>
      </c>
      <c r="O658" s="74">
        <f>REKAP[[#This Row],[Stok Awal]]+REKAP[[#This Row],[Masuk]]-REKAP[[#This Row],[Keluar]]</f>
        <v>1</v>
      </c>
      <c r="P658" s="55">
        <v>1</v>
      </c>
      <c r="Q658" s="62">
        <f>REKAP[[#This Row],[Harga Satuan]]*REKAP[[#This Row],[Stok Akhir]]</f>
        <v>8622</v>
      </c>
      <c r="R658" s="61">
        <f>IF(REKAP[[#This Row],[Stok Aktual]]&lt;&gt;"",REKAP[[#This Row],[Stok Aktual]]-REKAP[[#This Row],[Stok Akhir]],0)</f>
        <v>0</v>
      </c>
      <c r="S658" s="132"/>
      <c r="T658" s="137">
        <f>IF(REKAP[[#This Row],[Selisih]]&lt;=-1,REKAP[[#This Row],[Harga Satuan]]*REKAP[[#This Row],[Selisih]],0)</f>
        <v>0</v>
      </c>
    </row>
    <row r="659" spans="1:20" x14ac:dyDescent="0.25">
      <c r="A659" s="55" t="s">
        <v>985</v>
      </c>
      <c r="B659" s="55" t="s">
        <v>859</v>
      </c>
      <c r="C659" s="55" t="s">
        <v>859</v>
      </c>
      <c r="D659" s="56" t="s">
        <v>1521</v>
      </c>
      <c r="E659" s="57"/>
      <c r="F659" s="75" t="s">
        <v>898</v>
      </c>
      <c r="G659" s="64"/>
      <c r="H659" s="58">
        <v>8622</v>
      </c>
      <c r="I659" s="59">
        <f>IF(COUNTIF(MASUK[Kode Barang],REKAP[[#This Row],[ID]])=0,0,COUNTIF(MASUK[Kode Barang],REKAP[[#This Row],[ID]]))</f>
        <v>1</v>
      </c>
      <c r="J659" s="59">
        <f>IF(COUNTIF(MASUK8[Kode Barang],REKAP[[#This Row],[ID]])=0,0,COUNTIF(MASUK8[Kode Barang],REKAP[[#This Row],[ID]]))</f>
        <v>1</v>
      </c>
      <c r="K659" s="60">
        <f>REKAP[[#This Row],[Trx In]]+REKAP[[#This Row],[Trx Out]]</f>
        <v>2</v>
      </c>
      <c r="L659" s="55">
        <v>0</v>
      </c>
      <c r="M659" s="74">
        <f>SUMIF(MASUK!$C:$C,REKAP[[#This Row],[ID]],MASUK!$H:$H)</f>
        <v>8</v>
      </c>
      <c r="N659" s="74">
        <f>SUMIF(KELUAR!$C:$C,REKAP[[#This Row],[ID]],KELUAR!$H:$H)</f>
        <v>8</v>
      </c>
      <c r="O659" s="74">
        <f>REKAP[[#This Row],[Stok Awal]]+REKAP[[#This Row],[Masuk]]-REKAP[[#This Row],[Keluar]]</f>
        <v>0</v>
      </c>
      <c r="P659" s="55">
        <v>0</v>
      </c>
      <c r="Q659" s="62">
        <f>REKAP[[#This Row],[Harga Satuan]]*REKAP[[#This Row],[Stok Akhir]]</f>
        <v>0</v>
      </c>
      <c r="R659" s="61">
        <f>IF(REKAP[[#This Row],[Stok Aktual]]&lt;&gt;"",REKAP[[#This Row],[Stok Aktual]]-REKAP[[#This Row],[Stok Akhir]],0)</f>
        <v>0</v>
      </c>
      <c r="S659" s="132"/>
      <c r="T659" s="137">
        <f>IF(REKAP[[#This Row],[Selisih]]&lt;=-1,REKAP[[#This Row],[Harga Satuan]]*REKAP[[#This Row],[Selisih]],0)</f>
        <v>0</v>
      </c>
    </row>
    <row r="660" spans="1:20" x14ac:dyDescent="0.25">
      <c r="A660" s="55" t="s">
        <v>986</v>
      </c>
      <c r="B660" s="55" t="s">
        <v>859</v>
      </c>
      <c r="C660" s="55" t="s">
        <v>859</v>
      </c>
      <c r="D660" s="56" t="s">
        <v>1522</v>
      </c>
      <c r="E660" s="57"/>
      <c r="F660" s="75" t="s">
        <v>898</v>
      </c>
      <c r="G660" s="64"/>
      <c r="H660" s="58">
        <v>8622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5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5</v>
      </c>
      <c r="P660" s="55"/>
      <c r="Q660" s="62">
        <f>REKAP[[#This Row],[Harga Satuan]]*REKAP[[#This Row],[Stok Akhir]]</f>
        <v>43110</v>
      </c>
      <c r="R660" s="61">
        <f>IF(REKAP[[#This Row],[Stok Aktual]]&lt;&gt;"",REKAP[[#This Row],[Stok Aktual]]-REKAP[[#This Row],[Stok Akhir]],0)</f>
        <v>0</v>
      </c>
      <c r="S660" s="132"/>
      <c r="T660" s="137">
        <f>IF(REKAP[[#This Row],[Selisih]]&lt;=-1,REKAP[[#This Row],[Harga Satuan]]*REKAP[[#This Row],[Selisih]],0)</f>
        <v>0</v>
      </c>
    </row>
    <row r="661" spans="1:20" x14ac:dyDescent="0.25">
      <c r="A661" s="55" t="s">
        <v>987</v>
      </c>
      <c r="B661" s="55" t="s">
        <v>859</v>
      </c>
      <c r="C661" s="55" t="s">
        <v>859</v>
      </c>
      <c r="D661" s="56" t="s">
        <v>1523</v>
      </c>
      <c r="E661" s="57"/>
      <c r="F661" s="75" t="s">
        <v>898</v>
      </c>
      <c r="G661" s="64"/>
      <c r="H661" s="58">
        <v>7905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1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7905</v>
      </c>
      <c r="R661" s="61">
        <f>IF(REKAP[[#This Row],[Stok Aktual]]&lt;&gt;"",REKAP[[#This Row],[Stok Aktual]]-REKAP[[#This Row],[Stok Akhir]],0)</f>
        <v>0</v>
      </c>
      <c r="S661" s="132"/>
      <c r="T661" s="137">
        <f>IF(REKAP[[#This Row],[Selisih]]&lt;=-1,REKAP[[#This Row],[Harga Satuan]]*REKAP[[#This Row],[Selisih]],0)</f>
        <v>0</v>
      </c>
    </row>
    <row r="662" spans="1:20" x14ac:dyDescent="0.25">
      <c r="A662" s="55" t="s">
        <v>988</v>
      </c>
      <c r="B662" s="55" t="s">
        <v>859</v>
      </c>
      <c r="C662" s="55" t="s">
        <v>859</v>
      </c>
      <c r="D662" s="56" t="s">
        <v>1524</v>
      </c>
      <c r="E662" s="57"/>
      <c r="F662" s="75" t="s">
        <v>898</v>
      </c>
      <c r="G662" s="64"/>
      <c r="H662" s="58">
        <v>12590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8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8</v>
      </c>
      <c r="P662" s="55"/>
      <c r="Q662" s="62">
        <f>REKAP[[#This Row],[Harga Satuan]]*REKAP[[#This Row],[Stok Akhir]]</f>
        <v>100720</v>
      </c>
      <c r="R662" s="61">
        <f>IF(REKAP[[#This Row],[Stok Aktual]]&lt;&gt;"",REKAP[[#This Row],[Stok Aktual]]-REKAP[[#This Row],[Stok Akhir]],0)</f>
        <v>0</v>
      </c>
      <c r="S662" s="132"/>
      <c r="T662" s="137">
        <f>IF(REKAP[[#This Row],[Selisih]]&lt;=-1,REKAP[[#This Row],[Harga Satuan]]*REKAP[[#This Row],[Selisih]],0)</f>
        <v>0</v>
      </c>
    </row>
    <row r="663" spans="1:20" x14ac:dyDescent="0.25">
      <c r="A663" s="55" t="s">
        <v>989</v>
      </c>
      <c r="B663" s="55" t="s">
        <v>859</v>
      </c>
      <c r="C663" s="55" t="s">
        <v>859</v>
      </c>
      <c r="D663" s="56" t="s">
        <v>1525</v>
      </c>
      <c r="E663" s="57"/>
      <c r="F663" s="75" t="s">
        <v>898</v>
      </c>
      <c r="G663" s="64"/>
      <c r="H663" s="58">
        <v>9383</v>
      </c>
      <c r="I663" s="59">
        <f>IF(COUNTIF(MASUK[Kode Barang],REKAP[[#This Row],[ID]])=0,0,COUNTIF(MASUK[Kode Barang],REKAP[[#This Row],[ID]]))</f>
        <v>1</v>
      </c>
      <c r="J663" s="59">
        <f>IF(COUNTIF(MASUK8[Kode Barang],REKAP[[#This Row],[ID]])=0,0,COUNTIF(MASUK8[Kode Barang],REKAP[[#This Row],[ID]]))</f>
        <v>1</v>
      </c>
      <c r="K663" s="60">
        <f>REKAP[[#This Row],[Trx In]]+REKAP[[#This Row],[Trx Out]]</f>
        <v>2</v>
      </c>
      <c r="L663" s="55">
        <v>7</v>
      </c>
      <c r="M663" s="74">
        <f>SUMIF(MASUK!$C:$C,REKAP[[#This Row],[ID]],MASUK!$H:$H)</f>
        <v>16</v>
      </c>
      <c r="N663" s="74">
        <f>SUMIF(KELUAR!$C:$C,REKAP[[#This Row],[ID]],KELUAR!$H:$H)</f>
        <v>16</v>
      </c>
      <c r="O663" s="74">
        <f>REKAP[[#This Row],[Stok Awal]]+REKAP[[#This Row],[Masuk]]-REKAP[[#This Row],[Keluar]]</f>
        <v>7</v>
      </c>
      <c r="P663" s="55">
        <v>7</v>
      </c>
      <c r="Q663" s="62">
        <f>REKAP[[#This Row],[Harga Satuan]]*REKAP[[#This Row],[Stok Akhir]]</f>
        <v>65681</v>
      </c>
      <c r="R663" s="61">
        <f>IF(REKAP[[#This Row],[Stok Aktual]]&lt;&gt;"",REKAP[[#This Row],[Stok Aktual]]-REKAP[[#This Row],[Stok Akhir]],0)</f>
        <v>0</v>
      </c>
      <c r="S663" s="132"/>
      <c r="T663" s="137">
        <f>IF(REKAP[[#This Row],[Selisih]]&lt;=-1,REKAP[[#This Row],[Harga Satuan]]*REKAP[[#This Row],[Selisih]],0)</f>
        <v>0</v>
      </c>
    </row>
    <row r="664" spans="1:20" x14ac:dyDescent="0.25">
      <c r="A664" s="55" t="s">
        <v>990</v>
      </c>
      <c r="B664" s="55" t="s">
        <v>859</v>
      </c>
      <c r="C664" s="55" t="s">
        <v>859</v>
      </c>
      <c r="D664" s="56" t="s">
        <v>1526</v>
      </c>
      <c r="E664" s="57"/>
      <c r="F664" s="75" t="s">
        <v>898</v>
      </c>
      <c r="G664" s="64"/>
      <c r="H664" s="58">
        <v>13963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2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2</v>
      </c>
      <c r="P664" s="55"/>
      <c r="Q664" s="62">
        <f>REKAP[[#This Row],[Harga Satuan]]*REKAP[[#This Row],[Stok Akhir]]</f>
        <v>27926</v>
      </c>
      <c r="R664" s="61">
        <f>IF(REKAP[[#This Row],[Stok Aktual]]&lt;&gt;"",REKAP[[#This Row],[Stok Aktual]]-REKAP[[#This Row],[Stok Akhir]],0)</f>
        <v>0</v>
      </c>
      <c r="S664" s="132"/>
      <c r="T664" s="137">
        <f>IF(REKAP[[#This Row],[Selisih]]&lt;=-1,REKAP[[#This Row],[Harga Satuan]]*REKAP[[#This Row],[Selisih]],0)</f>
        <v>0</v>
      </c>
    </row>
    <row r="665" spans="1:20" x14ac:dyDescent="0.25">
      <c r="A665" s="55" t="s">
        <v>991</v>
      </c>
      <c r="B665" s="55" t="s">
        <v>859</v>
      </c>
      <c r="C665" s="55" t="s">
        <v>859</v>
      </c>
      <c r="D665" s="56" t="s">
        <v>1527</v>
      </c>
      <c r="E665" s="57"/>
      <c r="F665" s="75" t="s">
        <v>898</v>
      </c>
      <c r="G665" s="64"/>
      <c r="H665" s="58">
        <v>13963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7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7</v>
      </c>
      <c r="P665" s="55"/>
      <c r="Q665" s="62">
        <f>REKAP[[#This Row],[Harga Satuan]]*REKAP[[#This Row],[Stok Akhir]]</f>
        <v>97741</v>
      </c>
      <c r="R665" s="61">
        <f>IF(REKAP[[#This Row],[Stok Aktual]]&lt;&gt;"",REKAP[[#This Row],[Stok Aktual]]-REKAP[[#This Row],[Stok Akhir]],0)</f>
        <v>0</v>
      </c>
      <c r="S665" s="132"/>
      <c r="T665" s="137">
        <f>IF(REKAP[[#This Row],[Selisih]]&lt;=-1,REKAP[[#This Row],[Harga Satuan]]*REKAP[[#This Row],[Selisih]],0)</f>
        <v>0</v>
      </c>
    </row>
    <row r="666" spans="1:20" x14ac:dyDescent="0.25">
      <c r="A666" s="55" t="s">
        <v>992</v>
      </c>
      <c r="B666" s="55" t="s">
        <v>859</v>
      </c>
      <c r="C666" s="55" t="s">
        <v>859</v>
      </c>
      <c r="D666" s="56" t="s">
        <v>1528</v>
      </c>
      <c r="E666" s="57"/>
      <c r="F666" s="75" t="s">
        <v>898</v>
      </c>
      <c r="G666" s="64"/>
      <c r="H666" s="58">
        <v>13963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>
        <f>IF(REKAP[[#This Row],[Stok Aktual]]&lt;&gt;"",REKAP[[#This Row],[Stok Aktual]]-REKAP[[#This Row],[Stok Akhir]],0)</f>
        <v>0</v>
      </c>
      <c r="S666" s="132"/>
      <c r="T666" s="137">
        <f>IF(REKAP[[#This Row],[Selisih]]&lt;=-1,REKAP[[#This Row],[Harga Satuan]]*REKAP[[#This Row],[Selisih]],0)</f>
        <v>0</v>
      </c>
    </row>
    <row r="667" spans="1:20" x14ac:dyDescent="0.25">
      <c r="A667" s="55" t="s">
        <v>993</v>
      </c>
      <c r="B667" s="55" t="s">
        <v>859</v>
      </c>
      <c r="C667" s="55" t="s">
        <v>859</v>
      </c>
      <c r="D667" s="56" t="s">
        <v>1529</v>
      </c>
      <c r="E667" s="57"/>
      <c r="F667" s="75" t="s">
        <v>898</v>
      </c>
      <c r="G667" s="64"/>
      <c r="H667" s="58">
        <v>10713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>
        <f>IF(REKAP[[#This Row],[Stok Aktual]]&lt;&gt;"",REKAP[[#This Row],[Stok Aktual]]-REKAP[[#This Row],[Stok Akhir]],0)</f>
        <v>0</v>
      </c>
      <c r="S667" s="132"/>
      <c r="T667" s="137">
        <f>IF(REKAP[[#This Row],[Selisih]]&lt;=-1,REKAP[[#This Row],[Harga Satuan]]*REKAP[[#This Row],[Selisih]],0)</f>
        <v>0</v>
      </c>
    </row>
    <row r="668" spans="1:20" x14ac:dyDescent="0.25">
      <c r="A668" s="55" t="s">
        <v>994</v>
      </c>
      <c r="B668" s="55" t="s">
        <v>859</v>
      </c>
      <c r="C668" s="55" t="s">
        <v>859</v>
      </c>
      <c r="D668" s="56" t="s">
        <v>1530</v>
      </c>
      <c r="E668" s="57"/>
      <c r="F668" s="75" t="s">
        <v>898</v>
      </c>
      <c r="G668" s="64"/>
      <c r="H668" s="58">
        <v>12000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1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1</v>
      </c>
      <c r="P668" s="55"/>
      <c r="Q668" s="62">
        <f>REKAP[[#This Row],[Harga Satuan]]*REKAP[[#This Row],[Stok Akhir]]</f>
        <v>12000</v>
      </c>
      <c r="R668" s="61">
        <f>IF(REKAP[[#This Row],[Stok Aktual]]&lt;&gt;"",REKAP[[#This Row],[Stok Aktual]]-REKAP[[#This Row],[Stok Akhir]],0)</f>
        <v>0</v>
      </c>
      <c r="S668" s="132"/>
      <c r="T668" s="137">
        <f>IF(REKAP[[#This Row],[Selisih]]&lt;=-1,REKAP[[#This Row],[Harga Satuan]]*REKAP[[#This Row],[Selisih]],0)</f>
        <v>0</v>
      </c>
    </row>
    <row r="669" spans="1:20" x14ac:dyDescent="0.25">
      <c r="A669" s="55" t="s">
        <v>995</v>
      </c>
      <c r="B669" s="55" t="s">
        <v>859</v>
      </c>
      <c r="C669" s="55" t="s">
        <v>859</v>
      </c>
      <c r="D669" s="56" t="s">
        <v>1531</v>
      </c>
      <c r="E669" s="57"/>
      <c r="F669" s="75" t="s">
        <v>898</v>
      </c>
      <c r="G669" s="64"/>
      <c r="H669" s="58">
        <v>11564</v>
      </c>
      <c r="I669" s="59">
        <f>IF(COUNTIF(MASUK[Kode Barang],REKAP[[#This Row],[ID]])=0,0,COUNTIF(MASUK[Kode Barang],REKAP[[#This Row],[ID]]))</f>
        <v>1</v>
      </c>
      <c r="J669" s="59">
        <f>IF(COUNTIF(MASUK8[Kode Barang],REKAP[[#This Row],[ID]])=0,0,COUNTIF(MASUK8[Kode Barang],REKAP[[#This Row],[ID]]))</f>
        <v>1</v>
      </c>
      <c r="K669" s="60">
        <f>REKAP[[#This Row],[Trx In]]+REKAP[[#This Row],[Trx Out]]</f>
        <v>2</v>
      </c>
      <c r="L669" s="55">
        <v>0</v>
      </c>
      <c r="M669" s="74">
        <f>SUMIF(MASUK!$C:$C,REKAP[[#This Row],[ID]],MASUK!$H:$H)</f>
        <v>16</v>
      </c>
      <c r="N669" s="74">
        <f>SUMIF(KELUAR!$C:$C,REKAP[[#This Row],[ID]],KELUAR!$H:$H)</f>
        <v>16</v>
      </c>
      <c r="O669" s="74">
        <f>REKAP[[#This Row],[Stok Awal]]+REKAP[[#This Row],[Masuk]]-REKAP[[#This Row],[Keluar]]</f>
        <v>0</v>
      </c>
      <c r="P669" s="55">
        <v>0</v>
      </c>
      <c r="Q669" s="62">
        <f>REKAP[[#This Row],[Harga Satuan]]*REKAP[[#This Row],[Stok Akhir]]</f>
        <v>0</v>
      </c>
      <c r="R669" s="61">
        <f>IF(REKAP[[#This Row],[Stok Aktual]]&lt;&gt;"",REKAP[[#This Row],[Stok Aktual]]-REKAP[[#This Row],[Stok Akhir]],0)</f>
        <v>0</v>
      </c>
      <c r="S669" s="132"/>
      <c r="T669" s="137">
        <f>IF(REKAP[[#This Row],[Selisih]]&lt;=-1,REKAP[[#This Row],[Harga Satuan]]*REKAP[[#This Row],[Selisih]],0)</f>
        <v>0</v>
      </c>
    </row>
    <row r="670" spans="1:20" x14ac:dyDescent="0.25">
      <c r="A670" s="55" t="s">
        <v>996</v>
      </c>
      <c r="B670" s="55" t="s">
        <v>859</v>
      </c>
      <c r="C670" s="55" t="s">
        <v>859</v>
      </c>
      <c r="D670" s="56" t="s">
        <v>1532</v>
      </c>
      <c r="E670" s="57"/>
      <c r="F670" s="75" t="s">
        <v>898</v>
      </c>
      <c r="G670" s="64"/>
      <c r="H670" s="58">
        <v>13000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4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4</v>
      </c>
      <c r="P670" s="55"/>
      <c r="Q670" s="62">
        <f>REKAP[[#This Row],[Harga Satuan]]*REKAP[[#This Row],[Stok Akhir]]</f>
        <v>52000</v>
      </c>
      <c r="R670" s="61">
        <f>IF(REKAP[[#This Row],[Stok Aktual]]&lt;&gt;"",REKAP[[#This Row],[Stok Aktual]]-REKAP[[#This Row],[Stok Akhir]],0)</f>
        <v>0</v>
      </c>
      <c r="S670" s="132"/>
      <c r="T670" s="137">
        <f>IF(REKAP[[#This Row],[Selisih]]&lt;=-1,REKAP[[#This Row],[Harga Satuan]]*REKAP[[#This Row],[Selisih]],0)</f>
        <v>0</v>
      </c>
    </row>
    <row r="671" spans="1:20" x14ac:dyDescent="0.25">
      <c r="A671" s="55" t="s">
        <v>997</v>
      </c>
      <c r="B671" s="55" t="s">
        <v>859</v>
      </c>
      <c r="C671" s="55" t="s">
        <v>859</v>
      </c>
      <c r="D671" s="56" t="s">
        <v>1533</v>
      </c>
      <c r="E671" s="57"/>
      <c r="F671" s="75" t="s">
        <v>898</v>
      </c>
      <c r="G671" s="64"/>
      <c r="H671" s="58">
        <v>13000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3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3</v>
      </c>
      <c r="P671" s="55"/>
      <c r="Q671" s="62">
        <f>REKAP[[#This Row],[Harga Satuan]]*REKAP[[#This Row],[Stok Akhir]]</f>
        <v>39000</v>
      </c>
      <c r="R671" s="61">
        <f>IF(REKAP[[#This Row],[Stok Aktual]]&lt;&gt;"",REKAP[[#This Row],[Stok Aktual]]-REKAP[[#This Row],[Stok Akhir]],0)</f>
        <v>0</v>
      </c>
      <c r="S671" s="132"/>
      <c r="T671" s="137">
        <f>IF(REKAP[[#This Row],[Selisih]]&lt;=-1,REKAP[[#This Row],[Harga Satuan]]*REKAP[[#This Row],[Selisih]],0)</f>
        <v>0</v>
      </c>
    </row>
    <row r="672" spans="1:20" x14ac:dyDescent="0.25">
      <c r="A672" s="55" t="s">
        <v>998</v>
      </c>
      <c r="B672" s="55" t="s">
        <v>859</v>
      </c>
      <c r="C672" s="55" t="s">
        <v>859</v>
      </c>
      <c r="D672" s="56" t="s">
        <v>1534</v>
      </c>
      <c r="E672" s="57"/>
      <c r="F672" s="75" t="s">
        <v>898</v>
      </c>
      <c r="G672" s="64"/>
      <c r="H672" s="58">
        <v>13500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11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11</v>
      </c>
      <c r="P672" s="55"/>
      <c r="Q672" s="62">
        <f>REKAP[[#This Row],[Harga Satuan]]*REKAP[[#This Row],[Stok Akhir]]</f>
        <v>148500</v>
      </c>
      <c r="R672" s="61">
        <f>IF(REKAP[[#This Row],[Stok Aktual]]&lt;&gt;"",REKAP[[#This Row],[Stok Aktual]]-REKAP[[#This Row],[Stok Akhir]],0)</f>
        <v>0</v>
      </c>
      <c r="S672" s="132"/>
      <c r="T672" s="137">
        <f>IF(REKAP[[#This Row],[Selisih]]&lt;=-1,REKAP[[#This Row],[Harga Satuan]]*REKAP[[#This Row],[Selisih]],0)</f>
        <v>0</v>
      </c>
    </row>
    <row r="673" spans="1:20" x14ac:dyDescent="0.25">
      <c r="A673" s="55" t="s">
        <v>999</v>
      </c>
      <c r="B673" s="55" t="s">
        <v>859</v>
      </c>
      <c r="C673" s="55" t="s">
        <v>859</v>
      </c>
      <c r="D673" s="56" t="s">
        <v>1535</v>
      </c>
      <c r="E673" s="57"/>
      <c r="F673" s="75" t="s">
        <v>898</v>
      </c>
      <c r="G673" s="64"/>
      <c r="H673" s="58">
        <v>19500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4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4</v>
      </c>
      <c r="P673" s="55"/>
      <c r="Q673" s="62">
        <f>REKAP[[#This Row],[Harga Satuan]]*REKAP[[#This Row],[Stok Akhir]]</f>
        <v>78000</v>
      </c>
      <c r="R673" s="61">
        <f>IF(REKAP[[#This Row],[Stok Aktual]]&lt;&gt;"",REKAP[[#This Row],[Stok Aktual]]-REKAP[[#This Row],[Stok Akhir]],0)</f>
        <v>0</v>
      </c>
      <c r="S673" s="132"/>
      <c r="T673" s="137">
        <f>IF(REKAP[[#This Row],[Selisih]]&lt;=-1,REKAP[[#This Row],[Harga Satuan]]*REKAP[[#This Row],[Selisih]],0)</f>
        <v>0</v>
      </c>
    </row>
    <row r="674" spans="1:20" x14ac:dyDescent="0.25">
      <c r="A674" s="55" t="s">
        <v>1000</v>
      </c>
      <c r="B674" s="55" t="s">
        <v>859</v>
      </c>
      <c r="C674" s="55" t="s">
        <v>859</v>
      </c>
      <c r="D674" s="56" t="s">
        <v>1536</v>
      </c>
      <c r="E674" s="57"/>
      <c r="F674" s="75" t="s">
        <v>898</v>
      </c>
      <c r="G674" s="64"/>
      <c r="H674" s="58">
        <v>13688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>
        <f>IF(REKAP[[#This Row],[Stok Aktual]]&lt;&gt;"",REKAP[[#This Row],[Stok Aktual]]-REKAP[[#This Row],[Stok Akhir]],0)</f>
        <v>0</v>
      </c>
      <c r="S674" s="132"/>
      <c r="T674" s="137">
        <f>IF(REKAP[[#This Row],[Selisih]]&lt;=-1,REKAP[[#This Row],[Harga Satuan]]*REKAP[[#This Row],[Selisih]],0)</f>
        <v>0</v>
      </c>
    </row>
    <row r="675" spans="1:20" x14ac:dyDescent="0.25">
      <c r="A675" s="55" t="s">
        <v>1001</v>
      </c>
      <c r="B675" s="55" t="s">
        <v>859</v>
      </c>
      <c r="C675" s="55" t="s">
        <v>859</v>
      </c>
      <c r="D675" s="56" t="s">
        <v>1537</v>
      </c>
      <c r="E675" s="57"/>
      <c r="F675" s="75" t="s">
        <v>898</v>
      </c>
      <c r="G675" s="64"/>
      <c r="H675" s="58">
        <v>19500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2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2</v>
      </c>
      <c r="P675" s="55"/>
      <c r="Q675" s="62">
        <f>REKAP[[#This Row],[Harga Satuan]]*REKAP[[#This Row],[Stok Akhir]]</f>
        <v>39000</v>
      </c>
      <c r="R675" s="61">
        <f>IF(REKAP[[#This Row],[Stok Aktual]]&lt;&gt;"",REKAP[[#This Row],[Stok Aktual]]-REKAP[[#This Row],[Stok Akhir]],0)</f>
        <v>0</v>
      </c>
      <c r="S675" s="132"/>
      <c r="T675" s="137">
        <f>IF(REKAP[[#This Row],[Selisih]]&lt;=-1,REKAP[[#This Row],[Harga Satuan]]*REKAP[[#This Row],[Selisih]],0)</f>
        <v>0</v>
      </c>
    </row>
    <row r="676" spans="1:20" x14ac:dyDescent="0.25">
      <c r="A676" s="55" t="s">
        <v>1002</v>
      </c>
      <c r="B676" s="55" t="s">
        <v>859</v>
      </c>
      <c r="C676" s="55" t="s">
        <v>859</v>
      </c>
      <c r="D676" s="56" t="s">
        <v>1538</v>
      </c>
      <c r="E676" s="57"/>
      <c r="F676" s="75" t="s">
        <v>898</v>
      </c>
      <c r="G676" s="64"/>
      <c r="H676" s="58">
        <v>13500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>
        <f>IF(REKAP[[#This Row],[Stok Aktual]]&lt;&gt;"",REKAP[[#This Row],[Stok Aktual]]-REKAP[[#This Row],[Stok Akhir]],0)</f>
        <v>0</v>
      </c>
      <c r="S676" s="132"/>
      <c r="T676" s="137">
        <f>IF(REKAP[[#This Row],[Selisih]]&lt;=-1,REKAP[[#This Row],[Harga Satuan]]*REKAP[[#This Row],[Selisih]],0)</f>
        <v>0</v>
      </c>
    </row>
    <row r="677" spans="1:20" x14ac:dyDescent="0.25">
      <c r="A677" s="55" t="s">
        <v>1003</v>
      </c>
      <c r="B677" s="55" t="s">
        <v>859</v>
      </c>
      <c r="C677" s="55" t="s">
        <v>859</v>
      </c>
      <c r="D677" s="56" t="s">
        <v>1539</v>
      </c>
      <c r="E677" s="57"/>
      <c r="F677" s="75" t="s">
        <v>898</v>
      </c>
      <c r="G677" s="64"/>
      <c r="H677" s="58">
        <v>12549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>
        <f>IF(REKAP[[#This Row],[Stok Aktual]]&lt;&gt;"",REKAP[[#This Row],[Stok Aktual]]-REKAP[[#This Row],[Stok Akhir]],0)</f>
        <v>0</v>
      </c>
      <c r="S677" s="132"/>
      <c r="T677" s="137">
        <f>IF(REKAP[[#This Row],[Selisih]]&lt;=-1,REKAP[[#This Row],[Harga Satuan]]*REKAP[[#This Row],[Selisih]],0)</f>
        <v>0</v>
      </c>
    </row>
    <row r="678" spans="1:20" x14ac:dyDescent="0.25">
      <c r="A678" s="55" t="s">
        <v>1004</v>
      </c>
      <c r="B678" s="55" t="s">
        <v>859</v>
      </c>
      <c r="C678" s="55" t="s">
        <v>859</v>
      </c>
      <c r="D678" s="56" t="s">
        <v>1540</v>
      </c>
      <c r="E678" s="57"/>
      <c r="F678" s="75" t="s">
        <v>898</v>
      </c>
      <c r="G678" s="64"/>
      <c r="H678" s="58">
        <v>17000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4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4</v>
      </c>
      <c r="P678" s="55"/>
      <c r="Q678" s="62">
        <f>REKAP[[#This Row],[Harga Satuan]]*REKAP[[#This Row],[Stok Akhir]]</f>
        <v>68000</v>
      </c>
      <c r="R678" s="61">
        <f>IF(REKAP[[#This Row],[Stok Aktual]]&lt;&gt;"",REKAP[[#This Row],[Stok Aktual]]-REKAP[[#This Row],[Stok Akhir]],0)</f>
        <v>0</v>
      </c>
      <c r="S678" s="132"/>
      <c r="T678" s="137">
        <f>IF(REKAP[[#This Row],[Selisih]]&lt;=-1,REKAP[[#This Row],[Harga Satuan]]*REKAP[[#This Row],[Selisih]],0)</f>
        <v>0</v>
      </c>
    </row>
    <row r="679" spans="1:20" x14ac:dyDescent="0.25">
      <c r="A679" s="55" t="s">
        <v>1005</v>
      </c>
      <c r="B679" s="55" t="s">
        <v>859</v>
      </c>
      <c r="C679" s="55" t="s">
        <v>859</v>
      </c>
      <c r="D679" s="56" t="s">
        <v>1541</v>
      </c>
      <c r="E679" s="57"/>
      <c r="F679" s="75" t="s">
        <v>898</v>
      </c>
      <c r="G679" s="64"/>
      <c r="H679" s="58"/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14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14</v>
      </c>
      <c r="P679" s="55"/>
      <c r="Q679" s="62">
        <f>REKAP[[#This Row],[Harga Satuan]]*REKAP[[#This Row],[Stok Akhir]]</f>
        <v>0</v>
      </c>
      <c r="R679" s="61">
        <f>IF(REKAP[[#This Row],[Stok Aktual]]&lt;&gt;"",REKAP[[#This Row],[Stok Aktual]]-REKAP[[#This Row],[Stok Akhir]],0)</f>
        <v>0</v>
      </c>
      <c r="S679" s="132"/>
      <c r="T679" s="137">
        <f>IF(REKAP[[#This Row],[Selisih]]&lt;=-1,REKAP[[#This Row],[Harga Satuan]]*REKAP[[#This Row],[Selisih]],0)</f>
        <v>0</v>
      </c>
    </row>
    <row r="680" spans="1:20" x14ac:dyDescent="0.25">
      <c r="A680" s="55" t="s">
        <v>1006</v>
      </c>
      <c r="B680" s="55" t="s">
        <v>860</v>
      </c>
      <c r="C680" s="55" t="s">
        <v>860</v>
      </c>
      <c r="D680" s="56" t="s">
        <v>1542</v>
      </c>
      <c r="E680" s="57"/>
      <c r="F680" s="75" t="s">
        <v>898</v>
      </c>
      <c r="G680" s="64"/>
      <c r="H680" s="58">
        <v>98627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4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4</v>
      </c>
      <c r="P680" s="55"/>
      <c r="Q680" s="62">
        <f>REKAP[[#This Row],[Harga Satuan]]*REKAP[[#This Row],[Stok Akhir]]</f>
        <v>394508</v>
      </c>
      <c r="R680" s="61">
        <f>IF(REKAP[[#This Row],[Stok Aktual]]&lt;&gt;"",REKAP[[#This Row],[Stok Aktual]]-REKAP[[#This Row],[Stok Akhir]],0)</f>
        <v>0</v>
      </c>
      <c r="S680" s="132"/>
      <c r="T680" s="137">
        <f>IF(REKAP[[#This Row],[Selisih]]&lt;=-1,REKAP[[#This Row],[Harga Satuan]]*REKAP[[#This Row],[Selisih]],0)</f>
        <v>0</v>
      </c>
    </row>
    <row r="681" spans="1:20" x14ac:dyDescent="0.25">
      <c r="A681" s="55" t="s">
        <v>1007</v>
      </c>
      <c r="B681" s="55" t="s">
        <v>860</v>
      </c>
      <c r="C681" s="55" t="s">
        <v>860</v>
      </c>
      <c r="D681" s="56" t="s">
        <v>1543</v>
      </c>
      <c r="E681" s="57"/>
      <c r="F681" s="75" t="s">
        <v>898</v>
      </c>
      <c r="G681" s="64"/>
      <c r="H681" s="58">
        <v>160000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>
        <f>IF(REKAP[[#This Row],[Stok Aktual]]&lt;&gt;"",REKAP[[#This Row],[Stok Aktual]]-REKAP[[#This Row],[Stok Akhir]],0)</f>
        <v>0</v>
      </c>
      <c r="S681" s="132"/>
      <c r="T681" s="137">
        <f>IF(REKAP[[#This Row],[Selisih]]&lt;=-1,REKAP[[#This Row],[Harga Satuan]]*REKAP[[#This Row],[Selisih]],0)</f>
        <v>0</v>
      </c>
    </row>
    <row r="682" spans="1:20" x14ac:dyDescent="0.25">
      <c r="A682" s="55" t="s">
        <v>1008</v>
      </c>
      <c r="B682" s="55" t="s">
        <v>860</v>
      </c>
      <c r="C682" s="55" t="s">
        <v>860</v>
      </c>
      <c r="D682" s="56" t="s">
        <v>1544</v>
      </c>
      <c r="E682" s="57"/>
      <c r="F682" s="75" t="s">
        <v>898</v>
      </c>
      <c r="G682" s="64"/>
      <c r="H682" s="58">
        <v>279735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24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24</v>
      </c>
      <c r="P682" s="55"/>
      <c r="Q682" s="62">
        <f>REKAP[[#This Row],[Harga Satuan]]*REKAP[[#This Row],[Stok Akhir]]</f>
        <v>6713640</v>
      </c>
      <c r="R682" s="61">
        <f>IF(REKAP[[#This Row],[Stok Aktual]]&lt;&gt;"",REKAP[[#This Row],[Stok Aktual]]-REKAP[[#This Row],[Stok Akhir]],0)</f>
        <v>0</v>
      </c>
      <c r="S682" s="132"/>
      <c r="T682" s="137">
        <f>IF(REKAP[[#This Row],[Selisih]]&lt;=-1,REKAP[[#This Row],[Harga Satuan]]*REKAP[[#This Row],[Selisih]],0)</f>
        <v>0</v>
      </c>
    </row>
    <row r="683" spans="1:20" x14ac:dyDescent="0.25">
      <c r="A683" s="55" t="s">
        <v>1009</v>
      </c>
      <c r="B683" s="55" t="s">
        <v>861</v>
      </c>
      <c r="C683" s="55" t="s">
        <v>861</v>
      </c>
      <c r="D683" s="56" t="s">
        <v>1545</v>
      </c>
      <c r="E683" s="57"/>
      <c r="F683" s="75" t="s">
        <v>898</v>
      </c>
      <c r="G683" s="64"/>
      <c r="H683" s="58">
        <v>6463</v>
      </c>
      <c r="I683" s="59">
        <f>IF(COUNTIF(MASUK[Kode Barang],REKAP[[#This Row],[ID]])=0,0,COUNTIF(MASUK[Kode Barang],REKAP[[#This Row],[ID]]))</f>
        <v>1</v>
      </c>
      <c r="J683" s="59">
        <f>IF(COUNTIF(MASUK8[Kode Barang],REKAP[[#This Row],[ID]])=0,0,COUNTIF(MASUK8[Kode Barang],REKAP[[#This Row],[ID]]))</f>
        <v>1</v>
      </c>
      <c r="K683" s="60">
        <f>REKAP[[#This Row],[Trx In]]+REKAP[[#This Row],[Trx Out]]</f>
        <v>2</v>
      </c>
      <c r="L683" s="55">
        <v>0</v>
      </c>
      <c r="M683" s="74">
        <f>SUMIF(MASUK!$C:$C,REKAP[[#This Row],[ID]],MASUK!$H:$H)</f>
        <v>6</v>
      </c>
      <c r="N683" s="74">
        <f>SUMIF(KELUAR!$C:$C,REKAP[[#This Row],[ID]],KELUAR!$H:$H)</f>
        <v>6</v>
      </c>
      <c r="O683" s="74">
        <f>REKAP[[#This Row],[Stok Awal]]+REKAP[[#This Row],[Masuk]]-REKAP[[#This Row],[Keluar]]</f>
        <v>0</v>
      </c>
      <c r="P683" s="55">
        <v>0</v>
      </c>
      <c r="Q683" s="62">
        <f>REKAP[[#This Row],[Harga Satuan]]*REKAP[[#This Row],[Stok Akhir]]</f>
        <v>0</v>
      </c>
      <c r="R683" s="61">
        <f>IF(REKAP[[#This Row],[Stok Aktual]]&lt;&gt;"",REKAP[[#This Row],[Stok Aktual]]-REKAP[[#This Row],[Stok Akhir]],0)</f>
        <v>0</v>
      </c>
      <c r="S683" s="132"/>
      <c r="T683" s="137">
        <f>IF(REKAP[[#This Row],[Selisih]]&lt;=-1,REKAP[[#This Row],[Harga Satuan]]*REKAP[[#This Row],[Selisih]],0)</f>
        <v>0</v>
      </c>
    </row>
    <row r="684" spans="1:20" x14ac:dyDescent="0.25">
      <c r="A684" s="55" t="s">
        <v>1010</v>
      </c>
      <c r="B684" s="55" t="s">
        <v>861</v>
      </c>
      <c r="C684" s="55" t="s">
        <v>861</v>
      </c>
      <c r="D684" s="56" t="s">
        <v>1546</v>
      </c>
      <c r="E684" s="57"/>
      <c r="F684" s="75" t="s">
        <v>898</v>
      </c>
      <c r="G684" s="64"/>
      <c r="H684" s="58">
        <v>7380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>
        <f>IF(REKAP[[#This Row],[Stok Aktual]]&lt;&gt;"",REKAP[[#This Row],[Stok Aktual]]-REKAP[[#This Row],[Stok Akhir]],0)</f>
        <v>0</v>
      </c>
      <c r="S684" s="132"/>
      <c r="T684" s="137">
        <f>IF(REKAP[[#This Row],[Selisih]]&lt;=-1,REKAP[[#This Row],[Harga Satuan]]*REKAP[[#This Row],[Selisih]],0)</f>
        <v>0</v>
      </c>
    </row>
    <row r="685" spans="1:20" x14ac:dyDescent="0.25">
      <c r="A685" s="55" t="s">
        <v>1011</v>
      </c>
      <c r="B685" s="55" t="s">
        <v>861</v>
      </c>
      <c r="C685" s="55" t="s">
        <v>861</v>
      </c>
      <c r="D685" s="56" t="s">
        <v>1547</v>
      </c>
      <c r="E685" s="57"/>
      <c r="F685" s="75" t="s">
        <v>898</v>
      </c>
      <c r="G685" s="64"/>
      <c r="H685" s="58">
        <v>7380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0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0</v>
      </c>
      <c r="P685" s="55"/>
      <c r="Q685" s="62">
        <f>REKAP[[#This Row],[Harga Satuan]]*REKAP[[#This Row],[Stok Akhir]]</f>
        <v>0</v>
      </c>
      <c r="R685" s="61">
        <f>IF(REKAP[[#This Row],[Stok Aktual]]&lt;&gt;"",REKAP[[#This Row],[Stok Aktual]]-REKAP[[#This Row],[Stok Akhir]],0)</f>
        <v>0</v>
      </c>
      <c r="S685" s="132"/>
      <c r="T685" s="137">
        <f>IF(REKAP[[#This Row],[Selisih]]&lt;=-1,REKAP[[#This Row],[Harga Satuan]]*REKAP[[#This Row],[Selisih]],0)</f>
        <v>0</v>
      </c>
    </row>
    <row r="686" spans="1:20" x14ac:dyDescent="0.25">
      <c r="A686" s="55" t="s">
        <v>1012</v>
      </c>
      <c r="B686" s="55" t="s">
        <v>861</v>
      </c>
      <c r="C686" s="55" t="s">
        <v>861</v>
      </c>
      <c r="D686" s="56" t="s">
        <v>1548</v>
      </c>
      <c r="E686" s="57"/>
      <c r="F686" s="75" t="s">
        <v>898</v>
      </c>
      <c r="G686" s="64"/>
      <c r="H686" s="58">
        <v>7380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>
        <f>IF(REKAP[[#This Row],[Stok Aktual]]&lt;&gt;"",REKAP[[#This Row],[Stok Aktual]]-REKAP[[#This Row],[Stok Akhir]],0)</f>
        <v>0</v>
      </c>
      <c r="S686" s="132"/>
      <c r="T686" s="137">
        <f>IF(REKAP[[#This Row],[Selisih]]&lt;=-1,REKAP[[#This Row],[Harga Satuan]]*REKAP[[#This Row],[Selisih]],0)</f>
        <v>0</v>
      </c>
    </row>
    <row r="687" spans="1:20" x14ac:dyDescent="0.25">
      <c r="A687" s="55" t="s">
        <v>1013</v>
      </c>
      <c r="B687" s="55" t="s">
        <v>861</v>
      </c>
      <c r="C687" s="55" t="s">
        <v>861</v>
      </c>
      <c r="D687" s="56" t="s">
        <v>1549</v>
      </c>
      <c r="E687" s="57"/>
      <c r="F687" s="75" t="s">
        <v>898</v>
      </c>
      <c r="G687" s="64"/>
      <c r="H687" s="58">
        <v>9600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12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12</v>
      </c>
      <c r="P687" s="55"/>
      <c r="Q687" s="62">
        <f>REKAP[[#This Row],[Harga Satuan]]*REKAP[[#This Row],[Stok Akhir]]</f>
        <v>115200</v>
      </c>
      <c r="R687" s="61">
        <f>IF(REKAP[[#This Row],[Stok Aktual]]&lt;&gt;"",REKAP[[#This Row],[Stok Aktual]]-REKAP[[#This Row],[Stok Akhir]],0)</f>
        <v>0</v>
      </c>
      <c r="S687" s="132"/>
      <c r="T687" s="137">
        <f>IF(REKAP[[#This Row],[Selisih]]&lt;=-1,REKAP[[#This Row],[Harga Satuan]]*REKAP[[#This Row],[Selisih]],0)</f>
        <v>0</v>
      </c>
    </row>
    <row r="688" spans="1:20" x14ac:dyDescent="0.25">
      <c r="A688" s="55" t="s">
        <v>1014</v>
      </c>
      <c r="B688" s="55" t="s">
        <v>861</v>
      </c>
      <c r="C688" s="55" t="s">
        <v>861</v>
      </c>
      <c r="D688" s="56" t="s">
        <v>1550</v>
      </c>
      <c r="E688" s="57"/>
      <c r="F688" s="75" t="s">
        <v>898</v>
      </c>
      <c r="G688" s="64"/>
      <c r="H688" s="58">
        <v>7748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>
        <f>IF(REKAP[[#This Row],[Stok Aktual]]&lt;&gt;"",REKAP[[#This Row],[Stok Aktual]]-REKAP[[#This Row],[Stok Akhir]],0)</f>
        <v>0</v>
      </c>
      <c r="S688" s="132"/>
      <c r="T688" s="137">
        <f>IF(REKAP[[#This Row],[Selisih]]&lt;=-1,REKAP[[#This Row],[Harga Satuan]]*REKAP[[#This Row],[Selisih]],0)</f>
        <v>0</v>
      </c>
    </row>
    <row r="689" spans="1:20" x14ac:dyDescent="0.25">
      <c r="A689" s="55" t="s">
        <v>1015</v>
      </c>
      <c r="B689" s="55" t="s">
        <v>861</v>
      </c>
      <c r="C689" s="55" t="s">
        <v>861</v>
      </c>
      <c r="D689" s="56" t="s">
        <v>1551</v>
      </c>
      <c r="E689" s="57"/>
      <c r="F689" s="75" t="s">
        <v>898</v>
      </c>
      <c r="G689" s="64"/>
      <c r="H689" s="58">
        <v>5280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2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2</v>
      </c>
      <c r="P689" s="55"/>
      <c r="Q689" s="62">
        <f>REKAP[[#This Row],[Harga Satuan]]*REKAP[[#This Row],[Stok Akhir]]</f>
        <v>10560</v>
      </c>
      <c r="R689" s="61">
        <f>IF(REKAP[[#This Row],[Stok Aktual]]&lt;&gt;"",REKAP[[#This Row],[Stok Aktual]]-REKAP[[#This Row],[Stok Akhir]],0)</f>
        <v>0</v>
      </c>
      <c r="S689" s="132"/>
      <c r="T689" s="137">
        <f>IF(REKAP[[#This Row],[Selisih]]&lt;=-1,REKAP[[#This Row],[Harga Satuan]]*REKAP[[#This Row],[Selisih]],0)</f>
        <v>0</v>
      </c>
    </row>
    <row r="690" spans="1:20" x14ac:dyDescent="0.25">
      <c r="A690" s="55" t="s">
        <v>1016</v>
      </c>
      <c r="B690" s="55" t="s">
        <v>861</v>
      </c>
      <c r="C690" s="55" t="s">
        <v>861</v>
      </c>
      <c r="D690" s="56" t="s">
        <v>1552</v>
      </c>
      <c r="E690" s="57"/>
      <c r="F690" s="75" t="s">
        <v>898</v>
      </c>
      <c r="G690" s="64"/>
      <c r="H690" s="58">
        <v>1961</v>
      </c>
      <c r="I690" s="59">
        <f>IF(COUNTIF(MASUK[Kode Barang],REKAP[[#This Row],[ID]])=0,0,COUNTIF(MASUK[Kode Barang],REKAP[[#This Row],[ID]]))</f>
        <v>1</v>
      </c>
      <c r="J690" s="59">
        <f>IF(COUNTIF(MASUK8[Kode Barang],REKAP[[#This Row],[ID]])=0,0,COUNTIF(MASUK8[Kode Barang],REKAP[[#This Row],[ID]]))</f>
        <v>1</v>
      </c>
      <c r="K690" s="60">
        <f>REKAP[[#This Row],[Trx In]]+REKAP[[#This Row],[Trx Out]]</f>
        <v>2</v>
      </c>
      <c r="L690" s="55">
        <v>0</v>
      </c>
      <c r="M690" s="74">
        <f>SUMIF(MASUK!$C:$C,REKAP[[#This Row],[ID]],MASUK!$H:$H)</f>
        <v>15</v>
      </c>
      <c r="N690" s="74">
        <f>SUMIF(KELUAR!$C:$C,REKAP[[#This Row],[ID]],KELUAR!$H:$H)</f>
        <v>15</v>
      </c>
      <c r="O690" s="74">
        <f>REKAP[[#This Row],[Stok Awal]]+REKAP[[#This Row],[Masuk]]-REKAP[[#This Row],[Keluar]]</f>
        <v>0</v>
      </c>
      <c r="P690" s="55">
        <v>0</v>
      </c>
      <c r="Q690" s="62">
        <f>REKAP[[#This Row],[Harga Satuan]]*REKAP[[#This Row],[Stok Akhir]]</f>
        <v>0</v>
      </c>
      <c r="R690" s="61">
        <f>IF(REKAP[[#This Row],[Stok Aktual]]&lt;&gt;"",REKAP[[#This Row],[Stok Aktual]]-REKAP[[#This Row],[Stok Akhir]],0)</f>
        <v>0</v>
      </c>
      <c r="S690" s="132"/>
      <c r="T690" s="137">
        <f>IF(REKAP[[#This Row],[Selisih]]&lt;=-1,REKAP[[#This Row],[Harga Satuan]]*REKAP[[#This Row],[Selisih]],0)</f>
        <v>0</v>
      </c>
    </row>
    <row r="691" spans="1:20" x14ac:dyDescent="0.25">
      <c r="A691" s="55" t="s">
        <v>1017</v>
      </c>
      <c r="B691" s="55" t="s">
        <v>861</v>
      </c>
      <c r="C691" s="55" t="s">
        <v>861</v>
      </c>
      <c r="D691" s="56" t="s">
        <v>1553</v>
      </c>
      <c r="E691" s="57"/>
      <c r="F691" s="75" t="s">
        <v>898</v>
      </c>
      <c r="G691" s="64"/>
      <c r="H691" s="58">
        <v>3417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>
        <f>IF(REKAP[[#This Row],[Stok Aktual]]&lt;&gt;"",REKAP[[#This Row],[Stok Aktual]]-REKAP[[#This Row],[Stok Akhir]],0)</f>
        <v>0</v>
      </c>
      <c r="S691" s="132"/>
      <c r="T691" s="137">
        <f>IF(REKAP[[#This Row],[Selisih]]&lt;=-1,REKAP[[#This Row],[Harga Satuan]]*REKAP[[#This Row],[Selisih]],0)</f>
        <v>0</v>
      </c>
    </row>
    <row r="692" spans="1:20" x14ac:dyDescent="0.25">
      <c r="A692" s="55" t="s">
        <v>1018</v>
      </c>
      <c r="B692" s="55" t="s">
        <v>861</v>
      </c>
      <c r="C692" s="55" t="s">
        <v>861</v>
      </c>
      <c r="D692" s="56" t="s">
        <v>1554</v>
      </c>
      <c r="E692" s="57"/>
      <c r="F692" s="75" t="s">
        <v>898</v>
      </c>
      <c r="G692" s="64"/>
      <c r="H692" s="58"/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1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1</v>
      </c>
      <c r="P692" s="55"/>
      <c r="Q692" s="62">
        <f>REKAP[[#This Row],[Harga Satuan]]*REKAP[[#This Row],[Stok Akhir]]</f>
        <v>0</v>
      </c>
      <c r="R692" s="61">
        <f>IF(REKAP[[#This Row],[Stok Aktual]]&lt;&gt;"",REKAP[[#This Row],[Stok Aktual]]-REKAP[[#This Row],[Stok Akhir]],0)</f>
        <v>0</v>
      </c>
      <c r="S692" s="132"/>
      <c r="T692" s="137">
        <f>IF(REKAP[[#This Row],[Selisih]]&lt;=-1,REKAP[[#This Row],[Harga Satuan]]*REKAP[[#This Row],[Selisih]],0)</f>
        <v>0</v>
      </c>
    </row>
    <row r="693" spans="1:20" x14ac:dyDescent="0.25">
      <c r="A693" s="55" t="s">
        <v>1019</v>
      </c>
      <c r="B693" s="55" t="s">
        <v>861</v>
      </c>
      <c r="C693" s="55" t="s">
        <v>861</v>
      </c>
      <c r="D693" s="56" t="s">
        <v>1555</v>
      </c>
      <c r="E693" s="57"/>
      <c r="F693" s="75" t="s">
        <v>898</v>
      </c>
      <c r="G693" s="64"/>
      <c r="H693" s="58">
        <v>5787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>
        <f>IF(REKAP[[#This Row],[Stok Aktual]]&lt;&gt;"",REKAP[[#This Row],[Stok Aktual]]-REKAP[[#This Row],[Stok Akhir]],0)</f>
        <v>0</v>
      </c>
      <c r="S693" s="132"/>
      <c r="T693" s="137">
        <f>IF(REKAP[[#This Row],[Selisih]]&lt;=-1,REKAP[[#This Row],[Harga Satuan]]*REKAP[[#This Row],[Selisih]],0)</f>
        <v>0</v>
      </c>
    </row>
    <row r="694" spans="1:20" x14ac:dyDescent="0.25">
      <c r="A694" s="55" t="s">
        <v>1020</v>
      </c>
      <c r="B694" s="55" t="s">
        <v>861</v>
      </c>
      <c r="C694" s="55" t="s">
        <v>861</v>
      </c>
      <c r="D694" s="56" t="s">
        <v>1556</v>
      </c>
      <c r="E694" s="57"/>
      <c r="F694" s="75" t="s">
        <v>898</v>
      </c>
      <c r="G694" s="64"/>
      <c r="H694" s="58">
        <v>4000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14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14</v>
      </c>
      <c r="P694" s="55"/>
      <c r="Q694" s="62">
        <f>REKAP[[#This Row],[Harga Satuan]]*REKAP[[#This Row],[Stok Akhir]]</f>
        <v>56000</v>
      </c>
      <c r="R694" s="61">
        <f>IF(REKAP[[#This Row],[Stok Aktual]]&lt;&gt;"",REKAP[[#This Row],[Stok Aktual]]-REKAP[[#This Row],[Stok Akhir]],0)</f>
        <v>0</v>
      </c>
      <c r="S694" s="132"/>
      <c r="T694" s="137">
        <f>IF(REKAP[[#This Row],[Selisih]]&lt;=-1,REKAP[[#This Row],[Harga Satuan]]*REKAP[[#This Row],[Selisih]],0)</f>
        <v>0</v>
      </c>
    </row>
    <row r="695" spans="1:20" x14ac:dyDescent="0.25">
      <c r="A695" s="55" t="s">
        <v>1021</v>
      </c>
      <c r="B695" s="55" t="s">
        <v>861</v>
      </c>
      <c r="C695" s="55" t="s">
        <v>861</v>
      </c>
      <c r="D695" s="56" t="s">
        <v>1557</v>
      </c>
      <c r="E695" s="57"/>
      <c r="F695" s="75" t="s">
        <v>898</v>
      </c>
      <c r="G695" s="64"/>
      <c r="H695" s="58">
        <v>3647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9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9</v>
      </c>
      <c r="P695" s="55"/>
      <c r="Q695" s="62">
        <f>REKAP[[#This Row],[Harga Satuan]]*REKAP[[#This Row],[Stok Akhir]]</f>
        <v>32823</v>
      </c>
      <c r="R695" s="61">
        <f>IF(REKAP[[#This Row],[Stok Aktual]]&lt;&gt;"",REKAP[[#This Row],[Stok Aktual]]-REKAP[[#This Row],[Stok Akhir]],0)</f>
        <v>0</v>
      </c>
      <c r="S695" s="132"/>
      <c r="T695" s="137">
        <f>IF(REKAP[[#This Row],[Selisih]]&lt;=-1,REKAP[[#This Row],[Harga Satuan]]*REKAP[[#This Row],[Selisih]],0)</f>
        <v>0</v>
      </c>
    </row>
    <row r="696" spans="1:20" x14ac:dyDescent="0.25">
      <c r="A696" s="55" t="s">
        <v>1022</v>
      </c>
      <c r="B696" s="55" t="s">
        <v>861</v>
      </c>
      <c r="C696" s="55" t="s">
        <v>861</v>
      </c>
      <c r="D696" s="56" t="s">
        <v>1558</v>
      </c>
      <c r="E696" s="57"/>
      <c r="F696" s="75" t="s">
        <v>898</v>
      </c>
      <c r="G696" s="64"/>
      <c r="H696" s="58">
        <v>4361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4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4</v>
      </c>
      <c r="P696" s="55"/>
      <c r="Q696" s="62">
        <f>REKAP[[#This Row],[Harga Satuan]]*REKAP[[#This Row],[Stok Akhir]]</f>
        <v>17444</v>
      </c>
      <c r="R696" s="61">
        <f>IF(REKAP[[#This Row],[Stok Aktual]]&lt;&gt;"",REKAP[[#This Row],[Stok Aktual]]-REKAP[[#This Row],[Stok Akhir]],0)</f>
        <v>0</v>
      </c>
      <c r="S696" s="132"/>
      <c r="T696" s="137">
        <f>IF(REKAP[[#This Row],[Selisih]]&lt;=-1,REKAP[[#This Row],[Harga Satuan]]*REKAP[[#This Row],[Selisih]],0)</f>
        <v>0</v>
      </c>
    </row>
    <row r="697" spans="1:20" x14ac:dyDescent="0.25">
      <c r="A697" s="55" t="s">
        <v>1023</v>
      </c>
      <c r="B697" s="55" t="s">
        <v>861</v>
      </c>
      <c r="C697" s="55" t="s">
        <v>861</v>
      </c>
      <c r="D697" s="56" t="s">
        <v>1559</v>
      </c>
      <c r="E697" s="57"/>
      <c r="F697" s="75" t="s">
        <v>898</v>
      </c>
      <c r="G697" s="64"/>
      <c r="H697" s="58">
        <v>6000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0</v>
      </c>
      <c r="K697" s="60">
        <f>REKAP[[#This Row],[Trx In]]+REKAP[[#This Row],[Trx Out]]</f>
        <v>0</v>
      </c>
      <c r="L697" s="55">
        <v>6</v>
      </c>
      <c r="M697" s="74">
        <f>SUMIF(MASUK!$C:$C,REKAP[[#This Row],[ID]],MASUK!$H:$H)</f>
        <v>0</v>
      </c>
      <c r="N697" s="74">
        <f>SUMIF(KELUAR!$C:$C,REKAP[[#This Row],[ID]],KELUAR!$H:$H)</f>
        <v>0</v>
      </c>
      <c r="O697" s="74">
        <f>REKAP[[#This Row],[Stok Awal]]+REKAP[[#This Row],[Masuk]]-REKAP[[#This Row],[Keluar]]</f>
        <v>6</v>
      </c>
      <c r="P697" s="55"/>
      <c r="Q697" s="62">
        <f>REKAP[[#This Row],[Harga Satuan]]*REKAP[[#This Row],[Stok Akhir]]</f>
        <v>36000</v>
      </c>
      <c r="R697" s="61">
        <f>IF(REKAP[[#This Row],[Stok Aktual]]&lt;&gt;"",REKAP[[#This Row],[Stok Aktual]]-REKAP[[#This Row],[Stok Akhir]],0)</f>
        <v>0</v>
      </c>
      <c r="S697" s="132"/>
      <c r="T697" s="137">
        <f>IF(REKAP[[#This Row],[Selisih]]&lt;=-1,REKAP[[#This Row],[Harga Satuan]]*REKAP[[#This Row],[Selisih]],0)</f>
        <v>0</v>
      </c>
    </row>
    <row r="698" spans="1:20" x14ac:dyDescent="0.25">
      <c r="A698" s="55" t="s">
        <v>1024</v>
      </c>
      <c r="B698" s="55" t="s">
        <v>861</v>
      </c>
      <c r="C698" s="55" t="s">
        <v>861</v>
      </c>
      <c r="D698" s="56" t="s">
        <v>1560</v>
      </c>
      <c r="E698" s="57"/>
      <c r="F698" s="75" t="s">
        <v>898</v>
      </c>
      <c r="G698" s="64"/>
      <c r="H698" s="58">
        <v>3000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3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3</v>
      </c>
      <c r="P698" s="55"/>
      <c r="Q698" s="62">
        <f>REKAP[[#This Row],[Harga Satuan]]*REKAP[[#This Row],[Stok Akhir]]</f>
        <v>9000</v>
      </c>
      <c r="R698" s="61">
        <f>IF(REKAP[[#This Row],[Stok Aktual]]&lt;&gt;"",REKAP[[#This Row],[Stok Aktual]]-REKAP[[#This Row],[Stok Akhir]],0)</f>
        <v>0</v>
      </c>
      <c r="S698" s="132"/>
      <c r="T698" s="137">
        <f>IF(REKAP[[#This Row],[Selisih]]&lt;=-1,REKAP[[#This Row],[Harga Satuan]]*REKAP[[#This Row],[Selisih]],0)</f>
        <v>0</v>
      </c>
    </row>
    <row r="699" spans="1:20" x14ac:dyDescent="0.25">
      <c r="A699" s="55" t="s">
        <v>1025</v>
      </c>
      <c r="B699" s="55" t="s">
        <v>861</v>
      </c>
      <c r="C699" s="55" t="s">
        <v>861</v>
      </c>
      <c r="D699" s="56" t="s">
        <v>1561</v>
      </c>
      <c r="E699" s="57"/>
      <c r="F699" s="75" t="s">
        <v>898</v>
      </c>
      <c r="G699" s="64"/>
      <c r="H699" s="58">
        <v>3837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0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0</v>
      </c>
      <c r="P699" s="55"/>
      <c r="Q699" s="62">
        <f>REKAP[[#This Row],[Harga Satuan]]*REKAP[[#This Row],[Stok Akhir]]</f>
        <v>0</v>
      </c>
      <c r="R699" s="61">
        <f>IF(REKAP[[#This Row],[Stok Aktual]]&lt;&gt;"",REKAP[[#This Row],[Stok Aktual]]-REKAP[[#This Row],[Stok Akhir]],0)</f>
        <v>0</v>
      </c>
      <c r="S699" s="132"/>
      <c r="T699" s="137">
        <f>IF(REKAP[[#This Row],[Selisih]]&lt;=-1,REKAP[[#This Row],[Harga Satuan]]*REKAP[[#This Row],[Selisih]],0)</f>
        <v>0</v>
      </c>
    </row>
    <row r="700" spans="1:20" x14ac:dyDescent="0.25">
      <c r="A700" s="55" t="s">
        <v>1026</v>
      </c>
      <c r="B700" s="55" t="s">
        <v>861</v>
      </c>
      <c r="C700" s="55" t="s">
        <v>861</v>
      </c>
      <c r="D700" s="56" t="s">
        <v>1562</v>
      </c>
      <c r="E700" s="57"/>
      <c r="F700" s="75" t="s">
        <v>898</v>
      </c>
      <c r="G700" s="64"/>
      <c r="H700" s="58">
        <v>4425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0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0</v>
      </c>
      <c r="P700" s="55"/>
      <c r="Q700" s="62">
        <f>REKAP[[#This Row],[Harga Satuan]]*REKAP[[#This Row],[Stok Akhir]]</f>
        <v>0</v>
      </c>
      <c r="R700" s="61">
        <f>IF(REKAP[[#This Row],[Stok Aktual]]&lt;&gt;"",REKAP[[#This Row],[Stok Aktual]]-REKAP[[#This Row],[Stok Akhir]],0)</f>
        <v>0</v>
      </c>
      <c r="S700" s="132"/>
      <c r="T700" s="137">
        <f>IF(REKAP[[#This Row],[Selisih]]&lt;=-1,REKAP[[#This Row],[Harga Satuan]]*REKAP[[#This Row],[Selisih]],0)</f>
        <v>0</v>
      </c>
    </row>
    <row r="701" spans="1:20" x14ac:dyDescent="0.25">
      <c r="A701" s="55" t="s">
        <v>1027</v>
      </c>
      <c r="B701" s="55" t="s">
        <v>861</v>
      </c>
      <c r="C701" s="55" t="s">
        <v>861</v>
      </c>
      <c r="D701" s="56" t="s">
        <v>1563</v>
      </c>
      <c r="E701" s="57"/>
      <c r="F701" s="75" t="s">
        <v>898</v>
      </c>
      <c r="G701" s="64"/>
      <c r="H701" s="58">
        <v>5305</v>
      </c>
      <c r="I701" s="59">
        <f>IF(COUNTIF(MASUK[Kode Barang],REKAP[[#This Row],[ID]])=0,0,COUNTIF(MASUK[Kode Barang],REKAP[[#This Row],[ID]]))</f>
        <v>1</v>
      </c>
      <c r="J701" s="59">
        <f>IF(COUNTIF(MASUK8[Kode Barang],REKAP[[#This Row],[ID]])=0,0,COUNTIF(MASUK8[Kode Barang],REKAP[[#This Row],[ID]]))</f>
        <v>1</v>
      </c>
      <c r="K701" s="60">
        <f>REKAP[[#This Row],[Trx In]]+REKAP[[#This Row],[Trx Out]]</f>
        <v>2</v>
      </c>
      <c r="L701" s="55">
        <v>0</v>
      </c>
      <c r="M701" s="74">
        <f>SUMIF(MASUK!$C:$C,REKAP[[#This Row],[ID]],MASUK!$H:$H)</f>
        <v>8</v>
      </c>
      <c r="N701" s="74">
        <f>SUMIF(KELUAR!$C:$C,REKAP[[#This Row],[ID]],KELUAR!$H:$H)</f>
        <v>8</v>
      </c>
      <c r="O701" s="74">
        <f>REKAP[[#This Row],[Stok Awal]]+REKAP[[#This Row],[Masuk]]-REKAP[[#This Row],[Keluar]]</f>
        <v>0</v>
      </c>
      <c r="P701" s="55">
        <v>0</v>
      </c>
      <c r="Q701" s="62">
        <f>REKAP[[#This Row],[Harga Satuan]]*REKAP[[#This Row],[Stok Akhir]]</f>
        <v>0</v>
      </c>
      <c r="R701" s="61">
        <f>IF(REKAP[[#This Row],[Stok Aktual]]&lt;&gt;"",REKAP[[#This Row],[Stok Aktual]]-REKAP[[#This Row],[Stok Akhir]],0)</f>
        <v>0</v>
      </c>
      <c r="S701" s="132"/>
      <c r="T701" s="137">
        <f>IF(REKAP[[#This Row],[Selisih]]&lt;=-1,REKAP[[#This Row],[Harga Satuan]]*REKAP[[#This Row],[Selisih]],0)</f>
        <v>0</v>
      </c>
    </row>
    <row r="702" spans="1:20" x14ac:dyDescent="0.25">
      <c r="A702" s="55" t="s">
        <v>1028</v>
      </c>
      <c r="B702" s="55" t="s">
        <v>861</v>
      </c>
      <c r="C702" s="55" t="s">
        <v>861</v>
      </c>
      <c r="D702" s="56" t="s">
        <v>1564</v>
      </c>
      <c r="E702" s="57"/>
      <c r="F702" s="75" t="s">
        <v>898</v>
      </c>
      <c r="G702" s="64"/>
      <c r="H702" s="58">
        <v>5021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1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1</v>
      </c>
      <c r="P702" s="55"/>
      <c r="Q702" s="62">
        <f>REKAP[[#This Row],[Harga Satuan]]*REKAP[[#This Row],[Stok Akhir]]</f>
        <v>5021</v>
      </c>
      <c r="R702" s="61">
        <f>IF(REKAP[[#This Row],[Stok Aktual]]&lt;&gt;"",REKAP[[#This Row],[Stok Aktual]]-REKAP[[#This Row],[Stok Akhir]],0)</f>
        <v>0</v>
      </c>
      <c r="S702" s="132"/>
      <c r="T702" s="137">
        <f>IF(REKAP[[#This Row],[Selisih]]&lt;=-1,REKAP[[#This Row],[Harga Satuan]]*REKAP[[#This Row],[Selisih]],0)</f>
        <v>0</v>
      </c>
    </row>
    <row r="703" spans="1:20" x14ac:dyDescent="0.25">
      <c r="A703" s="55" t="s">
        <v>1029</v>
      </c>
      <c r="B703" s="55" t="s">
        <v>861</v>
      </c>
      <c r="C703" s="55" t="s">
        <v>861</v>
      </c>
      <c r="D703" s="56" t="s">
        <v>1565</v>
      </c>
      <c r="E703" s="57"/>
      <c r="F703" s="75" t="s">
        <v>898</v>
      </c>
      <c r="G703" s="64"/>
      <c r="H703" s="58"/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0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0</v>
      </c>
      <c r="P703" s="55"/>
      <c r="Q703" s="62">
        <f>REKAP[[#This Row],[Harga Satuan]]*REKAP[[#This Row],[Stok Akhir]]</f>
        <v>0</v>
      </c>
      <c r="R703" s="61">
        <f>IF(REKAP[[#This Row],[Stok Aktual]]&lt;&gt;"",REKAP[[#This Row],[Stok Aktual]]-REKAP[[#This Row],[Stok Akhir]],0)</f>
        <v>0</v>
      </c>
      <c r="S703" s="132"/>
      <c r="T703" s="137">
        <f>IF(REKAP[[#This Row],[Selisih]]&lt;=-1,REKAP[[#This Row],[Harga Satuan]]*REKAP[[#This Row],[Selisih]],0)</f>
        <v>0</v>
      </c>
    </row>
    <row r="704" spans="1:20" x14ac:dyDescent="0.25">
      <c r="A704" s="55" t="s">
        <v>1030</v>
      </c>
      <c r="B704" s="55" t="s">
        <v>861</v>
      </c>
      <c r="C704" s="55" t="s">
        <v>861</v>
      </c>
      <c r="D704" s="56" t="s">
        <v>1566</v>
      </c>
      <c r="E704" s="57"/>
      <c r="F704" s="75" t="s">
        <v>898</v>
      </c>
      <c r="G704" s="64"/>
      <c r="H704" s="58">
        <v>5500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1</v>
      </c>
      <c r="K704" s="60">
        <f>REKAP[[#This Row],[Trx In]]+REKAP[[#This Row],[Trx Out]]</f>
        <v>1</v>
      </c>
      <c r="L704" s="55">
        <v>3</v>
      </c>
      <c r="M704" s="74">
        <f>SUMIF(MASUK!$C:$C,REKAP[[#This Row],[ID]],MASUK!$H:$H)</f>
        <v>0</v>
      </c>
      <c r="N704" s="74">
        <f>SUMIF(KELUAR!$C:$C,REKAP[[#This Row],[ID]],KELUAR!$H:$H)</f>
        <v>2</v>
      </c>
      <c r="O704" s="74">
        <f>REKAP[[#This Row],[Stok Awal]]+REKAP[[#This Row],[Masuk]]-REKAP[[#This Row],[Keluar]]</f>
        <v>1</v>
      </c>
      <c r="P704" s="55">
        <v>1</v>
      </c>
      <c r="Q704" s="62">
        <f>REKAP[[#This Row],[Harga Satuan]]*REKAP[[#This Row],[Stok Akhir]]</f>
        <v>5500</v>
      </c>
      <c r="R704" s="61">
        <f>IF(REKAP[[#This Row],[Stok Aktual]]&lt;&gt;"",REKAP[[#This Row],[Stok Aktual]]-REKAP[[#This Row],[Stok Akhir]],0)</f>
        <v>0</v>
      </c>
      <c r="S704" s="132"/>
      <c r="T704" s="137">
        <f>IF(REKAP[[#This Row],[Selisih]]&lt;=-1,REKAP[[#This Row],[Harga Satuan]]*REKAP[[#This Row],[Selisih]],0)</f>
        <v>0</v>
      </c>
    </row>
    <row r="705" spans="1:20" x14ac:dyDescent="0.25">
      <c r="A705" s="55" t="s">
        <v>1031</v>
      </c>
      <c r="B705" s="55" t="s">
        <v>861</v>
      </c>
      <c r="C705" s="55" t="s">
        <v>861</v>
      </c>
      <c r="D705" s="56" t="s">
        <v>1567</v>
      </c>
      <c r="E705" s="57"/>
      <c r="F705" s="75" t="s">
        <v>898</v>
      </c>
      <c r="G705" s="64"/>
      <c r="H705" s="58">
        <v>7500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17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17</v>
      </c>
      <c r="P705" s="55"/>
      <c r="Q705" s="62">
        <f>REKAP[[#This Row],[Harga Satuan]]*REKAP[[#This Row],[Stok Akhir]]</f>
        <v>127500</v>
      </c>
      <c r="R705" s="61">
        <f>IF(REKAP[[#This Row],[Stok Aktual]]&lt;&gt;"",REKAP[[#This Row],[Stok Aktual]]-REKAP[[#This Row],[Stok Akhir]],0)</f>
        <v>0</v>
      </c>
      <c r="S705" s="132"/>
      <c r="T705" s="137">
        <f>IF(REKAP[[#This Row],[Selisih]]&lt;=-1,REKAP[[#This Row],[Harga Satuan]]*REKAP[[#This Row],[Selisih]],0)</f>
        <v>0</v>
      </c>
    </row>
    <row r="706" spans="1:20" x14ac:dyDescent="0.25">
      <c r="A706" s="55" t="s">
        <v>1032</v>
      </c>
      <c r="B706" s="55" t="s">
        <v>861</v>
      </c>
      <c r="C706" s="55" t="s">
        <v>861</v>
      </c>
      <c r="D706" s="56" t="s">
        <v>1568</v>
      </c>
      <c r="E706" s="57"/>
      <c r="F706" s="75" t="s">
        <v>898</v>
      </c>
      <c r="G706" s="64"/>
      <c r="H706" s="58"/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2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2</v>
      </c>
      <c r="P706" s="55"/>
      <c r="Q706" s="62">
        <f>REKAP[[#This Row],[Harga Satuan]]*REKAP[[#This Row],[Stok Akhir]]</f>
        <v>0</v>
      </c>
      <c r="R706" s="61">
        <f>IF(REKAP[[#This Row],[Stok Aktual]]&lt;&gt;"",REKAP[[#This Row],[Stok Aktual]]-REKAP[[#This Row],[Stok Akhir]],0)</f>
        <v>0</v>
      </c>
      <c r="S706" s="132"/>
      <c r="T706" s="137">
        <f>IF(REKAP[[#This Row],[Selisih]]&lt;=-1,REKAP[[#This Row],[Harga Satuan]]*REKAP[[#This Row],[Selisih]],0)</f>
        <v>0</v>
      </c>
    </row>
    <row r="707" spans="1:20" x14ac:dyDescent="0.25">
      <c r="A707" s="55" t="s">
        <v>1033</v>
      </c>
      <c r="B707" s="55" t="s">
        <v>861</v>
      </c>
      <c r="C707" s="55" t="s">
        <v>861</v>
      </c>
      <c r="D707" s="56" t="s">
        <v>1569</v>
      </c>
      <c r="E707" s="57"/>
      <c r="F707" s="75" t="s">
        <v>898</v>
      </c>
      <c r="G707" s="64"/>
      <c r="H707" s="58">
        <v>5015</v>
      </c>
      <c r="I707" s="59">
        <f>IF(COUNTIF(MASUK[Kode Barang],REKAP[[#This Row],[ID]])=0,0,COUNTIF(MASUK[Kode Barang],REKAP[[#This Row],[ID]]))</f>
        <v>1</v>
      </c>
      <c r="J707" s="59">
        <f>IF(COUNTIF(MASUK8[Kode Barang],REKAP[[#This Row],[ID]])=0,0,COUNTIF(MASUK8[Kode Barang],REKAP[[#This Row],[ID]]))</f>
        <v>1</v>
      </c>
      <c r="K707" s="60">
        <f>REKAP[[#This Row],[Trx In]]+REKAP[[#This Row],[Trx Out]]</f>
        <v>2</v>
      </c>
      <c r="L707" s="55">
        <v>0</v>
      </c>
      <c r="M707" s="74">
        <f>SUMIF(MASUK!$C:$C,REKAP[[#This Row],[ID]],MASUK!$H:$H)</f>
        <v>3</v>
      </c>
      <c r="N707" s="74">
        <f>SUMIF(KELUAR!$C:$C,REKAP[[#This Row],[ID]],KELUAR!$H:$H)</f>
        <v>3</v>
      </c>
      <c r="O707" s="74">
        <f>REKAP[[#This Row],[Stok Awal]]+REKAP[[#This Row],[Masuk]]-REKAP[[#This Row],[Keluar]]</f>
        <v>0</v>
      </c>
      <c r="P707" s="55">
        <v>0</v>
      </c>
      <c r="Q707" s="62">
        <f>REKAP[[#This Row],[Harga Satuan]]*REKAP[[#This Row],[Stok Akhir]]</f>
        <v>0</v>
      </c>
      <c r="R707" s="61">
        <f>IF(REKAP[[#This Row],[Stok Aktual]]&lt;&gt;"",REKAP[[#This Row],[Stok Aktual]]-REKAP[[#This Row],[Stok Akhir]],0)</f>
        <v>0</v>
      </c>
      <c r="S707" s="132"/>
      <c r="T707" s="137">
        <f>IF(REKAP[[#This Row],[Selisih]]&lt;=-1,REKAP[[#This Row],[Harga Satuan]]*REKAP[[#This Row],[Selisih]],0)</f>
        <v>0</v>
      </c>
    </row>
    <row r="708" spans="1:20" x14ac:dyDescent="0.25">
      <c r="A708" s="55" t="s">
        <v>1034</v>
      </c>
      <c r="B708" s="55" t="s">
        <v>861</v>
      </c>
      <c r="C708" s="55" t="s">
        <v>861</v>
      </c>
      <c r="D708" s="56" t="s">
        <v>1570</v>
      </c>
      <c r="E708" s="57"/>
      <c r="F708" s="75" t="s">
        <v>898</v>
      </c>
      <c r="G708" s="64"/>
      <c r="H708" s="58">
        <v>5736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0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0</v>
      </c>
      <c r="P708" s="55"/>
      <c r="Q708" s="62">
        <f>REKAP[[#This Row],[Harga Satuan]]*REKAP[[#This Row],[Stok Akhir]]</f>
        <v>0</v>
      </c>
      <c r="R708" s="61">
        <f>IF(REKAP[[#This Row],[Stok Aktual]]&lt;&gt;"",REKAP[[#This Row],[Stok Aktual]]-REKAP[[#This Row],[Stok Akhir]],0)</f>
        <v>0</v>
      </c>
      <c r="S708" s="132"/>
      <c r="T708" s="137">
        <f>IF(REKAP[[#This Row],[Selisih]]&lt;=-1,REKAP[[#This Row],[Harga Satuan]]*REKAP[[#This Row],[Selisih]],0)</f>
        <v>0</v>
      </c>
    </row>
    <row r="709" spans="1:20" x14ac:dyDescent="0.25">
      <c r="A709" s="55" t="s">
        <v>1035</v>
      </c>
      <c r="B709" s="55" t="s">
        <v>861</v>
      </c>
      <c r="C709" s="55" t="s">
        <v>861</v>
      </c>
      <c r="D709" s="56" t="s">
        <v>1571</v>
      </c>
      <c r="E709" s="57"/>
      <c r="F709" s="75" t="s">
        <v>898</v>
      </c>
      <c r="G709" s="64"/>
      <c r="H709" s="58">
        <v>6757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0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0</v>
      </c>
      <c r="P709" s="55"/>
      <c r="Q709" s="62">
        <f>REKAP[[#This Row],[Harga Satuan]]*REKAP[[#This Row],[Stok Akhir]]</f>
        <v>0</v>
      </c>
      <c r="R709" s="61">
        <f>IF(REKAP[[#This Row],[Stok Aktual]]&lt;&gt;"",REKAP[[#This Row],[Stok Aktual]]-REKAP[[#This Row],[Stok Akhir]],0)</f>
        <v>0</v>
      </c>
      <c r="S709" s="132"/>
      <c r="T709" s="137">
        <f>IF(REKAP[[#This Row],[Selisih]]&lt;=-1,REKAP[[#This Row],[Harga Satuan]]*REKAP[[#This Row],[Selisih]],0)</f>
        <v>0</v>
      </c>
    </row>
    <row r="710" spans="1:20" x14ac:dyDescent="0.25">
      <c r="A710" s="55" t="s">
        <v>1036</v>
      </c>
      <c r="B710" s="55" t="s">
        <v>861</v>
      </c>
      <c r="C710" s="55" t="s">
        <v>861</v>
      </c>
      <c r="D710" s="56" t="s">
        <v>1572</v>
      </c>
      <c r="E710" s="57"/>
      <c r="F710" s="75" t="s">
        <v>898</v>
      </c>
      <c r="G710" s="64"/>
      <c r="H710" s="58">
        <v>8039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0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0</v>
      </c>
      <c r="P710" s="55"/>
      <c r="Q710" s="62">
        <f>REKAP[[#This Row],[Harga Satuan]]*REKAP[[#This Row],[Stok Akhir]]</f>
        <v>0</v>
      </c>
      <c r="R710" s="61">
        <f>IF(REKAP[[#This Row],[Stok Aktual]]&lt;&gt;"",REKAP[[#This Row],[Stok Aktual]]-REKAP[[#This Row],[Stok Akhir]],0)</f>
        <v>0</v>
      </c>
      <c r="S710" s="132"/>
      <c r="T710" s="137">
        <f>IF(REKAP[[#This Row],[Selisih]]&lt;=-1,REKAP[[#This Row],[Harga Satuan]]*REKAP[[#This Row],[Selisih]],0)</f>
        <v>0</v>
      </c>
    </row>
    <row r="711" spans="1:20" x14ac:dyDescent="0.25">
      <c r="A711" s="55" t="s">
        <v>1037</v>
      </c>
      <c r="B711" s="55" t="s">
        <v>861</v>
      </c>
      <c r="C711" s="55" t="s">
        <v>861</v>
      </c>
      <c r="D711" s="56" t="s">
        <v>1573</v>
      </c>
      <c r="E711" s="57"/>
      <c r="F711" s="75" t="s">
        <v>898</v>
      </c>
      <c r="G711" s="64"/>
      <c r="H711" s="58">
        <v>9295</v>
      </c>
      <c r="I711" s="59">
        <f>IF(COUNTIF(MASUK[Kode Barang],REKAP[[#This Row],[ID]])=0,0,COUNTIF(MASUK[Kode Barang],REKAP[[#This Row],[ID]]))</f>
        <v>1</v>
      </c>
      <c r="J711" s="59">
        <f>IF(COUNTIF(MASUK8[Kode Barang],REKAP[[#This Row],[ID]])=0,0,COUNTIF(MASUK8[Kode Barang],REKAP[[#This Row],[ID]]))</f>
        <v>1</v>
      </c>
      <c r="K711" s="60">
        <f>REKAP[[#This Row],[Trx In]]+REKAP[[#This Row],[Trx Out]]</f>
        <v>2</v>
      </c>
      <c r="L711" s="55">
        <v>0</v>
      </c>
      <c r="M711" s="74">
        <f>SUMIF(MASUK!$C:$C,REKAP[[#This Row],[ID]],MASUK!$H:$H)</f>
        <v>40</v>
      </c>
      <c r="N711" s="74">
        <f>SUMIF(KELUAR!$C:$C,REKAP[[#This Row],[ID]],KELUAR!$H:$H)</f>
        <v>40</v>
      </c>
      <c r="O711" s="74">
        <f>REKAP[[#This Row],[Stok Awal]]+REKAP[[#This Row],[Masuk]]-REKAP[[#This Row],[Keluar]]</f>
        <v>0</v>
      </c>
      <c r="P711" s="55">
        <v>0</v>
      </c>
      <c r="Q711" s="62">
        <f>REKAP[[#This Row],[Harga Satuan]]*REKAP[[#This Row],[Stok Akhir]]</f>
        <v>0</v>
      </c>
      <c r="R711" s="61">
        <f>IF(REKAP[[#This Row],[Stok Aktual]]&lt;&gt;"",REKAP[[#This Row],[Stok Aktual]]-REKAP[[#This Row],[Stok Akhir]],0)</f>
        <v>0</v>
      </c>
      <c r="S711" s="132"/>
      <c r="T711" s="137">
        <f>IF(REKAP[[#This Row],[Selisih]]&lt;=-1,REKAP[[#This Row],[Harga Satuan]]*REKAP[[#This Row],[Selisih]],0)</f>
        <v>0</v>
      </c>
    </row>
    <row r="712" spans="1:20" x14ac:dyDescent="0.25">
      <c r="A712" s="55" t="s">
        <v>1038</v>
      </c>
      <c r="B712" s="55" t="s">
        <v>861</v>
      </c>
      <c r="C712" s="55" t="s">
        <v>861</v>
      </c>
      <c r="D712" s="56" t="s">
        <v>1574</v>
      </c>
      <c r="E712" s="57"/>
      <c r="F712" s="75" t="s">
        <v>898</v>
      </c>
      <c r="G712" s="64"/>
      <c r="H712" s="58">
        <v>8500</v>
      </c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>
        <f>IF(REKAP[[#This Row],[Stok Aktual]]&lt;&gt;"",REKAP[[#This Row],[Stok Aktual]]-REKAP[[#This Row],[Stok Akhir]],0)</f>
        <v>0</v>
      </c>
      <c r="S712" s="132"/>
      <c r="T712" s="137">
        <f>IF(REKAP[[#This Row],[Selisih]]&lt;=-1,REKAP[[#This Row],[Harga Satuan]]*REKAP[[#This Row],[Selisih]],0)</f>
        <v>0</v>
      </c>
    </row>
    <row r="713" spans="1:20" x14ac:dyDescent="0.25">
      <c r="A713" s="55" t="s">
        <v>1039</v>
      </c>
      <c r="B713" s="55" t="s">
        <v>861</v>
      </c>
      <c r="C713" s="55" t="s">
        <v>861</v>
      </c>
      <c r="D713" s="56" t="s">
        <v>1575</v>
      </c>
      <c r="E713" s="57"/>
      <c r="F713" s="75" t="s">
        <v>898</v>
      </c>
      <c r="G713" s="64"/>
      <c r="H713" s="58">
        <v>6521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0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0</v>
      </c>
      <c r="P713" s="55"/>
      <c r="Q713" s="62">
        <f>REKAP[[#This Row],[Harga Satuan]]*REKAP[[#This Row],[Stok Akhir]]</f>
        <v>0</v>
      </c>
      <c r="R713" s="61">
        <f>IF(REKAP[[#This Row],[Stok Aktual]]&lt;&gt;"",REKAP[[#This Row],[Stok Aktual]]-REKAP[[#This Row],[Stok Akhir]],0)</f>
        <v>0</v>
      </c>
      <c r="S713" s="132"/>
      <c r="T713" s="137">
        <f>IF(REKAP[[#This Row],[Selisih]]&lt;=-1,REKAP[[#This Row],[Harga Satuan]]*REKAP[[#This Row],[Selisih]],0)</f>
        <v>0</v>
      </c>
    </row>
    <row r="714" spans="1:20" x14ac:dyDescent="0.25">
      <c r="A714" s="55" t="s">
        <v>1040</v>
      </c>
      <c r="B714" s="55" t="s">
        <v>861</v>
      </c>
      <c r="C714" s="55" t="s">
        <v>861</v>
      </c>
      <c r="D714" s="56" t="s">
        <v>1576</v>
      </c>
      <c r="E714" s="57"/>
      <c r="F714" s="75" t="s">
        <v>898</v>
      </c>
      <c r="G714" s="64"/>
      <c r="H714" s="58">
        <v>8500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25500</v>
      </c>
      <c r="R714" s="61">
        <f>IF(REKAP[[#This Row],[Stok Aktual]]&lt;&gt;"",REKAP[[#This Row],[Stok Aktual]]-REKAP[[#This Row],[Stok Akhir]],0)</f>
        <v>0</v>
      </c>
      <c r="S714" s="132"/>
      <c r="T714" s="137">
        <f>IF(REKAP[[#This Row],[Selisih]]&lt;=-1,REKAP[[#This Row],[Harga Satuan]]*REKAP[[#This Row],[Selisih]],0)</f>
        <v>0</v>
      </c>
    </row>
    <row r="715" spans="1:20" x14ac:dyDescent="0.25">
      <c r="A715" s="55" t="s">
        <v>1041</v>
      </c>
      <c r="B715" s="55" t="s">
        <v>861</v>
      </c>
      <c r="C715" s="55" t="s">
        <v>861</v>
      </c>
      <c r="D715" s="56" t="s">
        <v>1577</v>
      </c>
      <c r="E715" s="57"/>
      <c r="F715" s="75" t="s">
        <v>898</v>
      </c>
      <c r="G715" s="64"/>
      <c r="H715" s="58">
        <v>9168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0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0</v>
      </c>
      <c r="P715" s="55"/>
      <c r="Q715" s="62">
        <f>REKAP[[#This Row],[Harga Satuan]]*REKAP[[#This Row],[Stok Akhir]]</f>
        <v>0</v>
      </c>
      <c r="R715" s="61">
        <f>IF(REKAP[[#This Row],[Stok Aktual]]&lt;&gt;"",REKAP[[#This Row],[Stok Aktual]]-REKAP[[#This Row],[Stok Akhir]],0)</f>
        <v>0</v>
      </c>
      <c r="S715" s="132"/>
      <c r="T715" s="137">
        <f>IF(REKAP[[#This Row],[Selisih]]&lt;=-1,REKAP[[#This Row],[Harga Satuan]]*REKAP[[#This Row],[Selisih]],0)</f>
        <v>0</v>
      </c>
    </row>
    <row r="716" spans="1:20" x14ac:dyDescent="0.25">
      <c r="A716" s="55" t="s">
        <v>1042</v>
      </c>
      <c r="B716" s="55" t="s">
        <v>861</v>
      </c>
      <c r="C716" s="55" t="s">
        <v>861</v>
      </c>
      <c r="D716" s="56" t="s">
        <v>1578</v>
      </c>
      <c r="E716" s="57"/>
      <c r="F716" s="75" t="s">
        <v>898</v>
      </c>
      <c r="G716" s="64"/>
      <c r="H716" s="58">
        <v>15086</v>
      </c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0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0</v>
      </c>
      <c r="P716" s="55"/>
      <c r="Q716" s="62">
        <f>REKAP[[#This Row],[Harga Satuan]]*REKAP[[#This Row],[Stok Akhir]]</f>
        <v>0</v>
      </c>
      <c r="R716" s="61">
        <f>IF(REKAP[[#This Row],[Stok Aktual]]&lt;&gt;"",REKAP[[#This Row],[Stok Aktual]]-REKAP[[#This Row],[Stok Akhir]],0)</f>
        <v>0</v>
      </c>
      <c r="S716" s="132"/>
      <c r="T716" s="137">
        <f>IF(REKAP[[#This Row],[Selisih]]&lt;=-1,REKAP[[#This Row],[Harga Satuan]]*REKAP[[#This Row],[Selisih]],0)</f>
        <v>0</v>
      </c>
    </row>
    <row r="717" spans="1:20" x14ac:dyDescent="0.25">
      <c r="A717" s="55" t="s">
        <v>1043</v>
      </c>
      <c r="B717" s="55" t="s">
        <v>861</v>
      </c>
      <c r="C717" s="55" t="s">
        <v>861</v>
      </c>
      <c r="D717" s="56" t="s">
        <v>1579</v>
      </c>
      <c r="E717" s="57"/>
      <c r="F717" s="75" t="s">
        <v>898</v>
      </c>
      <c r="G717" s="64"/>
      <c r="H717" s="58">
        <v>12000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0</v>
      </c>
      <c r="K717" s="60">
        <f>REKAP[[#This Row],[Trx In]]+REKAP[[#This Row],[Trx Out]]</f>
        <v>0</v>
      </c>
      <c r="L717" s="55">
        <v>1</v>
      </c>
      <c r="M717" s="74">
        <f>SUMIF(MASUK!$C:$C,REKAP[[#This Row],[ID]],MASUK!$H:$H)</f>
        <v>0</v>
      </c>
      <c r="N717" s="74">
        <f>SUMIF(KELUAR!$C:$C,REKAP[[#This Row],[ID]],KELUAR!$H:$H)</f>
        <v>0</v>
      </c>
      <c r="O717" s="74">
        <f>REKAP[[#This Row],[Stok Awal]]+REKAP[[#This Row],[Masuk]]-REKAP[[#This Row],[Keluar]]</f>
        <v>1</v>
      </c>
      <c r="P717" s="55"/>
      <c r="Q717" s="62">
        <f>REKAP[[#This Row],[Harga Satuan]]*REKAP[[#This Row],[Stok Akhir]]</f>
        <v>12000</v>
      </c>
      <c r="R717" s="61">
        <f>IF(REKAP[[#This Row],[Stok Aktual]]&lt;&gt;"",REKAP[[#This Row],[Stok Aktual]]-REKAP[[#This Row],[Stok Akhir]],0)</f>
        <v>0</v>
      </c>
      <c r="S717" s="132"/>
      <c r="T717" s="137">
        <f>IF(REKAP[[#This Row],[Selisih]]&lt;=-1,REKAP[[#This Row],[Harga Satuan]]*REKAP[[#This Row],[Selisih]],0)</f>
        <v>0</v>
      </c>
    </row>
    <row r="718" spans="1:20" x14ac:dyDescent="0.25">
      <c r="A718" s="55" t="s">
        <v>1044</v>
      </c>
      <c r="B718" s="55" t="s">
        <v>861</v>
      </c>
      <c r="C718" s="55" t="s">
        <v>861</v>
      </c>
      <c r="D718" s="56" t="s">
        <v>1580</v>
      </c>
      <c r="E718" s="57"/>
      <c r="F718" s="75" t="s">
        <v>898</v>
      </c>
      <c r="G718" s="64"/>
      <c r="H718" s="58">
        <v>9755</v>
      </c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2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2</v>
      </c>
      <c r="P718" s="55"/>
      <c r="Q718" s="62">
        <f>REKAP[[#This Row],[Harga Satuan]]*REKAP[[#This Row],[Stok Akhir]]</f>
        <v>19510</v>
      </c>
      <c r="R718" s="61">
        <f>IF(REKAP[[#This Row],[Stok Aktual]]&lt;&gt;"",REKAP[[#This Row],[Stok Aktual]]-REKAP[[#This Row],[Stok Akhir]],0)</f>
        <v>0</v>
      </c>
      <c r="S718" s="132"/>
      <c r="T718" s="137">
        <f>IF(REKAP[[#This Row],[Selisih]]&lt;=-1,REKAP[[#This Row],[Harga Satuan]]*REKAP[[#This Row],[Selisih]],0)</f>
        <v>0</v>
      </c>
    </row>
    <row r="719" spans="1:20" x14ac:dyDescent="0.25">
      <c r="A719" s="55" t="s">
        <v>1045</v>
      </c>
      <c r="B719" s="55" t="s">
        <v>861</v>
      </c>
      <c r="C719" s="55" t="s">
        <v>861</v>
      </c>
      <c r="D719" s="56" t="s">
        <v>1581</v>
      </c>
      <c r="E719" s="57"/>
      <c r="F719" s="75" t="s">
        <v>898</v>
      </c>
      <c r="G719" s="64"/>
      <c r="H719" s="58">
        <v>8331</v>
      </c>
      <c r="I719" s="59">
        <f>IF(COUNTIF(MASUK[Kode Barang],REKAP[[#This Row],[ID]])=0,0,COUNTIF(MASUK[Kode Barang],REKAP[[#This Row],[ID]]))</f>
        <v>1</v>
      </c>
      <c r="J719" s="59">
        <f>IF(COUNTIF(MASUK8[Kode Barang],REKAP[[#This Row],[ID]])=0,0,COUNTIF(MASUK8[Kode Barang],REKAP[[#This Row],[ID]]))</f>
        <v>1</v>
      </c>
      <c r="K719" s="60">
        <f>REKAP[[#This Row],[Trx In]]+REKAP[[#This Row],[Trx Out]]</f>
        <v>2</v>
      </c>
      <c r="L719" s="55">
        <v>0</v>
      </c>
      <c r="M719" s="74">
        <f>SUMIF(MASUK!$C:$C,REKAP[[#This Row],[ID]],MASUK!$H:$H)</f>
        <v>2</v>
      </c>
      <c r="N719" s="74">
        <f>SUMIF(KELUAR!$C:$C,REKAP[[#This Row],[ID]],KELUAR!$H:$H)</f>
        <v>2</v>
      </c>
      <c r="O719" s="74">
        <f>REKAP[[#This Row],[Stok Awal]]+REKAP[[#This Row],[Masuk]]-REKAP[[#This Row],[Keluar]]</f>
        <v>0</v>
      </c>
      <c r="P719" s="55">
        <v>0</v>
      </c>
      <c r="Q719" s="62">
        <f>REKAP[[#This Row],[Harga Satuan]]*REKAP[[#This Row],[Stok Akhir]]</f>
        <v>0</v>
      </c>
      <c r="R719" s="61">
        <f>IF(REKAP[[#This Row],[Stok Aktual]]&lt;&gt;"",REKAP[[#This Row],[Stok Aktual]]-REKAP[[#This Row],[Stok Akhir]],0)</f>
        <v>0</v>
      </c>
      <c r="S719" s="132"/>
      <c r="T719" s="137">
        <f>IF(REKAP[[#This Row],[Selisih]]&lt;=-1,REKAP[[#This Row],[Harga Satuan]]*REKAP[[#This Row],[Selisih]],0)</f>
        <v>0</v>
      </c>
    </row>
    <row r="720" spans="1:20" x14ac:dyDescent="0.25">
      <c r="A720" s="55" t="s">
        <v>1046</v>
      </c>
      <c r="B720" s="55" t="s">
        <v>861</v>
      </c>
      <c r="C720" s="55" t="s">
        <v>861</v>
      </c>
      <c r="D720" s="56" t="s">
        <v>1582</v>
      </c>
      <c r="E720" s="57"/>
      <c r="F720" s="75" t="s">
        <v>898</v>
      </c>
      <c r="G720" s="64"/>
      <c r="H720" s="58">
        <v>10502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1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1</v>
      </c>
      <c r="P720" s="55"/>
      <c r="Q720" s="62">
        <f>REKAP[[#This Row],[Harga Satuan]]*REKAP[[#This Row],[Stok Akhir]]</f>
        <v>10502</v>
      </c>
      <c r="R720" s="61">
        <f>IF(REKAP[[#This Row],[Stok Aktual]]&lt;&gt;"",REKAP[[#This Row],[Stok Aktual]]-REKAP[[#This Row],[Stok Akhir]],0)</f>
        <v>0</v>
      </c>
      <c r="S720" s="132"/>
      <c r="T720" s="137">
        <f>IF(REKAP[[#This Row],[Selisih]]&lt;=-1,REKAP[[#This Row],[Harga Satuan]]*REKAP[[#This Row],[Selisih]],0)</f>
        <v>0</v>
      </c>
    </row>
    <row r="721" spans="1:20" x14ac:dyDescent="0.25">
      <c r="A721" s="55" t="s">
        <v>1047</v>
      </c>
      <c r="B721" s="55" t="s">
        <v>861</v>
      </c>
      <c r="C721" s="55" t="s">
        <v>861</v>
      </c>
      <c r="D721" s="56" t="s">
        <v>1583</v>
      </c>
      <c r="E721" s="57"/>
      <c r="F721" s="75" t="s">
        <v>898</v>
      </c>
      <c r="G721" s="64"/>
      <c r="H721" s="58">
        <v>12454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0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0</v>
      </c>
      <c r="P721" s="55"/>
      <c r="Q721" s="62">
        <f>REKAP[[#This Row],[Harga Satuan]]*REKAP[[#This Row],[Stok Akhir]]</f>
        <v>0</v>
      </c>
      <c r="R721" s="61">
        <f>IF(REKAP[[#This Row],[Stok Aktual]]&lt;&gt;"",REKAP[[#This Row],[Stok Aktual]]-REKAP[[#This Row],[Stok Akhir]],0)</f>
        <v>0</v>
      </c>
      <c r="S721" s="132"/>
      <c r="T721" s="137">
        <f>IF(REKAP[[#This Row],[Selisih]]&lt;=-1,REKAP[[#This Row],[Harga Satuan]]*REKAP[[#This Row],[Selisih]],0)</f>
        <v>0</v>
      </c>
    </row>
    <row r="722" spans="1:20" x14ac:dyDescent="0.25">
      <c r="A722" s="55" t="s">
        <v>1048</v>
      </c>
      <c r="B722" s="55" t="s">
        <v>861</v>
      </c>
      <c r="C722" s="55" t="s">
        <v>861</v>
      </c>
      <c r="D722" s="56" t="s">
        <v>1584</v>
      </c>
      <c r="E722" s="57"/>
      <c r="F722" s="75" t="s">
        <v>898</v>
      </c>
      <c r="G722" s="64"/>
      <c r="H722" s="58">
        <v>15832</v>
      </c>
      <c r="I722" s="59">
        <f>IF(COUNTIF(MASUK[Kode Barang],REKAP[[#This Row],[ID]])=0,0,COUNTIF(MASUK[Kode Barang],REKAP[[#This Row],[ID]]))</f>
        <v>1</v>
      </c>
      <c r="J722" s="59">
        <f>IF(COUNTIF(MASUK8[Kode Barang],REKAP[[#This Row],[ID]])=0,0,COUNTIF(MASUK8[Kode Barang],REKAP[[#This Row],[ID]]))</f>
        <v>1</v>
      </c>
      <c r="K722" s="60">
        <f>REKAP[[#This Row],[Trx In]]+REKAP[[#This Row],[Trx Out]]</f>
        <v>2</v>
      </c>
      <c r="L722" s="55">
        <v>0</v>
      </c>
      <c r="M722" s="74">
        <f>SUMIF(MASUK!$C:$C,REKAP[[#This Row],[ID]],MASUK!$H:$H)</f>
        <v>24</v>
      </c>
      <c r="N722" s="74">
        <f>SUMIF(KELUAR!$C:$C,REKAP[[#This Row],[ID]],KELUAR!$H:$H)</f>
        <v>24</v>
      </c>
      <c r="O722" s="74">
        <f>REKAP[[#This Row],[Stok Awal]]+REKAP[[#This Row],[Masuk]]-REKAP[[#This Row],[Keluar]]</f>
        <v>0</v>
      </c>
      <c r="P722" s="55">
        <v>0</v>
      </c>
      <c r="Q722" s="62">
        <f>REKAP[[#This Row],[Harga Satuan]]*REKAP[[#This Row],[Stok Akhir]]</f>
        <v>0</v>
      </c>
      <c r="R722" s="61">
        <f>IF(REKAP[[#This Row],[Stok Aktual]]&lt;&gt;"",REKAP[[#This Row],[Stok Aktual]]-REKAP[[#This Row],[Stok Akhir]],0)</f>
        <v>0</v>
      </c>
      <c r="S722" s="132"/>
      <c r="T722" s="137">
        <f>IF(REKAP[[#This Row],[Selisih]]&lt;=-1,REKAP[[#This Row],[Harga Satuan]]*REKAP[[#This Row],[Selisih]],0)</f>
        <v>0</v>
      </c>
    </row>
    <row r="723" spans="1:20" x14ac:dyDescent="0.25">
      <c r="A723" s="55" t="s">
        <v>1049</v>
      </c>
      <c r="B723" s="55" t="s">
        <v>861</v>
      </c>
      <c r="C723" s="55" t="s">
        <v>861</v>
      </c>
      <c r="D723" s="56" t="s">
        <v>1585</v>
      </c>
      <c r="E723" s="57"/>
      <c r="F723" s="75" t="s">
        <v>898</v>
      </c>
      <c r="G723" s="64"/>
      <c r="H723" s="58">
        <v>7394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0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0</v>
      </c>
      <c r="P723" s="55"/>
      <c r="Q723" s="62">
        <f>REKAP[[#This Row],[Harga Satuan]]*REKAP[[#This Row],[Stok Akhir]]</f>
        <v>0</v>
      </c>
      <c r="R723" s="61">
        <f>IF(REKAP[[#This Row],[Stok Aktual]]&lt;&gt;"",REKAP[[#This Row],[Stok Aktual]]-REKAP[[#This Row],[Stok Akhir]],0)</f>
        <v>0</v>
      </c>
      <c r="S723" s="132"/>
      <c r="T723" s="137">
        <f>IF(REKAP[[#This Row],[Selisih]]&lt;=-1,REKAP[[#This Row],[Harga Satuan]]*REKAP[[#This Row],[Selisih]],0)</f>
        <v>0</v>
      </c>
    </row>
    <row r="724" spans="1:20" x14ac:dyDescent="0.25">
      <c r="A724" s="55" t="s">
        <v>1050</v>
      </c>
      <c r="B724" s="55" t="s">
        <v>861</v>
      </c>
      <c r="C724" s="55" t="s">
        <v>861</v>
      </c>
      <c r="D724" s="56" t="s">
        <v>1586</v>
      </c>
      <c r="E724" s="57"/>
      <c r="F724" s="75" t="s">
        <v>898</v>
      </c>
      <c r="G724" s="64"/>
      <c r="H724" s="58">
        <v>11820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0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0</v>
      </c>
      <c r="P724" s="55"/>
      <c r="Q724" s="62">
        <f>REKAP[[#This Row],[Harga Satuan]]*REKAP[[#This Row],[Stok Akhir]]</f>
        <v>0</v>
      </c>
      <c r="R724" s="61">
        <f>IF(REKAP[[#This Row],[Stok Aktual]]&lt;&gt;"",REKAP[[#This Row],[Stok Aktual]]-REKAP[[#This Row],[Stok Akhir]],0)</f>
        <v>0</v>
      </c>
      <c r="S724" s="132"/>
      <c r="T724" s="137">
        <f>IF(REKAP[[#This Row],[Selisih]]&lt;=-1,REKAP[[#This Row],[Harga Satuan]]*REKAP[[#This Row],[Selisih]],0)</f>
        <v>0</v>
      </c>
    </row>
    <row r="725" spans="1:20" x14ac:dyDescent="0.25">
      <c r="A725" s="55" t="s">
        <v>1051</v>
      </c>
      <c r="B725" s="55" t="s">
        <v>861</v>
      </c>
      <c r="C725" s="55" t="s">
        <v>861</v>
      </c>
      <c r="D725" s="56" t="s">
        <v>1587</v>
      </c>
      <c r="E725" s="57"/>
      <c r="F725" s="75" t="s">
        <v>898</v>
      </c>
      <c r="G725" s="64"/>
      <c r="H725" s="58">
        <v>25492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1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1</v>
      </c>
      <c r="P725" s="55"/>
      <c r="Q725" s="62">
        <f>REKAP[[#This Row],[Harga Satuan]]*REKAP[[#This Row],[Stok Akhir]]</f>
        <v>25492</v>
      </c>
      <c r="R725" s="61">
        <f>IF(REKAP[[#This Row],[Stok Aktual]]&lt;&gt;"",REKAP[[#This Row],[Stok Aktual]]-REKAP[[#This Row],[Stok Akhir]],0)</f>
        <v>0</v>
      </c>
      <c r="S725" s="132"/>
      <c r="T725" s="137">
        <f>IF(REKAP[[#This Row],[Selisih]]&lt;=-1,REKAP[[#This Row],[Harga Satuan]]*REKAP[[#This Row],[Selisih]],0)</f>
        <v>0</v>
      </c>
    </row>
    <row r="726" spans="1:20" x14ac:dyDescent="0.25">
      <c r="A726" s="55" t="s">
        <v>1052</v>
      </c>
      <c r="B726" s="55" t="s">
        <v>861</v>
      </c>
      <c r="C726" s="55" t="s">
        <v>861</v>
      </c>
      <c r="D726" s="56" t="s">
        <v>1588</v>
      </c>
      <c r="E726" s="57"/>
      <c r="F726" s="75" t="s">
        <v>898</v>
      </c>
      <c r="G726" s="64"/>
      <c r="H726" s="58">
        <v>25492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0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0</v>
      </c>
      <c r="P726" s="55"/>
      <c r="Q726" s="62">
        <f>REKAP[[#This Row],[Harga Satuan]]*REKAP[[#This Row],[Stok Akhir]]</f>
        <v>0</v>
      </c>
      <c r="R726" s="61">
        <f>IF(REKAP[[#This Row],[Stok Aktual]]&lt;&gt;"",REKAP[[#This Row],[Stok Aktual]]-REKAP[[#This Row],[Stok Akhir]],0)</f>
        <v>0</v>
      </c>
      <c r="S726" s="132"/>
      <c r="T726" s="137">
        <f>IF(REKAP[[#This Row],[Selisih]]&lt;=-1,REKAP[[#This Row],[Harga Satuan]]*REKAP[[#This Row],[Selisih]],0)</f>
        <v>0</v>
      </c>
    </row>
    <row r="727" spans="1:20" x14ac:dyDescent="0.25">
      <c r="A727" s="55" t="s">
        <v>1053</v>
      </c>
      <c r="B727" s="55" t="s">
        <v>861</v>
      </c>
      <c r="C727" s="55" t="s">
        <v>861</v>
      </c>
      <c r="D727" s="56" t="s">
        <v>1589</v>
      </c>
      <c r="E727" s="57"/>
      <c r="F727" s="75" t="s">
        <v>898</v>
      </c>
      <c r="G727" s="64"/>
      <c r="H727" s="58">
        <v>25492</v>
      </c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3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3</v>
      </c>
      <c r="P727" s="55"/>
      <c r="Q727" s="62">
        <f>REKAP[[#This Row],[Harga Satuan]]*REKAP[[#This Row],[Stok Akhir]]</f>
        <v>76476</v>
      </c>
      <c r="R727" s="61">
        <f>IF(REKAP[[#This Row],[Stok Aktual]]&lt;&gt;"",REKAP[[#This Row],[Stok Aktual]]-REKAP[[#This Row],[Stok Akhir]],0)</f>
        <v>0</v>
      </c>
      <c r="S727" s="132"/>
      <c r="T727" s="137">
        <f>IF(REKAP[[#This Row],[Selisih]]&lt;=-1,REKAP[[#This Row],[Harga Satuan]]*REKAP[[#This Row],[Selisih]],0)</f>
        <v>0</v>
      </c>
    </row>
    <row r="728" spans="1:20" x14ac:dyDescent="0.25">
      <c r="A728" s="55" t="s">
        <v>1054</v>
      </c>
      <c r="B728" s="55" t="s">
        <v>861</v>
      </c>
      <c r="C728" s="55" t="s">
        <v>861</v>
      </c>
      <c r="D728" s="56" t="s">
        <v>1590</v>
      </c>
      <c r="E728" s="57"/>
      <c r="F728" s="75" t="s">
        <v>898</v>
      </c>
      <c r="G728" s="64"/>
      <c r="H728" s="58">
        <v>25492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0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0</v>
      </c>
      <c r="P728" s="55"/>
      <c r="Q728" s="62">
        <f>REKAP[[#This Row],[Harga Satuan]]*REKAP[[#This Row],[Stok Akhir]]</f>
        <v>0</v>
      </c>
      <c r="R728" s="61">
        <f>IF(REKAP[[#This Row],[Stok Aktual]]&lt;&gt;"",REKAP[[#This Row],[Stok Aktual]]-REKAP[[#This Row],[Stok Akhir]],0)</f>
        <v>0</v>
      </c>
      <c r="S728" s="132"/>
      <c r="T728" s="137">
        <f>IF(REKAP[[#This Row],[Selisih]]&lt;=-1,REKAP[[#This Row],[Harga Satuan]]*REKAP[[#This Row],[Selisih]],0)</f>
        <v>0</v>
      </c>
    </row>
    <row r="729" spans="1:20" x14ac:dyDescent="0.25">
      <c r="A729" s="55" t="s">
        <v>1055</v>
      </c>
      <c r="B729" s="55" t="s">
        <v>861</v>
      </c>
      <c r="C729" s="55" t="s">
        <v>861</v>
      </c>
      <c r="D729" s="56" t="s">
        <v>1591</v>
      </c>
      <c r="E729" s="57"/>
      <c r="F729" s="75" t="s">
        <v>898</v>
      </c>
      <c r="G729" s="64"/>
      <c r="H729" s="58">
        <v>25492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0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0</v>
      </c>
      <c r="P729" s="55"/>
      <c r="Q729" s="62">
        <f>REKAP[[#This Row],[Harga Satuan]]*REKAP[[#This Row],[Stok Akhir]]</f>
        <v>0</v>
      </c>
      <c r="R729" s="61">
        <f>IF(REKAP[[#This Row],[Stok Aktual]]&lt;&gt;"",REKAP[[#This Row],[Stok Aktual]]-REKAP[[#This Row],[Stok Akhir]],0)</f>
        <v>0</v>
      </c>
      <c r="S729" s="132"/>
      <c r="T729" s="137">
        <f>IF(REKAP[[#This Row],[Selisih]]&lt;=-1,REKAP[[#This Row],[Harga Satuan]]*REKAP[[#This Row],[Selisih]],0)</f>
        <v>0</v>
      </c>
    </row>
    <row r="730" spans="1:20" x14ac:dyDescent="0.25">
      <c r="A730" s="55" t="s">
        <v>1056</v>
      </c>
      <c r="B730" s="55" t="s">
        <v>861</v>
      </c>
      <c r="C730" s="55" t="s">
        <v>861</v>
      </c>
      <c r="D730" s="56" t="s">
        <v>1592</v>
      </c>
      <c r="E730" s="57"/>
      <c r="F730" s="75" t="s">
        <v>898</v>
      </c>
      <c r="G730" s="64"/>
      <c r="H730" s="58">
        <v>10058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0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0</v>
      </c>
      <c r="P730" s="55"/>
      <c r="Q730" s="62">
        <f>REKAP[[#This Row],[Harga Satuan]]*REKAP[[#This Row],[Stok Akhir]]</f>
        <v>0</v>
      </c>
      <c r="R730" s="61">
        <f>IF(REKAP[[#This Row],[Stok Aktual]]&lt;&gt;"",REKAP[[#This Row],[Stok Aktual]]-REKAP[[#This Row],[Stok Akhir]],0)</f>
        <v>0</v>
      </c>
      <c r="S730" s="132"/>
      <c r="T730" s="137">
        <f>IF(REKAP[[#This Row],[Selisih]]&lt;=-1,REKAP[[#This Row],[Harga Satuan]]*REKAP[[#This Row],[Selisih]],0)</f>
        <v>0</v>
      </c>
    </row>
    <row r="731" spans="1:20" x14ac:dyDescent="0.25">
      <c r="A731" s="55" t="s">
        <v>1057</v>
      </c>
      <c r="B731" s="55" t="s">
        <v>861</v>
      </c>
      <c r="C731" s="55" t="s">
        <v>861</v>
      </c>
      <c r="D731" s="56" t="s">
        <v>1593</v>
      </c>
      <c r="E731" s="57"/>
      <c r="F731" s="75" t="s">
        <v>898</v>
      </c>
      <c r="G731" s="64"/>
      <c r="H731" s="58">
        <v>17325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27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27</v>
      </c>
      <c r="P731" s="55"/>
      <c r="Q731" s="62">
        <f>REKAP[[#This Row],[Harga Satuan]]*REKAP[[#This Row],[Stok Akhir]]</f>
        <v>467775</v>
      </c>
      <c r="R731" s="61">
        <f>IF(REKAP[[#This Row],[Stok Aktual]]&lt;&gt;"",REKAP[[#This Row],[Stok Aktual]]-REKAP[[#This Row],[Stok Akhir]],0)</f>
        <v>0</v>
      </c>
      <c r="S731" s="132"/>
      <c r="T731" s="137">
        <f>IF(REKAP[[#This Row],[Selisih]]&lt;=-1,REKAP[[#This Row],[Harga Satuan]]*REKAP[[#This Row],[Selisih]],0)</f>
        <v>0</v>
      </c>
    </row>
    <row r="732" spans="1:20" x14ac:dyDescent="0.25">
      <c r="A732" s="55" t="s">
        <v>1058</v>
      </c>
      <c r="B732" s="55" t="s">
        <v>861</v>
      </c>
      <c r="C732" s="55" t="s">
        <v>861</v>
      </c>
      <c r="D732" s="56" t="s">
        <v>1594</v>
      </c>
      <c r="E732" s="57"/>
      <c r="F732" s="75" t="s">
        <v>898</v>
      </c>
      <c r="G732" s="64"/>
      <c r="H732" s="58">
        <v>15131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>
        <f>IF(REKAP[[#This Row],[Stok Aktual]]&lt;&gt;"",REKAP[[#This Row],[Stok Aktual]]-REKAP[[#This Row],[Stok Akhir]],0)</f>
        <v>0</v>
      </c>
      <c r="S732" s="132"/>
      <c r="T732" s="137">
        <f>IF(REKAP[[#This Row],[Selisih]]&lt;=-1,REKAP[[#This Row],[Harga Satuan]]*REKAP[[#This Row],[Selisih]],0)</f>
        <v>0</v>
      </c>
    </row>
    <row r="733" spans="1:20" x14ac:dyDescent="0.25">
      <c r="A733" s="55" t="s">
        <v>1059</v>
      </c>
      <c r="B733" s="55" t="s">
        <v>861</v>
      </c>
      <c r="C733" s="55" t="s">
        <v>861</v>
      </c>
      <c r="D733" s="56" t="s">
        <v>1595</v>
      </c>
      <c r="E733" s="57"/>
      <c r="F733" s="75" t="s">
        <v>898</v>
      </c>
      <c r="G733" s="64"/>
      <c r="H733" s="58">
        <v>17600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1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1</v>
      </c>
      <c r="P733" s="55"/>
      <c r="Q733" s="62">
        <f>REKAP[[#This Row],[Harga Satuan]]*REKAP[[#This Row],[Stok Akhir]]</f>
        <v>17600</v>
      </c>
      <c r="R733" s="61">
        <f>IF(REKAP[[#This Row],[Stok Aktual]]&lt;&gt;"",REKAP[[#This Row],[Stok Aktual]]-REKAP[[#This Row],[Stok Akhir]],0)</f>
        <v>0</v>
      </c>
      <c r="S733" s="132"/>
      <c r="T733" s="137">
        <f>IF(REKAP[[#This Row],[Selisih]]&lt;=-1,REKAP[[#This Row],[Harga Satuan]]*REKAP[[#This Row],[Selisih]],0)</f>
        <v>0</v>
      </c>
    </row>
    <row r="734" spans="1:20" x14ac:dyDescent="0.25">
      <c r="A734" s="55" t="s">
        <v>1060</v>
      </c>
      <c r="B734" s="55" t="s">
        <v>861</v>
      </c>
      <c r="C734" s="55" t="s">
        <v>861</v>
      </c>
      <c r="D734" s="56" t="s">
        <v>1596</v>
      </c>
      <c r="E734" s="57"/>
      <c r="F734" s="75" t="s">
        <v>898</v>
      </c>
      <c r="G734" s="64"/>
      <c r="H734" s="58">
        <v>15137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12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12</v>
      </c>
      <c r="P734" s="55"/>
      <c r="Q734" s="62">
        <f>REKAP[[#This Row],[Harga Satuan]]*REKAP[[#This Row],[Stok Akhir]]</f>
        <v>181644</v>
      </c>
      <c r="R734" s="61">
        <f>IF(REKAP[[#This Row],[Stok Aktual]]&lt;&gt;"",REKAP[[#This Row],[Stok Aktual]]-REKAP[[#This Row],[Stok Akhir]],0)</f>
        <v>0</v>
      </c>
      <c r="S734" s="132"/>
      <c r="T734" s="137">
        <f>IF(REKAP[[#This Row],[Selisih]]&lt;=-1,REKAP[[#This Row],[Harga Satuan]]*REKAP[[#This Row],[Selisih]],0)</f>
        <v>0</v>
      </c>
    </row>
    <row r="735" spans="1:20" x14ac:dyDescent="0.25">
      <c r="A735" s="55" t="s">
        <v>1061</v>
      </c>
      <c r="B735" s="55" t="s">
        <v>861</v>
      </c>
      <c r="C735" s="55" t="s">
        <v>861</v>
      </c>
      <c r="D735" s="56" t="s">
        <v>1597</v>
      </c>
      <c r="E735" s="57"/>
      <c r="F735" s="75" t="s">
        <v>898</v>
      </c>
      <c r="G735" s="64"/>
      <c r="H735" s="58">
        <v>19185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0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>
        <f>IF(REKAP[[#This Row],[Stok Aktual]]&lt;&gt;"",REKAP[[#This Row],[Stok Aktual]]-REKAP[[#This Row],[Stok Akhir]],0)</f>
        <v>0</v>
      </c>
      <c r="S735" s="132"/>
      <c r="T735" s="137">
        <f>IF(REKAP[[#This Row],[Selisih]]&lt;=-1,REKAP[[#This Row],[Harga Satuan]]*REKAP[[#This Row],[Selisih]],0)</f>
        <v>0</v>
      </c>
    </row>
    <row r="736" spans="1:20" x14ac:dyDescent="0.25">
      <c r="A736" s="55" t="s">
        <v>1062</v>
      </c>
      <c r="B736" s="55" t="s">
        <v>861</v>
      </c>
      <c r="C736" s="55" t="s">
        <v>861</v>
      </c>
      <c r="D736" s="56" t="s">
        <v>1598</v>
      </c>
      <c r="E736" s="57"/>
      <c r="F736" s="75" t="s">
        <v>898</v>
      </c>
      <c r="G736" s="55"/>
      <c r="H736" s="58">
        <v>23087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0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0</v>
      </c>
      <c r="P736" s="55"/>
      <c r="Q736" s="62">
        <f>REKAP[[#This Row],[Harga Satuan]]*REKAP[[#This Row],[Stok Akhir]]</f>
        <v>0</v>
      </c>
      <c r="R736" s="61">
        <f>IF(REKAP[[#This Row],[Stok Aktual]]&lt;&gt;"",REKAP[[#This Row],[Stok Aktual]]-REKAP[[#This Row],[Stok Akhir]],0)</f>
        <v>0</v>
      </c>
      <c r="S736" s="132"/>
      <c r="T736" s="137">
        <f>IF(REKAP[[#This Row],[Selisih]]&lt;=-1,REKAP[[#This Row],[Harga Satuan]]*REKAP[[#This Row],[Selisih]],0)</f>
        <v>0</v>
      </c>
    </row>
    <row r="737" spans="1:20" x14ac:dyDescent="0.25">
      <c r="A737" s="55" t="s">
        <v>1063</v>
      </c>
      <c r="B737" s="55" t="s">
        <v>861</v>
      </c>
      <c r="C737" s="55" t="s">
        <v>861</v>
      </c>
      <c r="D737" s="56" t="s">
        <v>1599</v>
      </c>
      <c r="E737" s="57"/>
      <c r="F737" s="75" t="s">
        <v>898</v>
      </c>
      <c r="G737" s="55"/>
      <c r="H737" s="58">
        <v>28417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2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2</v>
      </c>
      <c r="P737" s="55"/>
      <c r="Q737" s="62">
        <f>REKAP[[#This Row],[Harga Satuan]]*REKAP[[#This Row],[Stok Akhir]]</f>
        <v>56834</v>
      </c>
      <c r="R737" s="61">
        <f>IF(REKAP[[#This Row],[Stok Aktual]]&lt;&gt;"",REKAP[[#This Row],[Stok Aktual]]-REKAP[[#This Row],[Stok Akhir]],0)</f>
        <v>0</v>
      </c>
      <c r="S737" s="132"/>
      <c r="T737" s="137">
        <f>IF(REKAP[[#This Row],[Selisih]]&lt;=-1,REKAP[[#This Row],[Harga Satuan]]*REKAP[[#This Row],[Selisih]],0)</f>
        <v>0</v>
      </c>
    </row>
    <row r="738" spans="1:20" x14ac:dyDescent="0.25">
      <c r="A738" s="55" t="s">
        <v>1064</v>
      </c>
      <c r="B738" s="55" t="s">
        <v>861</v>
      </c>
      <c r="C738" s="55" t="s">
        <v>861</v>
      </c>
      <c r="D738" s="56" t="s">
        <v>1600</v>
      </c>
      <c r="E738" s="57"/>
      <c r="F738" s="75" t="s">
        <v>898</v>
      </c>
      <c r="G738" s="55"/>
      <c r="H738" s="58">
        <v>35017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0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0</v>
      </c>
      <c r="P738" s="55"/>
      <c r="Q738" s="62">
        <f>REKAP[[#This Row],[Harga Satuan]]*REKAP[[#This Row],[Stok Akhir]]</f>
        <v>0</v>
      </c>
      <c r="R738" s="61">
        <f>IF(REKAP[[#This Row],[Stok Aktual]]&lt;&gt;"",REKAP[[#This Row],[Stok Aktual]]-REKAP[[#This Row],[Stok Akhir]],0)</f>
        <v>0</v>
      </c>
      <c r="S738" s="132"/>
      <c r="T738" s="137">
        <f>IF(REKAP[[#This Row],[Selisih]]&lt;=-1,REKAP[[#This Row],[Harga Satuan]]*REKAP[[#This Row],[Selisih]],0)</f>
        <v>0</v>
      </c>
    </row>
    <row r="739" spans="1:20" x14ac:dyDescent="0.25">
      <c r="A739" s="55" t="s">
        <v>1065</v>
      </c>
      <c r="B739" s="55" t="s">
        <v>861</v>
      </c>
      <c r="C739" s="55" t="s">
        <v>861</v>
      </c>
      <c r="D739" s="56" t="s">
        <v>1601</v>
      </c>
      <c r="E739" s="57"/>
      <c r="F739" s="75" t="s">
        <v>898</v>
      </c>
      <c r="G739" s="55"/>
      <c r="H739" s="58">
        <v>39768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44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44</v>
      </c>
      <c r="P739" s="55"/>
      <c r="Q739" s="62">
        <f>REKAP[[#This Row],[Harga Satuan]]*REKAP[[#This Row],[Stok Akhir]]</f>
        <v>1749792</v>
      </c>
      <c r="R739" s="61">
        <f>IF(REKAP[[#This Row],[Stok Aktual]]&lt;&gt;"",REKAP[[#This Row],[Stok Aktual]]-REKAP[[#This Row],[Stok Akhir]],0)</f>
        <v>0</v>
      </c>
      <c r="S739" s="132"/>
      <c r="T739" s="137">
        <f>IF(REKAP[[#This Row],[Selisih]]&lt;=-1,REKAP[[#This Row],[Harga Satuan]]*REKAP[[#This Row],[Selisih]],0)</f>
        <v>0</v>
      </c>
    </row>
    <row r="740" spans="1:20" x14ac:dyDescent="0.25">
      <c r="A740" s="55" t="s">
        <v>1066</v>
      </c>
      <c r="B740" s="55" t="s">
        <v>861</v>
      </c>
      <c r="C740" s="55" t="s">
        <v>861</v>
      </c>
      <c r="D740" s="56" t="s">
        <v>1602</v>
      </c>
      <c r="E740" s="57"/>
      <c r="F740" s="75" t="s">
        <v>898</v>
      </c>
      <c r="G740" s="55"/>
      <c r="H740" s="58">
        <v>39768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0</v>
      </c>
      <c r="K740" s="60">
        <f>REKAP[[#This Row],[Trx In]]+REKAP[[#This Row],[Trx Out]]</f>
        <v>0</v>
      </c>
      <c r="L740" s="55">
        <v>1</v>
      </c>
      <c r="M740" s="74">
        <f>SUMIF(MASUK!$C:$C,REKAP[[#This Row],[ID]],MASUK!$H:$H)</f>
        <v>0</v>
      </c>
      <c r="N740" s="74">
        <f>SUMIF(KELUAR!$C:$C,REKAP[[#This Row],[ID]],KELUAR!$H:$H)</f>
        <v>0</v>
      </c>
      <c r="O740" s="74">
        <f>REKAP[[#This Row],[Stok Awal]]+REKAP[[#This Row],[Masuk]]-REKAP[[#This Row],[Keluar]]</f>
        <v>1</v>
      </c>
      <c r="P740" s="55"/>
      <c r="Q740" s="62">
        <f>REKAP[[#This Row],[Harga Satuan]]*REKAP[[#This Row],[Stok Akhir]]</f>
        <v>39768</v>
      </c>
      <c r="R740" s="61">
        <f>IF(REKAP[[#This Row],[Stok Aktual]]&lt;&gt;"",REKAP[[#This Row],[Stok Aktual]]-REKAP[[#This Row],[Stok Akhir]],0)</f>
        <v>0</v>
      </c>
      <c r="S740" s="132"/>
      <c r="T740" s="137">
        <f>IF(REKAP[[#This Row],[Selisih]]&lt;=-1,REKAP[[#This Row],[Harga Satuan]]*REKAP[[#This Row],[Selisih]],0)</f>
        <v>0</v>
      </c>
    </row>
    <row r="741" spans="1:20" x14ac:dyDescent="0.25">
      <c r="A741" s="55" t="s">
        <v>1067</v>
      </c>
      <c r="B741" s="55" t="s">
        <v>861</v>
      </c>
      <c r="C741" s="55" t="s">
        <v>861</v>
      </c>
      <c r="D741" s="56" t="s">
        <v>1603</v>
      </c>
      <c r="E741" s="57"/>
      <c r="F741" s="75" t="s">
        <v>898</v>
      </c>
      <c r="G741" s="55"/>
      <c r="H741" s="58">
        <v>19277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0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0</v>
      </c>
      <c r="P741" s="55"/>
      <c r="Q741" s="62">
        <f>REKAP[[#This Row],[Harga Satuan]]*REKAP[[#This Row],[Stok Akhir]]</f>
        <v>0</v>
      </c>
      <c r="R741" s="61">
        <f>IF(REKAP[[#This Row],[Stok Aktual]]&lt;&gt;"",REKAP[[#This Row],[Stok Aktual]]-REKAP[[#This Row],[Stok Akhir]],0)</f>
        <v>0</v>
      </c>
      <c r="S741" s="132"/>
      <c r="T741" s="137">
        <f>IF(REKAP[[#This Row],[Selisih]]&lt;=-1,REKAP[[#This Row],[Harga Satuan]]*REKAP[[#This Row],[Selisih]],0)</f>
        <v>0</v>
      </c>
    </row>
    <row r="742" spans="1:20" x14ac:dyDescent="0.25">
      <c r="A742" s="55" t="s">
        <v>1068</v>
      </c>
      <c r="B742" s="55" t="s">
        <v>861</v>
      </c>
      <c r="C742" s="55" t="s">
        <v>861</v>
      </c>
      <c r="D742" s="56" t="s">
        <v>1604</v>
      </c>
      <c r="E742" s="57"/>
      <c r="F742" s="75" t="s">
        <v>898</v>
      </c>
      <c r="G742" s="55"/>
      <c r="H742" s="58">
        <v>20075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4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4</v>
      </c>
      <c r="P742" s="55"/>
      <c r="Q742" s="62">
        <f>REKAP[[#This Row],[Harga Satuan]]*REKAP[[#This Row],[Stok Akhir]]</f>
        <v>80300</v>
      </c>
      <c r="R742" s="61">
        <f>IF(REKAP[[#This Row],[Stok Aktual]]&lt;&gt;"",REKAP[[#This Row],[Stok Aktual]]-REKAP[[#This Row],[Stok Akhir]],0)</f>
        <v>0</v>
      </c>
      <c r="S742" s="132"/>
      <c r="T742" s="137">
        <f>IF(REKAP[[#This Row],[Selisih]]&lt;=-1,REKAP[[#This Row],[Harga Satuan]]*REKAP[[#This Row],[Selisih]],0)</f>
        <v>0</v>
      </c>
    </row>
    <row r="743" spans="1:20" x14ac:dyDescent="0.25">
      <c r="A743" s="55" t="s">
        <v>1069</v>
      </c>
      <c r="B743" s="55" t="s">
        <v>861</v>
      </c>
      <c r="C743" s="55" t="s">
        <v>861</v>
      </c>
      <c r="D743" s="56" t="s">
        <v>1605</v>
      </c>
      <c r="E743" s="57"/>
      <c r="F743" s="75" t="s">
        <v>898</v>
      </c>
      <c r="G743" s="55"/>
      <c r="H743" s="58">
        <v>24790</v>
      </c>
      <c r="I743" s="59">
        <f>IF(COUNTIF(MASUK[Kode Barang],REKAP[[#This Row],[ID]])=0,0,COUNTIF(MASUK[Kode Barang],REKAP[[#This Row],[ID]]))</f>
        <v>1</v>
      </c>
      <c r="J743" s="59">
        <f>IF(COUNTIF(MASUK8[Kode Barang],REKAP[[#This Row],[ID]])=0,0,COUNTIF(MASUK8[Kode Barang],REKAP[[#This Row],[ID]]))</f>
        <v>1</v>
      </c>
      <c r="K743" s="60">
        <f>REKAP[[#This Row],[Trx In]]+REKAP[[#This Row],[Trx Out]]</f>
        <v>2</v>
      </c>
      <c r="L743" s="55">
        <v>1</v>
      </c>
      <c r="M743" s="74">
        <f>SUMIF(MASUK!$C:$C,REKAP[[#This Row],[ID]],MASUK!$H:$H)</f>
        <v>48</v>
      </c>
      <c r="N743" s="74">
        <f>SUMIF(KELUAR!$C:$C,REKAP[[#This Row],[ID]],KELUAR!$H:$H)</f>
        <v>48</v>
      </c>
      <c r="O743" s="74">
        <f>REKAP[[#This Row],[Stok Awal]]+REKAP[[#This Row],[Masuk]]-REKAP[[#This Row],[Keluar]]</f>
        <v>1</v>
      </c>
      <c r="P743" s="55">
        <v>1</v>
      </c>
      <c r="Q743" s="62">
        <f>REKAP[[#This Row],[Harga Satuan]]*REKAP[[#This Row],[Stok Akhir]]</f>
        <v>24790</v>
      </c>
      <c r="R743" s="61">
        <f>IF(REKAP[[#This Row],[Stok Aktual]]&lt;&gt;"",REKAP[[#This Row],[Stok Aktual]]-REKAP[[#This Row],[Stok Akhir]],0)</f>
        <v>0</v>
      </c>
      <c r="S743" s="132"/>
      <c r="T743" s="137">
        <f>IF(REKAP[[#This Row],[Selisih]]&lt;=-1,REKAP[[#This Row],[Harga Satuan]]*REKAP[[#This Row],[Selisih]],0)</f>
        <v>0</v>
      </c>
    </row>
    <row r="744" spans="1:20" x14ac:dyDescent="0.25">
      <c r="A744" s="55" t="s">
        <v>1070</v>
      </c>
      <c r="B744" s="55" t="s">
        <v>861</v>
      </c>
      <c r="C744" s="55" t="s">
        <v>861</v>
      </c>
      <c r="D744" s="56" t="s">
        <v>1606</v>
      </c>
      <c r="E744" s="57"/>
      <c r="F744" s="75" t="s">
        <v>898</v>
      </c>
      <c r="G744" s="55"/>
      <c r="H744" s="58">
        <v>30066</v>
      </c>
      <c r="I744" s="59">
        <f>IF(COUNTIF(MASUK[Kode Barang],REKAP[[#This Row],[ID]])=0,0,COUNTIF(MASUK[Kode Barang],REKAP[[#This Row],[ID]]))</f>
        <v>0</v>
      </c>
      <c r="J744" s="59">
        <f>IF(COUNTIF(MASUK8[Kode Barang],REKAP[[#This Row],[ID]])=0,0,COUNTIF(MASUK8[Kode Barang],REKAP[[#This Row],[ID]]))</f>
        <v>0</v>
      </c>
      <c r="K744" s="60">
        <f>REKAP[[#This Row],[Trx In]]+REKAP[[#This Row],[Trx Out]]</f>
        <v>0</v>
      </c>
      <c r="L744" s="55">
        <v>1</v>
      </c>
      <c r="M744" s="74">
        <f>SUMIF(MASUK!$C:$C,REKAP[[#This Row],[ID]],MASUK!$H:$H)</f>
        <v>0</v>
      </c>
      <c r="N744" s="74">
        <f>SUMIF(KELUAR!$C:$C,REKAP[[#This Row],[ID]],KELUAR!$H:$H)</f>
        <v>0</v>
      </c>
      <c r="O744" s="74">
        <f>REKAP[[#This Row],[Stok Awal]]+REKAP[[#This Row],[Masuk]]-REKAP[[#This Row],[Keluar]]</f>
        <v>1</v>
      </c>
      <c r="P744" s="55"/>
      <c r="Q744" s="62">
        <f>REKAP[[#This Row],[Harga Satuan]]*REKAP[[#This Row],[Stok Akhir]]</f>
        <v>30066</v>
      </c>
      <c r="R744" s="61">
        <f>IF(REKAP[[#This Row],[Stok Aktual]]&lt;&gt;"",REKAP[[#This Row],[Stok Aktual]]-REKAP[[#This Row],[Stok Akhir]],0)</f>
        <v>0</v>
      </c>
      <c r="S744" s="132"/>
      <c r="T744" s="137">
        <f>IF(REKAP[[#This Row],[Selisih]]&lt;=-1,REKAP[[#This Row],[Harga Satuan]]*REKAP[[#This Row],[Selisih]],0)</f>
        <v>0</v>
      </c>
    </row>
    <row r="745" spans="1:20" x14ac:dyDescent="0.25">
      <c r="A745" s="55" t="s">
        <v>1071</v>
      </c>
      <c r="B745" s="55" t="s">
        <v>861</v>
      </c>
      <c r="C745" s="55" t="s">
        <v>861</v>
      </c>
      <c r="D745" s="56" t="s">
        <v>1607</v>
      </c>
      <c r="E745" s="57"/>
      <c r="F745" s="75" t="s">
        <v>898</v>
      </c>
      <c r="G745" s="55"/>
      <c r="H745" s="58">
        <v>24000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0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0</v>
      </c>
      <c r="P745" s="55"/>
      <c r="Q745" s="62">
        <f>REKAP[[#This Row],[Harga Satuan]]*REKAP[[#This Row],[Stok Akhir]]</f>
        <v>0</v>
      </c>
      <c r="R745" s="61">
        <f>IF(REKAP[[#This Row],[Stok Aktual]]&lt;&gt;"",REKAP[[#This Row],[Stok Aktual]]-REKAP[[#This Row],[Stok Akhir]],0)</f>
        <v>0</v>
      </c>
      <c r="S745" s="132"/>
      <c r="T745" s="137">
        <f>IF(REKAP[[#This Row],[Selisih]]&lt;=-1,REKAP[[#This Row],[Harga Satuan]]*REKAP[[#This Row],[Selisih]],0)</f>
        <v>0</v>
      </c>
    </row>
    <row r="746" spans="1:20" x14ac:dyDescent="0.25">
      <c r="A746" s="55" t="s">
        <v>1072</v>
      </c>
      <c r="B746" s="55" t="s">
        <v>861</v>
      </c>
      <c r="C746" s="55" t="s">
        <v>861</v>
      </c>
      <c r="D746" s="56" t="s">
        <v>1608</v>
      </c>
      <c r="E746" s="57"/>
      <c r="F746" s="75" t="s">
        <v>898</v>
      </c>
      <c r="G746" s="55"/>
      <c r="H746" s="58">
        <v>16000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0</v>
      </c>
      <c r="K746" s="60">
        <f>REKAP[[#This Row],[Trx In]]+REKAP[[#This Row],[Trx Out]]</f>
        <v>0</v>
      </c>
      <c r="L746" s="55">
        <v>0</v>
      </c>
      <c r="M746" s="74">
        <f>SUMIF(MASUK!$C:$C,REKAP[[#This Row],[ID]],MASUK!$H:$H)</f>
        <v>0</v>
      </c>
      <c r="N746" s="74">
        <f>SUMIF(KELUAR!$C:$C,REKAP[[#This Row],[ID]],KELUAR!$H:$H)</f>
        <v>0</v>
      </c>
      <c r="O746" s="74">
        <f>REKAP[[#This Row],[Stok Awal]]+REKAP[[#This Row],[Masuk]]-REKAP[[#This Row],[Keluar]]</f>
        <v>0</v>
      </c>
      <c r="P746" s="55"/>
      <c r="Q746" s="62">
        <f>REKAP[[#This Row],[Harga Satuan]]*REKAP[[#This Row],[Stok Akhir]]</f>
        <v>0</v>
      </c>
      <c r="R746" s="61">
        <f>IF(REKAP[[#This Row],[Stok Aktual]]&lt;&gt;"",REKAP[[#This Row],[Stok Aktual]]-REKAP[[#This Row],[Stok Akhir]],0)</f>
        <v>0</v>
      </c>
      <c r="S746" s="132"/>
      <c r="T746" s="137">
        <f>IF(REKAP[[#This Row],[Selisih]]&lt;=-1,REKAP[[#This Row],[Harga Satuan]]*REKAP[[#This Row],[Selisih]],0)</f>
        <v>0</v>
      </c>
    </row>
    <row r="747" spans="1:20" x14ac:dyDescent="0.25">
      <c r="A747" s="55" t="s">
        <v>1073</v>
      </c>
      <c r="B747" s="55" t="s">
        <v>861</v>
      </c>
      <c r="C747" s="55" t="s">
        <v>861</v>
      </c>
      <c r="D747" s="56" t="s">
        <v>1609</v>
      </c>
      <c r="E747" s="57"/>
      <c r="F747" s="75" t="s">
        <v>898</v>
      </c>
      <c r="G747" s="55"/>
      <c r="H747" s="58">
        <v>17405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10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10</v>
      </c>
      <c r="P747" s="55"/>
      <c r="Q747" s="62">
        <f>REKAP[[#This Row],[Harga Satuan]]*REKAP[[#This Row],[Stok Akhir]]</f>
        <v>174050</v>
      </c>
      <c r="R747" s="61">
        <f>IF(REKAP[[#This Row],[Stok Aktual]]&lt;&gt;"",REKAP[[#This Row],[Stok Aktual]]-REKAP[[#This Row],[Stok Akhir]],0)</f>
        <v>0</v>
      </c>
      <c r="S747" s="132"/>
      <c r="T747" s="137">
        <f>IF(REKAP[[#This Row],[Selisih]]&lt;=-1,REKAP[[#This Row],[Harga Satuan]]*REKAP[[#This Row],[Selisih]],0)</f>
        <v>0</v>
      </c>
    </row>
    <row r="748" spans="1:20" x14ac:dyDescent="0.25">
      <c r="A748" s="55" t="s">
        <v>1074</v>
      </c>
      <c r="B748" s="55" t="s">
        <v>861</v>
      </c>
      <c r="C748" s="55" t="s">
        <v>861</v>
      </c>
      <c r="D748" s="56" t="s">
        <v>1610</v>
      </c>
      <c r="E748" s="57"/>
      <c r="F748" s="75" t="s">
        <v>898</v>
      </c>
      <c r="G748" s="55"/>
      <c r="H748" s="58">
        <v>109925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0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0</v>
      </c>
      <c r="P748" s="55"/>
      <c r="Q748" s="62">
        <f>REKAP[[#This Row],[Harga Satuan]]*REKAP[[#This Row],[Stok Akhir]]</f>
        <v>0</v>
      </c>
      <c r="R748" s="61">
        <f>IF(REKAP[[#This Row],[Stok Aktual]]&lt;&gt;"",REKAP[[#This Row],[Stok Aktual]]-REKAP[[#This Row],[Stok Akhir]],0)</f>
        <v>0</v>
      </c>
      <c r="S748" s="132"/>
      <c r="T748" s="137">
        <f>IF(REKAP[[#This Row],[Selisih]]&lt;=-1,REKAP[[#This Row],[Harga Satuan]]*REKAP[[#This Row],[Selisih]],0)</f>
        <v>0</v>
      </c>
    </row>
    <row r="749" spans="1:20" x14ac:dyDescent="0.25">
      <c r="A749" s="55" t="s">
        <v>1075</v>
      </c>
      <c r="B749" s="55" t="s">
        <v>861</v>
      </c>
      <c r="C749" s="55" t="s">
        <v>861</v>
      </c>
      <c r="D749" s="56" t="s">
        <v>1611</v>
      </c>
      <c r="E749" s="57"/>
      <c r="F749" s="75" t="s">
        <v>898</v>
      </c>
      <c r="G749" s="55"/>
      <c r="H749" s="58">
        <v>20995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6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6</v>
      </c>
      <c r="P749" s="55"/>
      <c r="Q749" s="62">
        <f>REKAP[[#This Row],[Harga Satuan]]*REKAP[[#This Row],[Stok Akhir]]</f>
        <v>125970</v>
      </c>
      <c r="R749" s="61">
        <f>IF(REKAP[[#This Row],[Stok Aktual]]&lt;&gt;"",REKAP[[#This Row],[Stok Aktual]]-REKAP[[#This Row],[Stok Akhir]],0)</f>
        <v>0</v>
      </c>
      <c r="S749" s="132"/>
      <c r="T749" s="137">
        <f>IF(REKAP[[#This Row],[Selisih]]&lt;=-1,REKAP[[#This Row],[Harga Satuan]]*REKAP[[#This Row],[Selisih]],0)</f>
        <v>0</v>
      </c>
    </row>
    <row r="750" spans="1:20" x14ac:dyDescent="0.25">
      <c r="A750" s="55" t="s">
        <v>1076</v>
      </c>
      <c r="B750" s="55" t="s">
        <v>861</v>
      </c>
      <c r="C750" s="55" t="s">
        <v>861</v>
      </c>
      <c r="D750" s="56" t="s">
        <v>1612</v>
      </c>
      <c r="E750" s="57"/>
      <c r="F750" s="75" t="s">
        <v>898</v>
      </c>
      <c r="G750" s="55"/>
      <c r="H750" s="58">
        <v>24103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1</v>
      </c>
      <c r="P750" s="55"/>
      <c r="Q750" s="62">
        <f>REKAP[[#This Row],[Harga Satuan]]*REKAP[[#This Row],[Stok Akhir]]</f>
        <v>24103</v>
      </c>
      <c r="R750" s="61">
        <f>IF(REKAP[[#This Row],[Stok Aktual]]&lt;&gt;"",REKAP[[#This Row],[Stok Aktual]]-REKAP[[#This Row],[Stok Akhir]],0)</f>
        <v>0</v>
      </c>
      <c r="S750" s="132"/>
      <c r="T750" s="137">
        <f>IF(REKAP[[#This Row],[Selisih]]&lt;=-1,REKAP[[#This Row],[Harga Satuan]]*REKAP[[#This Row],[Selisih]],0)</f>
        <v>0</v>
      </c>
    </row>
    <row r="751" spans="1:20" x14ac:dyDescent="0.25">
      <c r="A751" s="55" t="s">
        <v>1077</v>
      </c>
      <c r="B751" s="55" t="s">
        <v>861</v>
      </c>
      <c r="C751" s="55" t="s">
        <v>861</v>
      </c>
      <c r="D751" s="56" t="s">
        <v>1613</v>
      </c>
      <c r="E751" s="57"/>
      <c r="F751" s="75" t="s">
        <v>898</v>
      </c>
      <c r="G751" s="55"/>
      <c r="H751" s="58">
        <v>34284</v>
      </c>
      <c r="I751" s="59">
        <f>IF(COUNTIF(MASUK[Kode Barang],REKAP[[#This Row],[ID]])=0,0,COUNTIF(MASUK[Kode Barang],REKAP[[#This Row],[ID]]))</f>
        <v>0</v>
      </c>
      <c r="J751" s="59">
        <f>IF(COUNTIF(MASUK8[Kode Barang],REKAP[[#This Row],[ID]])=0,0,COUNTIF(MASUK8[Kode Barang],REKAP[[#This Row],[ID]]))</f>
        <v>0</v>
      </c>
      <c r="K751" s="60">
        <f>REKAP[[#This Row],[Trx In]]+REKAP[[#This Row],[Trx Out]]</f>
        <v>0</v>
      </c>
      <c r="L751" s="55">
        <v>2</v>
      </c>
      <c r="M751" s="74">
        <f>SUMIF(MASUK!$C:$C,REKAP[[#This Row],[ID]],MASUK!$H:$H)</f>
        <v>0</v>
      </c>
      <c r="N751" s="74">
        <f>SUMIF(KELUAR!$C:$C,REKAP[[#This Row],[ID]],KELUAR!$H:$H)</f>
        <v>0</v>
      </c>
      <c r="O751" s="74">
        <f>REKAP[[#This Row],[Stok Awal]]+REKAP[[#This Row],[Masuk]]-REKAP[[#This Row],[Keluar]]</f>
        <v>2</v>
      </c>
      <c r="P751" s="55"/>
      <c r="Q751" s="62">
        <f>REKAP[[#This Row],[Harga Satuan]]*REKAP[[#This Row],[Stok Akhir]]</f>
        <v>68568</v>
      </c>
      <c r="R751" s="61">
        <f>IF(REKAP[[#This Row],[Stok Aktual]]&lt;&gt;"",REKAP[[#This Row],[Stok Aktual]]-REKAP[[#This Row],[Stok Akhir]],0)</f>
        <v>0</v>
      </c>
      <c r="S751" s="132"/>
      <c r="T751" s="137">
        <f>IF(REKAP[[#This Row],[Selisih]]&lt;=-1,REKAP[[#This Row],[Harga Satuan]]*REKAP[[#This Row],[Selisih]],0)</f>
        <v>0</v>
      </c>
    </row>
    <row r="752" spans="1:20" x14ac:dyDescent="0.25">
      <c r="A752" s="55" t="s">
        <v>1078</v>
      </c>
      <c r="B752" s="55" t="s">
        <v>861</v>
      </c>
      <c r="C752" s="55" t="s">
        <v>861</v>
      </c>
      <c r="D752" s="56" t="s">
        <v>1614</v>
      </c>
      <c r="E752" s="57"/>
      <c r="F752" s="75" t="s">
        <v>898</v>
      </c>
      <c r="G752" s="55"/>
      <c r="H752" s="58">
        <v>24000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1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1</v>
      </c>
      <c r="P752" s="55"/>
      <c r="Q752" s="62">
        <f>REKAP[[#This Row],[Harga Satuan]]*REKAP[[#This Row],[Stok Akhir]]</f>
        <v>24000</v>
      </c>
      <c r="R752" s="61">
        <f>IF(REKAP[[#This Row],[Stok Aktual]]&lt;&gt;"",REKAP[[#This Row],[Stok Aktual]]-REKAP[[#This Row],[Stok Akhir]],0)</f>
        <v>0</v>
      </c>
      <c r="S752" s="132"/>
      <c r="T752" s="137">
        <f>IF(REKAP[[#This Row],[Selisih]]&lt;=-1,REKAP[[#This Row],[Harga Satuan]]*REKAP[[#This Row],[Selisih]],0)</f>
        <v>0</v>
      </c>
    </row>
    <row r="753" spans="1:20" x14ac:dyDescent="0.25">
      <c r="A753" s="55" t="s">
        <v>1079</v>
      </c>
      <c r="B753" s="55" t="s">
        <v>861</v>
      </c>
      <c r="C753" s="55" t="s">
        <v>861</v>
      </c>
      <c r="D753" s="56" t="s">
        <v>1615</v>
      </c>
      <c r="E753" s="57"/>
      <c r="F753" s="75" t="s">
        <v>898</v>
      </c>
      <c r="G753" s="55"/>
      <c r="H753" s="58">
        <v>64848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0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0</v>
      </c>
      <c r="P753" s="55"/>
      <c r="Q753" s="62">
        <f>REKAP[[#This Row],[Harga Satuan]]*REKAP[[#This Row],[Stok Akhir]]</f>
        <v>0</v>
      </c>
      <c r="R753" s="61">
        <f>IF(REKAP[[#This Row],[Stok Aktual]]&lt;&gt;"",REKAP[[#This Row],[Stok Aktual]]-REKAP[[#This Row],[Stok Akhir]],0)</f>
        <v>0</v>
      </c>
      <c r="S753" s="132"/>
      <c r="T753" s="137">
        <f>IF(REKAP[[#This Row],[Selisih]]&lt;=-1,REKAP[[#This Row],[Harga Satuan]]*REKAP[[#This Row],[Selisih]],0)</f>
        <v>0</v>
      </c>
    </row>
    <row r="754" spans="1:20" x14ac:dyDescent="0.25">
      <c r="A754" s="55" t="s">
        <v>1080</v>
      </c>
      <c r="B754" s="55" t="s">
        <v>861</v>
      </c>
      <c r="C754" s="55" t="s">
        <v>861</v>
      </c>
      <c r="D754" s="56" t="s">
        <v>1616</v>
      </c>
      <c r="E754" s="57"/>
      <c r="F754" s="75" t="s">
        <v>898</v>
      </c>
      <c r="G754" s="55"/>
      <c r="H754" s="58">
        <v>47398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</v>
      </c>
      <c r="P754" s="55"/>
      <c r="Q754" s="62">
        <f>REKAP[[#This Row],[Harga Satuan]]*REKAP[[#This Row],[Stok Akhir]]</f>
        <v>94796</v>
      </c>
      <c r="R754" s="61">
        <f>IF(REKAP[[#This Row],[Stok Aktual]]&lt;&gt;"",REKAP[[#This Row],[Stok Aktual]]-REKAP[[#This Row],[Stok Akhir]],0)</f>
        <v>0</v>
      </c>
      <c r="S754" s="132"/>
      <c r="T754" s="137">
        <f>IF(REKAP[[#This Row],[Selisih]]&lt;=-1,REKAP[[#This Row],[Harga Satuan]]*REKAP[[#This Row],[Selisih]],0)</f>
        <v>0</v>
      </c>
    </row>
    <row r="755" spans="1:20" x14ac:dyDescent="0.25">
      <c r="A755" s="55" t="s">
        <v>1081</v>
      </c>
      <c r="B755" s="55" t="s">
        <v>861</v>
      </c>
      <c r="C755" s="55" t="s">
        <v>861</v>
      </c>
      <c r="D755" s="56" t="s">
        <v>1617</v>
      </c>
      <c r="E755" s="57"/>
      <c r="F755" s="75" t="s">
        <v>898</v>
      </c>
      <c r="G755" s="55"/>
      <c r="H755" s="58"/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0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0</v>
      </c>
      <c r="P755" s="55"/>
      <c r="Q755" s="62">
        <f>REKAP[[#This Row],[Harga Satuan]]*REKAP[[#This Row],[Stok Akhir]]</f>
        <v>0</v>
      </c>
      <c r="R755" s="61">
        <f>IF(REKAP[[#This Row],[Stok Aktual]]&lt;&gt;"",REKAP[[#This Row],[Stok Aktual]]-REKAP[[#This Row],[Stok Akhir]],0)</f>
        <v>0</v>
      </c>
      <c r="S755" s="132"/>
      <c r="T755" s="137">
        <f>IF(REKAP[[#This Row],[Selisih]]&lt;=-1,REKAP[[#This Row],[Harga Satuan]]*REKAP[[#This Row],[Selisih]],0)</f>
        <v>0</v>
      </c>
    </row>
    <row r="756" spans="1:20" x14ac:dyDescent="0.25">
      <c r="A756" s="55" t="s">
        <v>1082</v>
      </c>
      <c r="B756" s="55" t="s">
        <v>861</v>
      </c>
      <c r="C756" s="55" t="s">
        <v>861</v>
      </c>
      <c r="D756" s="56" t="s">
        <v>1618</v>
      </c>
      <c r="E756" s="57"/>
      <c r="F756" s="75" t="s">
        <v>898</v>
      </c>
      <c r="G756" s="55"/>
      <c r="H756" s="58">
        <v>96000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0</v>
      </c>
      <c r="K756" s="60">
        <f>REKAP[[#This Row],[Trx In]]+REKAP[[#This Row],[Trx Out]]</f>
        <v>0</v>
      </c>
      <c r="L756" s="55">
        <v>0</v>
      </c>
      <c r="M756" s="74">
        <f>SUMIF(MASUK!$C:$C,REKAP[[#This Row],[ID]],MASUK!$H:$H)</f>
        <v>0</v>
      </c>
      <c r="N756" s="74">
        <f>SUMIF(KELUAR!$C:$C,REKAP[[#This Row],[ID]],KELUAR!$H:$H)</f>
        <v>0</v>
      </c>
      <c r="O756" s="74">
        <f>REKAP[[#This Row],[Stok Awal]]+REKAP[[#This Row],[Masuk]]-REKAP[[#This Row],[Keluar]]</f>
        <v>0</v>
      </c>
      <c r="P756" s="55"/>
      <c r="Q756" s="62">
        <f>REKAP[[#This Row],[Harga Satuan]]*REKAP[[#This Row],[Stok Akhir]]</f>
        <v>0</v>
      </c>
      <c r="R756" s="61">
        <f>IF(REKAP[[#This Row],[Stok Aktual]]&lt;&gt;"",REKAP[[#This Row],[Stok Aktual]]-REKAP[[#This Row],[Stok Akhir]],0)</f>
        <v>0</v>
      </c>
      <c r="S756" s="132"/>
      <c r="T756" s="137">
        <f>IF(REKAP[[#This Row],[Selisih]]&lt;=-1,REKAP[[#This Row],[Harga Satuan]]*REKAP[[#This Row],[Selisih]],0)</f>
        <v>0</v>
      </c>
    </row>
    <row r="757" spans="1:20" x14ac:dyDescent="0.25">
      <c r="A757" s="55" t="s">
        <v>1083</v>
      </c>
      <c r="B757" s="55" t="s">
        <v>861</v>
      </c>
      <c r="C757" s="55" t="s">
        <v>861</v>
      </c>
      <c r="D757" s="56" t="s">
        <v>1619</v>
      </c>
      <c r="E757" s="57"/>
      <c r="F757" s="75" t="s">
        <v>898</v>
      </c>
      <c r="G757" s="55"/>
      <c r="H757" s="58">
        <v>28500</v>
      </c>
      <c r="I757" s="59">
        <f>IF(COUNTIF(MASUK[Kode Barang],REKAP[[#This Row],[ID]])=0,0,COUNTIF(MASUK[Kode Barang],REKAP[[#This Row],[ID]]))</f>
        <v>0</v>
      </c>
      <c r="J757" s="59">
        <f>IF(COUNTIF(MASUK8[Kode Barang],REKAP[[#This Row],[ID]])=0,0,COUNTIF(MASUK8[Kode Barang],REKAP[[#This Row],[ID]]))</f>
        <v>0</v>
      </c>
      <c r="K757" s="60">
        <f>REKAP[[#This Row],[Trx In]]+REKAP[[#This Row],[Trx Out]]</f>
        <v>0</v>
      </c>
      <c r="L757" s="55">
        <v>0</v>
      </c>
      <c r="M757" s="74">
        <f>SUMIF(MASUK!$C:$C,REKAP[[#This Row],[ID]],MASUK!$H:$H)</f>
        <v>0</v>
      </c>
      <c r="N757" s="74">
        <f>SUMIF(KELUAR!$C:$C,REKAP[[#This Row],[ID]],KELUAR!$H:$H)</f>
        <v>0</v>
      </c>
      <c r="O757" s="74">
        <f>REKAP[[#This Row],[Stok Awal]]+REKAP[[#This Row],[Masuk]]-REKAP[[#This Row],[Keluar]]</f>
        <v>0</v>
      </c>
      <c r="P757" s="55"/>
      <c r="Q757" s="62">
        <f>REKAP[[#This Row],[Harga Satuan]]*REKAP[[#This Row],[Stok Akhir]]</f>
        <v>0</v>
      </c>
      <c r="R757" s="61">
        <f>IF(REKAP[[#This Row],[Stok Aktual]]&lt;&gt;"",REKAP[[#This Row],[Stok Aktual]]-REKAP[[#This Row],[Stok Akhir]],0)</f>
        <v>0</v>
      </c>
      <c r="S757" s="132"/>
      <c r="T757" s="137">
        <f>IF(REKAP[[#This Row],[Selisih]]&lt;=-1,REKAP[[#This Row],[Harga Satuan]]*REKAP[[#This Row],[Selisih]],0)</f>
        <v>0</v>
      </c>
    </row>
    <row r="758" spans="1:20" x14ac:dyDescent="0.25">
      <c r="A758" s="55" t="s">
        <v>1084</v>
      </c>
      <c r="B758" s="55" t="s">
        <v>861</v>
      </c>
      <c r="C758" s="55" t="s">
        <v>861</v>
      </c>
      <c r="D758" s="56" t="s">
        <v>1620</v>
      </c>
      <c r="E758" s="57"/>
      <c r="F758" s="75" t="s">
        <v>898</v>
      </c>
      <c r="G758" s="55"/>
      <c r="H758" s="58">
        <v>56493</v>
      </c>
      <c r="I758" s="59">
        <f>IF(COUNTIF(MASUK[Kode Barang],REKAP[[#This Row],[ID]])=0,0,COUNTIF(MASUK[Kode Barang],REKAP[[#This Row],[ID]]))</f>
        <v>0</v>
      </c>
      <c r="J758" s="59">
        <f>IF(COUNTIF(MASUK8[Kode Barang],REKAP[[#This Row],[ID]])=0,0,COUNTIF(MASUK8[Kode Barang],REKAP[[#This Row],[ID]]))</f>
        <v>0</v>
      </c>
      <c r="K758" s="60">
        <f>REKAP[[#This Row],[Trx In]]+REKAP[[#This Row],[Trx Out]]</f>
        <v>0</v>
      </c>
      <c r="L758" s="55">
        <v>0</v>
      </c>
      <c r="M758" s="74">
        <f>SUMIF(MASUK!$C:$C,REKAP[[#This Row],[ID]],MASUK!$H:$H)</f>
        <v>0</v>
      </c>
      <c r="N758" s="74">
        <f>SUMIF(KELUAR!$C:$C,REKAP[[#This Row],[ID]],KELUAR!$H:$H)</f>
        <v>0</v>
      </c>
      <c r="O758" s="74">
        <f>REKAP[[#This Row],[Stok Awal]]+REKAP[[#This Row],[Masuk]]-REKAP[[#This Row],[Keluar]]</f>
        <v>0</v>
      </c>
      <c r="P758" s="55"/>
      <c r="Q758" s="62">
        <f>REKAP[[#This Row],[Harga Satuan]]*REKAP[[#This Row],[Stok Akhir]]</f>
        <v>0</v>
      </c>
      <c r="R758" s="61">
        <f>IF(REKAP[[#This Row],[Stok Aktual]]&lt;&gt;"",REKAP[[#This Row],[Stok Aktual]]-REKAP[[#This Row],[Stok Akhir]],0)</f>
        <v>0</v>
      </c>
      <c r="S758" s="132"/>
      <c r="T758" s="137">
        <f>IF(REKAP[[#This Row],[Selisih]]&lt;=-1,REKAP[[#This Row],[Harga Satuan]]*REKAP[[#This Row],[Selisih]],0)</f>
        <v>0</v>
      </c>
    </row>
    <row r="759" spans="1:20" x14ac:dyDescent="0.25">
      <c r="A759" s="55" t="s">
        <v>1085</v>
      </c>
      <c r="B759" s="55" t="s">
        <v>861</v>
      </c>
      <c r="C759" s="55" t="s">
        <v>861</v>
      </c>
      <c r="D759" s="56" t="s">
        <v>1621</v>
      </c>
      <c r="E759" s="57"/>
      <c r="F759" s="75" t="s">
        <v>898</v>
      </c>
      <c r="G759" s="55"/>
      <c r="H759" s="58">
        <v>35227</v>
      </c>
      <c r="I759" s="59">
        <f>IF(COUNTIF(MASUK[Kode Barang],REKAP[[#This Row],[ID]])=0,0,COUNTIF(MASUK[Kode Barang],REKAP[[#This Row],[ID]]))</f>
        <v>0</v>
      </c>
      <c r="J759" s="59">
        <f>IF(COUNTIF(MASUK8[Kode Barang],REKAP[[#This Row],[ID]])=0,0,COUNTIF(MASUK8[Kode Barang],REKAP[[#This Row],[ID]]))</f>
        <v>0</v>
      </c>
      <c r="K759" s="60">
        <f>REKAP[[#This Row],[Trx In]]+REKAP[[#This Row],[Trx Out]]</f>
        <v>0</v>
      </c>
      <c r="L759" s="55">
        <v>1</v>
      </c>
      <c r="M759" s="74">
        <f>SUMIF(MASUK!$C:$C,REKAP[[#This Row],[ID]],MASUK!$H:$H)</f>
        <v>0</v>
      </c>
      <c r="N759" s="74">
        <f>SUMIF(KELUAR!$C:$C,REKAP[[#This Row],[ID]],KELUAR!$H:$H)</f>
        <v>0</v>
      </c>
      <c r="O759" s="74">
        <f>REKAP[[#This Row],[Stok Awal]]+REKAP[[#This Row],[Masuk]]-REKAP[[#This Row],[Keluar]]</f>
        <v>1</v>
      </c>
      <c r="P759" s="55"/>
      <c r="Q759" s="62">
        <f>REKAP[[#This Row],[Harga Satuan]]*REKAP[[#This Row],[Stok Akhir]]</f>
        <v>35227</v>
      </c>
      <c r="R759" s="61">
        <f>IF(REKAP[[#This Row],[Stok Aktual]]&lt;&gt;"",REKAP[[#This Row],[Stok Aktual]]-REKAP[[#This Row],[Stok Akhir]],0)</f>
        <v>0</v>
      </c>
      <c r="S759" s="132"/>
      <c r="T759" s="137">
        <f>IF(REKAP[[#This Row],[Selisih]]&lt;=-1,REKAP[[#This Row],[Harga Satuan]]*REKAP[[#This Row],[Selisih]],0)</f>
        <v>0</v>
      </c>
    </row>
    <row r="760" spans="1:20" x14ac:dyDescent="0.25">
      <c r="A760" s="55" t="s">
        <v>1086</v>
      </c>
      <c r="B760" s="55" t="s">
        <v>861</v>
      </c>
      <c r="C760" s="55" t="s">
        <v>861</v>
      </c>
      <c r="D760" s="56" t="s">
        <v>1622</v>
      </c>
      <c r="E760" s="57"/>
      <c r="F760" s="75" t="s">
        <v>898</v>
      </c>
      <c r="G760" s="55"/>
      <c r="H760" s="58">
        <v>27000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0</v>
      </c>
      <c r="K760" s="60">
        <f>REKAP[[#This Row],[Trx In]]+REKAP[[#This Row],[Trx Out]]</f>
        <v>0</v>
      </c>
      <c r="L760" s="55">
        <v>0</v>
      </c>
      <c r="M760" s="74">
        <f>SUMIF(MASUK!$C:$C,REKAP[[#This Row],[ID]],MASUK!$H:$H)</f>
        <v>0</v>
      </c>
      <c r="N760" s="74">
        <f>SUMIF(KELUAR!$C:$C,REKAP[[#This Row],[ID]],KELUAR!$H:$H)</f>
        <v>0</v>
      </c>
      <c r="O760" s="74">
        <f>REKAP[[#This Row],[Stok Awal]]+REKAP[[#This Row],[Masuk]]-REKAP[[#This Row],[Keluar]]</f>
        <v>0</v>
      </c>
      <c r="P760" s="55"/>
      <c r="Q760" s="62">
        <f>REKAP[[#This Row],[Harga Satuan]]*REKAP[[#This Row],[Stok Akhir]]</f>
        <v>0</v>
      </c>
      <c r="R760" s="61">
        <f>IF(REKAP[[#This Row],[Stok Aktual]]&lt;&gt;"",REKAP[[#This Row],[Stok Aktual]]-REKAP[[#This Row],[Stok Akhir]],0)</f>
        <v>0</v>
      </c>
      <c r="S760" s="132"/>
      <c r="T760" s="137">
        <f>IF(REKAP[[#This Row],[Selisih]]&lt;=-1,REKAP[[#This Row],[Harga Satuan]]*REKAP[[#This Row],[Selisih]],0)</f>
        <v>0</v>
      </c>
    </row>
    <row r="761" spans="1:20" x14ac:dyDescent="0.25">
      <c r="A761" s="55" t="s">
        <v>1087</v>
      </c>
      <c r="B761" s="55" t="s">
        <v>861</v>
      </c>
      <c r="C761" s="55" t="s">
        <v>861</v>
      </c>
      <c r="D761" s="56" t="s">
        <v>1623</v>
      </c>
      <c r="E761" s="57"/>
      <c r="F761" s="75" t="s">
        <v>898</v>
      </c>
      <c r="G761" s="55" t="s">
        <v>1973</v>
      </c>
      <c r="H761" s="58">
        <v>30100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0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0</v>
      </c>
      <c r="P761" s="55"/>
      <c r="Q761" s="62">
        <f>REKAP[[#This Row],[Harga Satuan]]*REKAP[[#This Row],[Stok Akhir]]</f>
        <v>0</v>
      </c>
      <c r="R761" s="61">
        <f>IF(REKAP[[#This Row],[Stok Aktual]]&lt;&gt;"",REKAP[[#This Row],[Stok Aktual]]-REKAP[[#This Row],[Stok Akhir]],0)</f>
        <v>0</v>
      </c>
      <c r="S761" s="132"/>
      <c r="T761" s="137">
        <f>IF(REKAP[[#This Row],[Selisih]]&lt;=-1,REKAP[[#This Row],[Harga Satuan]]*REKAP[[#This Row],[Selisih]],0)</f>
        <v>0</v>
      </c>
    </row>
    <row r="762" spans="1:20" x14ac:dyDescent="0.25">
      <c r="A762" s="55" t="s">
        <v>1088</v>
      </c>
      <c r="B762" s="55" t="s">
        <v>861</v>
      </c>
      <c r="C762" s="55" t="s">
        <v>861</v>
      </c>
      <c r="D762" s="56" t="s">
        <v>1624</v>
      </c>
      <c r="E762" s="57"/>
      <c r="F762" s="75" t="s">
        <v>898</v>
      </c>
      <c r="G762" s="55"/>
      <c r="H762" s="58">
        <v>28206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0</v>
      </c>
      <c r="K762" s="60">
        <f>REKAP[[#This Row],[Trx In]]+REKAP[[#This Row],[Trx Out]]</f>
        <v>0</v>
      </c>
      <c r="L762" s="55">
        <v>0</v>
      </c>
      <c r="M762" s="74">
        <f>SUMIF(MASUK!$C:$C,REKAP[[#This Row],[ID]],MASUK!$H:$H)</f>
        <v>0</v>
      </c>
      <c r="N762" s="74">
        <f>SUMIF(KELUAR!$C:$C,REKAP[[#This Row],[ID]],KELUAR!$H:$H)</f>
        <v>0</v>
      </c>
      <c r="O762" s="74">
        <f>REKAP[[#This Row],[Stok Awal]]+REKAP[[#This Row],[Masuk]]-REKAP[[#This Row],[Keluar]]</f>
        <v>0</v>
      </c>
      <c r="P762" s="55"/>
      <c r="Q762" s="62">
        <f>REKAP[[#This Row],[Harga Satuan]]*REKAP[[#This Row],[Stok Akhir]]</f>
        <v>0</v>
      </c>
      <c r="R762" s="61">
        <f>IF(REKAP[[#This Row],[Stok Aktual]]&lt;&gt;"",REKAP[[#This Row],[Stok Aktual]]-REKAP[[#This Row],[Stok Akhir]],0)</f>
        <v>0</v>
      </c>
      <c r="S762" s="132"/>
      <c r="T762" s="137">
        <f>IF(REKAP[[#This Row],[Selisih]]&lt;=-1,REKAP[[#This Row],[Harga Satuan]]*REKAP[[#This Row],[Selisih]],0)</f>
        <v>0</v>
      </c>
    </row>
    <row r="763" spans="1:20" x14ac:dyDescent="0.25">
      <c r="A763" s="55" t="s">
        <v>1089</v>
      </c>
      <c r="B763" s="55" t="s">
        <v>861</v>
      </c>
      <c r="C763" s="55" t="s">
        <v>861</v>
      </c>
      <c r="D763" s="56" t="s">
        <v>1625</v>
      </c>
      <c r="E763" s="57"/>
      <c r="F763" s="75" t="s">
        <v>898</v>
      </c>
      <c r="G763" s="55"/>
      <c r="H763" s="58">
        <v>29000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0</v>
      </c>
      <c r="P763" s="55"/>
      <c r="Q763" s="62">
        <f>REKAP[[#This Row],[Harga Satuan]]*REKAP[[#This Row],[Stok Akhir]]</f>
        <v>0</v>
      </c>
      <c r="R763" s="61">
        <f>IF(REKAP[[#This Row],[Stok Aktual]]&lt;&gt;"",REKAP[[#This Row],[Stok Aktual]]-REKAP[[#This Row],[Stok Akhir]],0)</f>
        <v>0</v>
      </c>
      <c r="S763" s="132"/>
      <c r="T763" s="137">
        <f>IF(REKAP[[#This Row],[Selisih]]&lt;=-1,REKAP[[#This Row],[Harga Satuan]]*REKAP[[#This Row],[Selisih]],0)</f>
        <v>0</v>
      </c>
    </row>
    <row r="764" spans="1:20" x14ac:dyDescent="0.25">
      <c r="A764" s="55" t="s">
        <v>1090</v>
      </c>
      <c r="B764" s="55" t="s">
        <v>861</v>
      </c>
      <c r="C764" s="55" t="s">
        <v>861</v>
      </c>
      <c r="D764" s="56" t="s">
        <v>1626</v>
      </c>
      <c r="E764" s="57"/>
      <c r="F764" s="75" t="s">
        <v>898</v>
      </c>
      <c r="G764" s="55"/>
      <c r="H764" s="58">
        <v>43000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2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2</v>
      </c>
      <c r="P764" s="55"/>
      <c r="Q764" s="62">
        <f>REKAP[[#This Row],[Harga Satuan]]*REKAP[[#This Row],[Stok Akhir]]</f>
        <v>86000</v>
      </c>
      <c r="R764" s="61">
        <f>IF(REKAP[[#This Row],[Stok Aktual]]&lt;&gt;"",REKAP[[#This Row],[Stok Aktual]]-REKAP[[#This Row],[Stok Akhir]],0)</f>
        <v>0</v>
      </c>
      <c r="S764" s="132"/>
      <c r="T764" s="137">
        <f>IF(REKAP[[#This Row],[Selisih]]&lt;=-1,REKAP[[#This Row],[Harga Satuan]]*REKAP[[#This Row],[Selisih]],0)</f>
        <v>0</v>
      </c>
    </row>
    <row r="765" spans="1:20" x14ac:dyDescent="0.25">
      <c r="A765" s="55" t="s">
        <v>1091</v>
      </c>
      <c r="B765" s="55" t="s">
        <v>861</v>
      </c>
      <c r="C765" s="55" t="s">
        <v>861</v>
      </c>
      <c r="D765" s="56" t="s">
        <v>1627</v>
      </c>
      <c r="E765" s="57"/>
      <c r="F765" s="75" t="s">
        <v>898</v>
      </c>
      <c r="G765" s="55" t="s">
        <v>1973</v>
      </c>
      <c r="H765" s="58">
        <v>23700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0</v>
      </c>
      <c r="K765" s="60">
        <f>REKAP[[#This Row],[Trx In]]+REKAP[[#This Row],[Trx Out]]</f>
        <v>0</v>
      </c>
      <c r="L765" s="55">
        <v>0</v>
      </c>
      <c r="M765" s="74">
        <f>SUMIF(MASUK!$C:$C,REKAP[[#This Row],[ID]],MASUK!$H:$H)</f>
        <v>0</v>
      </c>
      <c r="N765" s="74">
        <f>SUMIF(KELUAR!$C:$C,REKAP[[#This Row],[ID]],KELUAR!$H:$H)</f>
        <v>0</v>
      </c>
      <c r="O765" s="74">
        <f>REKAP[[#This Row],[Stok Awal]]+REKAP[[#This Row],[Masuk]]-REKAP[[#This Row],[Keluar]]</f>
        <v>0</v>
      </c>
      <c r="P765" s="55"/>
      <c r="Q765" s="62">
        <f>REKAP[[#This Row],[Harga Satuan]]*REKAP[[#This Row],[Stok Akhir]]</f>
        <v>0</v>
      </c>
      <c r="R765" s="61">
        <f>IF(REKAP[[#This Row],[Stok Aktual]]&lt;&gt;"",REKAP[[#This Row],[Stok Aktual]]-REKAP[[#This Row],[Stok Akhir]],0)</f>
        <v>0</v>
      </c>
      <c r="S765" s="132"/>
      <c r="T765" s="137">
        <f>IF(REKAP[[#This Row],[Selisih]]&lt;=-1,REKAP[[#This Row],[Harga Satuan]]*REKAP[[#This Row],[Selisih]],0)</f>
        <v>0</v>
      </c>
    </row>
    <row r="766" spans="1:20" x14ac:dyDescent="0.25">
      <c r="A766" s="55" t="s">
        <v>1092</v>
      </c>
      <c r="B766" s="55" t="s">
        <v>861</v>
      </c>
      <c r="C766" s="55" t="s">
        <v>861</v>
      </c>
      <c r="D766" s="56" t="s">
        <v>1628</v>
      </c>
      <c r="E766" s="57"/>
      <c r="F766" s="75" t="s">
        <v>898</v>
      </c>
      <c r="G766" s="55" t="s">
        <v>1973</v>
      </c>
      <c r="H766" s="58">
        <v>40800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0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0</v>
      </c>
      <c r="P766" s="55"/>
      <c r="Q766" s="62">
        <f>REKAP[[#This Row],[Harga Satuan]]*REKAP[[#This Row],[Stok Akhir]]</f>
        <v>0</v>
      </c>
      <c r="R766" s="61">
        <f>IF(REKAP[[#This Row],[Stok Aktual]]&lt;&gt;"",REKAP[[#This Row],[Stok Aktual]]-REKAP[[#This Row],[Stok Akhir]],0)</f>
        <v>0</v>
      </c>
      <c r="S766" s="132"/>
      <c r="T766" s="137">
        <f>IF(REKAP[[#This Row],[Selisih]]&lt;=-1,REKAP[[#This Row],[Harga Satuan]]*REKAP[[#This Row],[Selisih]],0)</f>
        <v>0</v>
      </c>
    </row>
    <row r="767" spans="1:20" x14ac:dyDescent="0.25">
      <c r="A767" s="55" t="s">
        <v>1093</v>
      </c>
      <c r="B767" s="55" t="s">
        <v>861</v>
      </c>
      <c r="C767" s="55" t="s">
        <v>861</v>
      </c>
      <c r="D767" s="56" t="s">
        <v>1629</v>
      </c>
      <c r="E767" s="57"/>
      <c r="F767" s="75" t="s">
        <v>898</v>
      </c>
      <c r="G767" s="55"/>
      <c r="H767" s="58">
        <v>51000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0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0</v>
      </c>
      <c r="P767" s="55"/>
      <c r="Q767" s="62">
        <f>REKAP[[#This Row],[Harga Satuan]]*REKAP[[#This Row],[Stok Akhir]]</f>
        <v>0</v>
      </c>
      <c r="R767" s="61">
        <f>IF(REKAP[[#This Row],[Stok Aktual]]&lt;&gt;"",REKAP[[#This Row],[Stok Aktual]]-REKAP[[#This Row],[Stok Akhir]],0)</f>
        <v>0</v>
      </c>
      <c r="S767" s="132"/>
      <c r="T767" s="137">
        <f>IF(REKAP[[#This Row],[Selisih]]&lt;=-1,REKAP[[#This Row],[Harga Satuan]]*REKAP[[#This Row],[Selisih]],0)</f>
        <v>0</v>
      </c>
    </row>
    <row r="768" spans="1:20" x14ac:dyDescent="0.25">
      <c r="A768" s="55" t="s">
        <v>1094</v>
      </c>
      <c r="B768" s="55" t="s">
        <v>861</v>
      </c>
      <c r="C768" s="55" t="s">
        <v>861</v>
      </c>
      <c r="D768" s="56" t="s">
        <v>1630</v>
      </c>
      <c r="E768" s="57"/>
      <c r="F768" s="75" t="s">
        <v>898</v>
      </c>
      <c r="G768" s="55" t="s">
        <v>1973</v>
      </c>
      <c r="H768" s="58">
        <v>28000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0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0</v>
      </c>
      <c r="P768" s="55"/>
      <c r="Q768" s="62">
        <f>REKAP[[#This Row],[Harga Satuan]]*REKAP[[#This Row],[Stok Akhir]]</f>
        <v>0</v>
      </c>
      <c r="R768" s="61">
        <f>IF(REKAP[[#This Row],[Stok Aktual]]&lt;&gt;"",REKAP[[#This Row],[Stok Aktual]]-REKAP[[#This Row],[Stok Akhir]],0)</f>
        <v>0</v>
      </c>
      <c r="S768" s="132"/>
      <c r="T768" s="137">
        <f>IF(REKAP[[#This Row],[Selisih]]&lt;=-1,REKAP[[#This Row],[Harga Satuan]]*REKAP[[#This Row],[Selisih]],0)</f>
        <v>0</v>
      </c>
    </row>
    <row r="769" spans="1:20" x14ac:dyDescent="0.25">
      <c r="A769" s="55" t="s">
        <v>1095</v>
      </c>
      <c r="B769" s="55" t="s">
        <v>861</v>
      </c>
      <c r="C769" s="55" t="s">
        <v>861</v>
      </c>
      <c r="D769" s="56" t="s">
        <v>1631</v>
      </c>
      <c r="E769" s="57"/>
      <c r="F769" s="75" t="s">
        <v>898</v>
      </c>
      <c r="G769" s="55"/>
      <c r="H769" s="58">
        <v>26871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0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0</v>
      </c>
      <c r="P769" s="55"/>
      <c r="Q769" s="62">
        <f>REKAP[[#This Row],[Harga Satuan]]*REKAP[[#This Row],[Stok Akhir]]</f>
        <v>0</v>
      </c>
      <c r="R769" s="61">
        <f>IF(REKAP[[#This Row],[Stok Aktual]]&lt;&gt;"",REKAP[[#This Row],[Stok Aktual]]-REKAP[[#This Row],[Stok Akhir]],0)</f>
        <v>0</v>
      </c>
      <c r="S769" s="132"/>
      <c r="T769" s="137">
        <f>IF(REKAP[[#This Row],[Selisih]]&lt;=-1,REKAP[[#This Row],[Harga Satuan]]*REKAP[[#This Row],[Selisih]],0)</f>
        <v>0</v>
      </c>
    </row>
    <row r="770" spans="1:20" x14ac:dyDescent="0.25">
      <c r="A770" s="55" t="s">
        <v>1096</v>
      </c>
      <c r="B770" s="55" t="s">
        <v>861</v>
      </c>
      <c r="C770" s="55" t="s">
        <v>861</v>
      </c>
      <c r="D770" s="56" t="s">
        <v>1632</v>
      </c>
      <c r="E770" s="57"/>
      <c r="F770" s="75" t="s">
        <v>898</v>
      </c>
      <c r="G770" s="55"/>
      <c r="H770" s="58">
        <v>18255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1</v>
      </c>
      <c r="P770" s="55"/>
      <c r="Q770" s="62">
        <f>REKAP[[#This Row],[Harga Satuan]]*REKAP[[#This Row],[Stok Akhir]]</f>
        <v>18255</v>
      </c>
      <c r="R770" s="61">
        <f>IF(REKAP[[#This Row],[Stok Aktual]]&lt;&gt;"",REKAP[[#This Row],[Stok Aktual]]-REKAP[[#This Row],[Stok Akhir]],0)</f>
        <v>0</v>
      </c>
      <c r="S770" s="132"/>
      <c r="T770" s="137">
        <f>IF(REKAP[[#This Row],[Selisih]]&lt;=-1,REKAP[[#This Row],[Harga Satuan]]*REKAP[[#This Row],[Selisih]],0)</f>
        <v>0</v>
      </c>
    </row>
    <row r="771" spans="1:20" x14ac:dyDescent="0.25">
      <c r="A771" s="55" t="s">
        <v>1097</v>
      </c>
      <c r="B771" s="55" t="s">
        <v>861</v>
      </c>
      <c r="C771" s="55" t="s">
        <v>861</v>
      </c>
      <c r="D771" s="56" t="s">
        <v>1633</v>
      </c>
      <c r="E771" s="57"/>
      <c r="F771" s="75" t="s">
        <v>898</v>
      </c>
      <c r="G771" s="55"/>
      <c r="H771" s="58">
        <v>22000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0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0</v>
      </c>
      <c r="P771" s="55"/>
      <c r="Q771" s="62">
        <f>REKAP[[#This Row],[Harga Satuan]]*REKAP[[#This Row],[Stok Akhir]]</f>
        <v>0</v>
      </c>
      <c r="R771" s="61">
        <f>IF(REKAP[[#This Row],[Stok Aktual]]&lt;&gt;"",REKAP[[#This Row],[Stok Aktual]]-REKAP[[#This Row],[Stok Akhir]],0)</f>
        <v>0</v>
      </c>
      <c r="S771" s="132"/>
      <c r="T771" s="137">
        <f>IF(REKAP[[#This Row],[Selisih]]&lt;=-1,REKAP[[#This Row],[Harga Satuan]]*REKAP[[#This Row],[Selisih]],0)</f>
        <v>0</v>
      </c>
    </row>
    <row r="772" spans="1:20" x14ac:dyDescent="0.25">
      <c r="A772" s="55" t="s">
        <v>1098</v>
      </c>
      <c r="B772" s="55" t="s">
        <v>861</v>
      </c>
      <c r="C772" s="55" t="s">
        <v>861</v>
      </c>
      <c r="D772" s="56" t="s">
        <v>1634</v>
      </c>
      <c r="E772" s="57"/>
      <c r="F772" s="75" t="s">
        <v>898</v>
      </c>
      <c r="G772" s="55"/>
      <c r="H772" s="58">
        <v>25527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0</v>
      </c>
      <c r="P772" s="55"/>
      <c r="Q772" s="62">
        <f>REKAP[[#This Row],[Harga Satuan]]*REKAP[[#This Row],[Stok Akhir]]</f>
        <v>0</v>
      </c>
      <c r="R772" s="61">
        <f>IF(REKAP[[#This Row],[Stok Aktual]]&lt;&gt;"",REKAP[[#This Row],[Stok Aktual]]-REKAP[[#This Row],[Stok Akhir]],0)</f>
        <v>0</v>
      </c>
      <c r="S772" s="132"/>
      <c r="T772" s="137">
        <f>IF(REKAP[[#This Row],[Selisih]]&lt;=-1,REKAP[[#This Row],[Harga Satuan]]*REKAP[[#This Row],[Selisih]],0)</f>
        <v>0</v>
      </c>
    </row>
    <row r="773" spans="1:20" x14ac:dyDescent="0.25">
      <c r="A773" s="55" t="s">
        <v>1099</v>
      </c>
      <c r="B773" s="55" t="s">
        <v>861</v>
      </c>
      <c r="C773" s="55" t="s">
        <v>861</v>
      </c>
      <c r="D773" s="56" t="s">
        <v>1635</v>
      </c>
      <c r="E773" s="57"/>
      <c r="F773" s="75" t="s">
        <v>898</v>
      </c>
      <c r="G773" s="55"/>
      <c r="H773" s="58">
        <v>16500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</v>
      </c>
      <c r="P773" s="55"/>
      <c r="Q773" s="62">
        <f>REKAP[[#This Row],[Harga Satuan]]*REKAP[[#This Row],[Stok Akhir]]</f>
        <v>33000</v>
      </c>
      <c r="R773" s="61">
        <f>IF(REKAP[[#This Row],[Stok Aktual]]&lt;&gt;"",REKAP[[#This Row],[Stok Aktual]]-REKAP[[#This Row],[Stok Akhir]],0)</f>
        <v>0</v>
      </c>
      <c r="S773" s="132"/>
      <c r="T773" s="137">
        <f>IF(REKAP[[#This Row],[Selisih]]&lt;=-1,REKAP[[#This Row],[Harga Satuan]]*REKAP[[#This Row],[Selisih]],0)</f>
        <v>0</v>
      </c>
    </row>
    <row r="774" spans="1:20" x14ac:dyDescent="0.25">
      <c r="A774" s="55" t="s">
        <v>1100</v>
      </c>
      <c r="B774" s="55" t="s">
        <v>861</v>
      </c>
      <c r="C774" s="55" t="s">
        <v>861</v>
      </c>
      <c r="D774" s="56" t="s">
        <v>1636</v>
      </c>
      <c r="E774" s="57"/>
      <c r="F774" s="75" t="s">
        <v>898</v>
      </c>
      <c r="G774" s="55"/>
      <c r="H774" s="58">
        <v>26000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2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2</v>
      </c>
      <c r="P774" s="55"/>
      <c r="Q774" s="62">
        <f>REKAP[[#This Row],[Harga Satuan]]*REKAP[[#This Row],[Stok Akhir]]</f>
        <v>52000</v>
      </c>
      <c r="R774" s="61">
        <f>IF(REKAP[[#This Row],[Stok Aktual]]&lt;&gt;"",REKAP[[#This Row],[Stok Aktual]]-REKAP[[#This Row],[Stok Akhir]],0)</f>
        <v>0</v>
      </c>
      <c r="S774" s="132"/>
      <c r="T774" s="137">
        <f>IF(REKAP[[#This Row],[Selisih]]&lt;=-1,REKAP[[#This Row],[Harga Satuan]]*REKAP[[#This Row],[Selisih]],0)</f>
        <v>0</v>
      </c>
    </row>
    <row r="775" spans="1:20" x14ac:dyDescent="0.25">
      <c r="A775" s="55" t="s">
        <v>1101</v>
      </c>
      <c r="B775" s="55" t="s">
        <v>861</v>
      </c>
      <c r="C775" s="55" t="s">
        <v>861</v>
      </c>
      <c r="D775" s="56" t="s">
        <v>1637</v>
      </c>
      <c r="E775" s="57"/>
      <c r="F775" s="75" t="s">
        <v>898</v>
      </c>
      <c r="G775" s="55"/>
      <c r="H775" s="58">
        <v>15500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3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3</v>
      </c>
      <c r="P775" s="55"/>
      <c r="Q775" s="62">
        <f>REKAP[[#This Row],[Harga Satuan]]*REKAP[[#This Row],[Stok Akhir]]</f>
        <v>46500</v>
      </c>
      <c r="R775" s="61">
        <f>IF(REKAP[[#This Row],[Stok Aktual]]&lt;&gt;"",REKAP[[#This Row],[Stok Aktual]]-REKAP[[#This Row],[Stok Akhir]],0)</f>
        <v>0</v>
      </c>
      <c r="S775" s="132"/>
      <c r="T775" s="137">
        <f>IF(REKAP[[#This Row],[Selisih]]&lt;=-1,REKAP[[#This Row],[Harga Satuan]]*REKAP[[#This Row],[Selisih]],0)</f>
        <v>0</v>
      </c>
    </row>
    <row r="776" spans="1:20" x14ac:dyDescent="0.25">
      <c r="A776" s="55" t="s">
        <v>1102</v>
      </c>
      <c r="B776" s="55" t="s">
        <v>861</v>
      </c>
      <c r="C776" s="55" t="s">
        <v>861</v>
      </c>
      <c r="D776" s="56" t="s">
        <v>1638</v>
      </c>
      <c r="E776" s="57"/>
      <c r="F776" s="75" t="s">
        <v>898</v>
      </c>
      <c r="G776" s="55"/>
      <c r="H776" s="58">
        <v>31800</v>
      </c>
      <c r="I776" s="59">
        <f>IF(COUNTIF(MASUK[Kode Barang],REKAP[[#This Row],[ID]])=0,0,COUNTIF(MASUK[Kode Barang],REKAP[[#This Row],[ID]]))</f>
        <v>0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0</v>
      </c>
      <c r="L776" s="55">
        <v>0</v>
      </c>
      <c r="M776" s="74">
        <f>SUMIF(MASUK!$C:$C,REKAP[[#This Row],[ID]],MASUK!$H:$H)</f>
        <v>0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0</v>
      </c>
      <c r="P776" s="55"/>
      <c r="Q776" s="62">
        <f>REKAP[[#This Row],[Harga Satuan]]*REKAP[[#This Row],[Stok Akhir]]</f>
        <v>0</v>
      </c>
      <c r="R776" s="61">
        <f>IF(REKAP[[#This Row],[Stok Aktual]]&lt;&gt;"",REKAP[[#This Row],[Stok Aktual]]-REKAP[[#This Row],[Stok Akhir]],0)</f>
        <v>0</v>
      </c>
      <c r="S776" s="132"/>
      <c r="T776" s="137">
        <f>IF(REKAP[[#This Row],[Selisih]]&lt;=-1,REKAP[[#This Row],[Harga Satuan]]*REKAP[[#This Row],[Selisih]],0)</f>
        <v>0</v>
      </c>
    </row>
    <row r="777" spans="1:20" x14ac:dyDescent="0.25">
      <c r="A777" s="55" t="s">
        <v>1103</v>
      </c>
      <c r="B777" s="55" t="s">
        <v>861</v>
      </c>
      <c r="C777" s="55" t="s">
        <v>861</v>
      </c>
      <c r="D777" s="56" t="s">
        <v>1639</v>
      </c>
      <c r="E777" s="57"/>
      <c r="F777" s="75" t="s">
        <v>898</v>
      </c>
      <c r="G777" s="55"/>
      <c r="H777" s="58">
        <v>34400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0</v>
      </c>
      <c r="K777" s="60">
        <f>REKAP[[#This Row],[Trx In]]+REKAP[[#This Row],[Trx Out]]</f>
        <v>0</v>
      </c>
      <c r="L777" s="55">
        <v>0</v>
      </c>
      <c r="M777" s="74">
        <f>SUMIF(MASUK!$C:$C,REKAP[[#This Row],[ID]],MASUK!$H:$H)</f>
        <v>0</v>
      </c>
      <c r="N777" s="74">
        <f>SUMIF(KELUAR!$C:$C,REKAP[[#This Row],[ID]],KELUAR!$H:$H)</f>
        <v>0</v>
      </c>
      <c r="O777" s="74">
        <f>REKAP[[#This Row],[Stok Awal]]+REKAP[[#This Row],[Masuk]]-REKAP[[#This Row],[Keluar]]</f>
        <v>0</v>
      </c>
      <c r="P777" s="55"/>
      <c r="Q777" s="62">
        <f>REKAP[[#This Row],[Harga Satuan]]*REKAP[[#This Row],[Stok Akhir]]</f>
        <v>0</v>
      </c>
      <c r="R777" s="61">
        <f>IF(REKAP[[#This Row],[Stok Aktual]]&lt;&gt;"",REKAP[[#This Row],[Stok Aktual]]-REKAP[[#This Row],[Stok Akhir]],0)</f>
        <v>0</v>
      </c>
      <c r="S777" s="132"/>
      <c r="T777" s="137">
        <f>IF(REKAP[[#This Row],[Selisih]]&lt;=-1,REKAP[[#This Row],[Harga Satuan]]*REKAP[[#This Row],[Selisih]],0)</f>
        <v>0</v>
      </c>
    </row>
    <row r="778" spans="1:20" x14ac:dyDescent="0.25">
      <c r="A778" s="55" t="s">
        <v>1104</v>
      </c>
      <c r="B778" s="55" t="s">
        <v>861</v>
      </c>
      <c r="C778" s="55" t="s">
        <v>861</v>
      </c>
      <c r="D778" s="56" t="s">
        <v>1640</v>
      </c>
      <c r="E778" s="57"/>
      <c r="F778" s="75" t="s">
        <v>898</v>
      </c>
      <c r="G778" s="55"/>
      <c r="H778" s="58"/>
      <c r="I778" s="59">
        <f>IF(COUNTIF(MASUK[Kode Barang],REKAP[[#This Row],[ID]])=0,0,COUNTIF(MASUK[Kode Barang],REKAP[[#This Row],[ID]]))</f>
        <v>0</v>
      </c>
      <c r="J778" s="59">
        <f>IF(COUNTIF(MASUK8[Kode Barang],REKAP[[#This Row],[ID]])=0,0,COUNTIF(MASUK8[Kode Barang],REKAP[[#This Row],[ID]]))</f>
        <v>0</v>
      </c>
      <c r="K778" s="60">
        <f>REKAP[[#This Row],[Trx In]]+REKAP[[#This Row],[Trx Out]]</f>
        <v>0</v>
      </c>
      <c r="L778" s="55">
        <v>0</v>
      </c>
      <c r="M778" s="74">
        <f>SUMIF(MASUK!$C:$C,REKAP[[#This Row],[ID]],MASUK!$H:$H)</f>
        <v>0</v>
      </c>
      <c r="N778" s="74">
        <f>SUMIF(KELUAR!$C:$C,REKAP[[#This Row],[ID]],KELUAR!$H:$H)</f>
        <v>0</v>
      </c>
      <c r="O778" s="74">
        <f>REKAP[[#This Row],[Stok Awal]]+REKAP[[#This Row],[Masuk]]-REKAP[[#This Row],[Keluar]]</f>
        <v>0</v>
      </c>
      <c r="P778" s="55"/>
      <c r="Q778" s="62">
        <f>REKAP[[#This Row],[Harga Satuan]]*REKAP[[#This Row],[Stok Akhir]]</f>
        <v>0</v>
      </c>
      <c r="R778" s="61">
        <f>IF(REKAP[[#This Row],[Stok Aktual]]&lt;&gt;"",REKAP[[#This Row],[Stok Aktual]]-REKAP[[#This Row],[Stok Akhir]],0)</f>
        <v>0</v>
      </c>
      <c r="S778" s="132"/>
      <c r="T778" s="137">
        <f>IF(REKAP[[#This Row],[Selisih]]&lt;=-1,REKAP[[#This Row],[Harga Satuan]]*REKAP[[#This Row],[Selisih]],0)</f>
        <v>0</v>
      </c>
    </row>
    <row r="779" spans="1:20" x14ac:dyDescent="0.25">
      <c r="A779" s="55" t="s">
        <v>1105</v>
      </c>
      <c r="B779" s="55" t="s">
        <v>861</v>
      </c>
      <c r="C779" s="55" t="s">
        <v>861</v>
      </c>
      <c r="D779" s="56" t="s">
        <v>1641</v>
      </c>
      <c r="E779" s="57"/>
      <c r="F779" s="75" t="s">
        <v>898</v>
      </c>
      <c r="G779" s="55"/>
      <c r="H779" s="58"/>
      <c r="I779" s="59">
        <f>IF(COUNTIF(MASUK[Kode Barang],REKAP[[#This Row],[ID]])=0,0,COUNTIF(MASUK[Kode Barang],REKAP[[#This Row],[ID]]))</f>
        <v>0</v>
      </c>
      <c r="J779" s="59">
        <f>IF(COUNTIF(MASUK8[Kode Barang],REKAP[[#This Row],[ID]])=0,0,COUNTIF(MASUK8[Kode Barang],REKAP[[#This Row],[ID]]))</f>
        <v>0</v>
      </c>
      <c r="K779" s="60">
        <f>REKAP[[#This Row],[Trx In]]+REKAP[[#This Row],[Trx Out]]</f>
        <v>0</v>
      </c>
      <c r="L779" s="55">
        <v>0</v>
      </c>
      <c r="M779" s="74">
        <f>SUMIF(MASUK!$C:$C,REKAP[[#This Row],[ID]],MASUK!$H:$H)</f>
        <v>0</v>
      </c>
      <c r="N779" s="74">
        <f>SUMIF(KELUAR!$C:$C,REKAP[[#This Row],[ID]],KELUAR!$H:$H)</f>
        <v>0</v>
      </c>
      <c r="O779" s="74">
        <f>REKAP[[#This Row],[Stok Awal]]+REKAP[[#This Row],[Masuk]]-REKAP[[#This Row],[Keluar]]</f>
        <v>0</v>
      </c>
      <c r="P779" s="55"/>
      <c r="Q779" s="62">
        <f>REKAP[[#This Row],[Harga Satuan]]*REKAP[[#This Row],[Stok Akhir]]</f>
        <v>0</v>
      </c>
      <c r="R779" s="61">
        <f>IF(REKAP[[#This Row],[Stok Aktual]]&lt;&gt;"",REKAP[[#This Row],[Stok Aktual]]-REKAP[[#This Row],[Stok Akhir]],0)</f>
        <v>0</v>
      </c>
      <c r="S779" s="132"/>
      <c r="T779" s="137">
        <f>IF(REKAP[[#This Row],[Selisih]]&lt;=-1,REKAP[[#This Row],[Harga Satuan]]*REKAP[[#This Row],[Selisih]],0)</f>
        <v>0</v>
      </c>
    </row>
    <row r="780" spans="1:20" x14ac:dyDescent="0.25">
      <c r="A780" s="55" t="s">
        <v>1106</v>
      </c>
      <c r="B780" s="55" t="s">
        <v>861</v>
      </c>
      <c r="C780" s="55" t="s">
        <v>861</v>
      </c>
      <c r="D780" s="56" t="s">
        <v>1642</v>
      </c>
      <c r="E780" s="57"/>
      <c r="F780" s="75" t="s">
        <v>898</v>
      </c>
      <c r="G780" s="55"/>
      <c r="H780" s="58">
        <v>12000</v>
      </c>
      <c r="I780" s="59">
        <f>IF(COUNTIF(MASUK[Kode Barang],REKAP[[#This Row],[ID]])=0,0,COUNTIF(MASUK[Kode Barang],REKAP[[#This Row],[ID]]))</f>
        <v>0</v>
      </c>
      <c r="J780" s="59">
        <f>IF(COUNTIF(MASUK8[Kode Barang],REKAP[[#This Row],[ID]])=0,0,COUNTIF(MASUK8[Kode Barang],REKAP[[#This Row],[ID]]))</f>
        <v>0</v>
      </c>
      <c r="K780" s="60">
        <f>REKAP[[#This Row],[Trx In]]+REKAP[[#This Row],[Trx Out]]</f>
        <v>0</v>
      </c>
      <c r="L780" s="55">
        <v>0</v>
      </c>
      <c r="M780" s="74">
        <f>SUMIF(MASUK!$C:$C,REKAP[[#This Row],[ID]],MASUK!$H:$H)</f>
        <v>0</v>
      </c>
      <c r="N780" s="74">
        <f>SUMIF(KELUAR!$C:$C,REKAP[[#This Row],[ID]],KELUAR!$H:$H)</f>
        <v>0</v>
      </c>
      <c r="O780" s="74">
        <f>REKAP[[#This Row],[Stok Awal]]+REKAP[[#This Row],[Masuk]]-REKAP[[#This Row],[Keluar]]</f>
        <v>0</v>
      </c>
      <c r="P780" s="55"/>
      <c r="Q780" s="62">
        <f>REKAP[[#This Row],[Harga Satuan]]*REKAP[[#This Row],[Stok Akhir]]</f>
        <v>0</v>
      </c>
      <c r="R780" s="61">
        <f>IF(REKAP[[#This Row],[Stok Aktual]]&lt;&gt;"",REKAP[[#This Row],[Stok Aktual]]-REKAP[[#This Row],[Stok Akhir]],0)</f>
        <v>0</v>
      </c>
      <c r="S780" s="132"/>
      <c r="T780" s="137">
        <f>IF(REKAP[[#This Row],[Selisih]]&lt;=-1,REKAP[[#This Row],[Harga Satuan]]*REKAP[[#This Row],[Selisih]],0)</f>
        <v>0</v>
      </c>
    </row>
    <row r="781" spans="1:20" x14ac:dyDescent="0.25">
      <c r="A781" s="55" t="s">
        <v>1107</v>
      </c>
      <c r="B781" s="55" t="s">
        <v>861</v>
      </c>
      <c r="C781" s="55" t="s">
        <v>861</v>
      </c>
      <c r="D781" s="56" t="s">
        <v>1643</v>
      </c>
      <c r="E781" s="57"/>
      <c r="F781" s="75" t="s">
        <v>898</v>
      </c>
      <c r="G781" s="55"/>
      <c r="H781" s="58">
        <v>18000</v>
      </c>
      <c r="I781" s="59">
        <f>IF(COUNTIF(MASUK[Kode Barang],REKAP[[#This Row],[ID]])=0,0,COUNTIF(MASUK[Kode Barang],REKAP[[#This Row],[ID]]))</f>
        <v>0</v>
      </c>
      <c r="J781" s="59">
        <f>IF(COUNTIF(MASUK8[Kode Barang],REKAP[[#This Row],[ID]])=0,0,COUNTIF(MASUK8[Kode Barang],REKAP[[#This Row],[ID]]))</f>
        <v>0</v>
      </c>
      <c r="K781" s="60">
        <f>REKAP[[#This Row],[Trx In]]+REKAP[[#This Row],[Trx Out]]</f>
        <v>0</v>
      </c>
      <c r="L781" s="55">
        <v>7</v>
      </c>
      <c r="M781" s="74">
        <f>SUMIF(MASUK!$C:$C,REKAP[[#This Row],[ID]],MASUK!$H:$H)</f>
        <v>0</v>
      </c>
      <c r="N781" s="74">
        <f>SUMIF(KELUAR!$C:$C,REKAP[[#This Row],[ID]],KELUAR!$H:$H)</f>
        <v>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126000</v>
      </c>
      <c r="R781" s="61">
        <f>IF(REKAP[[#This Row],[Stok Aktual]]&lt;&gt;"",REKAP[[#This Row],[Stok Aktual]]-REKAP[[#This Row],[Stok Akhir]],0)</f>
        <v>0</v>
      </c>
      <c r="S781" s="132"/>
      <c r="T781" s="137">
        <f>IF(REKAP[[#This Row],[Selisih]]&lt;=-1,REKAP[[#This Row],[Harga Satuan]]*REKAP[[#This Row],[Selisih]],0)</f>
        <v>0</v>
      </c>
    </row>
    <row r="782" spans="1:20" x14ac:dyDescent="0.25">
      <c r="A782" s="55" t="s">
        <v>1108</v>
      </c>
      <c r="B782" s="55" t="s">
        <v>861</v>
      </c>
      <c r="C782" s="55" t="s">
        <v>861</v>
      </c>
      <c r="D782" s="56" t="s">
        <v>1644</v>
      </c>
      <c r="E782" s="57"/>
      <c r="F782" s="75" t="s">
        <v>898</v>
      </c>
      <c r="G782" s="55"/>
      <c r="H782" s="58">
        <v>16778</v>
      </c>
      <c r="I782" s="59">
        <f>IF(COUNTIF(MASUK[Kode Barang],REKAP[[#This Row],[ID]])=0,0,COUNTIF(MASUK[Kode Barang],REKAP[[#This Row],[ID]]))</f>
        <v>0</v>
      </c>
      <c r="J782" s="59">
        <f>IF(COUNTIF(MASUK8[Kode Barang],REKAP[[#This Row],[ID]])=0,0,COUNTIF(MASUK8[Kode Barang],REKAP[[#This Row],[ID]]))</f>
        <v>0</v>
      </c>
      <c r="K782" s="60">
        <f>REKAP[[#This Row],[Trx In]]+REKAP[[#This Row],[Trx Out]]</f>
        <v>0</v>
      </c>
      <c r="L782" s="55">
        <v>0</v>
      </c>
      <c r="M782" s="74">
        <f>SUMIF(MASUK!$C:$C,REKAP[[#This Row],[ID]],MASUK!$H:$H)</f>
        <v>0</v>
      </c>
      <c r="N782" s="74">
        <f>SUMIF(KELUAR!$C:$C,REKAP[[#This Row],[ID]],KELUAR!$H:$H)</f>
        <v>0</v>
      </c>
      <c r="O782" s="74">
        <f>REKAP[[#This Row],[Stok Awal]]+REKAP[[#This Row],[Masuk]]-REKAP[[#This Row],[Keluar]]</f>
        <v>0</v>
      </c>
      <c r="P782" s="55"/>
      <c r="Q782" s="62">
        <f>REKAP[[#This Row],[Harga Satuan]]*REKAP[[#This Row],[Stok Akhir]]</f>
        <v>0</v>
      </c>
      <c r="R782" s="61">
        <f>IF(REKAP[[#This Row],[Stok Aktual]]&lt;&gt;"",REKAP[[#This Row],[Stok Aktual]]-REKAP[[#This Row],[Stok Akhir]],0)</f>
        <v>0</v>
      </c>
      <c r="S782" s="132"/>
      <c r="T782" s="137">
        <f>IF(REKAP[[#This Row],[Selisih]]&lt;=-1,REKAP[[#This Row],[Harga Satuan]]*REKAP[[#This Row],[Selisih]],0)</f>
        <v>0</v>
      </c>
    </row>
    <row r="783" spans="1:20" x14ac:dyDescent="0.25">
      <c r="A783" s="55" t="s">
        <v>1109</v>
      </c>
      <c r="B783" s="55" t="s">
        <v>861</v>
      </c>
      <c r="C783" s="55" t="s">
        <v>861</v>
      </c>
      <c r="D783" s="56" t="s">
        <v>1645</v>
      </c>
      <c r="E783" s="57"/>
      <c r="F783" s="75" t="s">
        <v>898</v>
      </c>
      <c r="G783" s="55" t="s">
        <v>1973</v>
      </c>
      <c r="H783" s="58">
        <v>38800</v>
      </c>
      <c r="I783" s="59">
        <f>IF(COUNTIF(MASUK[Kode Barang],REKAP[[#This Row],[ID]])=0,0,COUNTIF(MASUK[Kode Barang],REKAP[[#This Row],[ID]]))</f>
        <v>0</v>
      </c>
      <c r="J783" s="59">
        <f>IF(COUNTIF(MASUK8[Kode Barang],REKAP[[#This Row],[ID]])=0,0,COUNTIF(MASUK8[Kode Barang],REKAP[[#This Row],[ID]]))</f>
        <v>0</v>
      </c>
      <c r="K783" s="60">
        <f>REKAP[[#This Row],[Trx In]]+REKAP[[#This Row],[Trx Out]]</f>
        <v>0</v>
      </c>
      <c r="L783" s="55">
        <v>0</v>
      </c>
      <c r="M783" s="74">
        <f>SUMIF(MASUK!$C:$C,REKAP[[#This Row],[ID]],MASUK!$H:$H)</f>
        <v>0</v>
      </c>
      <c r="N783" s="74">
        <f>SUMIF(KELUAR!$C:$C,REKAP[[#This Row],[ID]],KELUAR!$H:$H)</f>
        <v>0</v>
      </c>
      <c r="O783" s="74">
        <f>REKAP[[#This Row],[Stok Awal]]+REKAP[[#This Row],[Masuk]]-REKAP[[#This Row],[Keluar]]</f>
        <v>0</v>
      </c>
      <c r="P783" s="55"/>
      <c r="Q783" s="62">
        <f>REKAP[[#This Row],[Harga Satuan]]*REKAP[[#This Row],[Stok Akhir]]</f>
        <v>0</v>
      </c>
      <c r="R783" s="61">
        <f>IF(REKAP[[#This Row],[Stok Aktual]]&lt;&gt;"",REKAP[[#This Row],[Stok Aktual]]-REKAP[[#This Row],[Stok Akhir]],0)</f>
        <v>0</v>
      </c>
      <c r="S783" s="132"/>
      <c r="T783" s="137">
        <f>IF(REKAP[[#This Row],[Selisih]]&lt;=-1,REKAP[[#This Row],[Harga Satuan]]*REKAP[[#This Row],[Selisih]],0)</f>
        <v>0</v>
      </c>
    </row>
    <row r="784" spans="1:20" x14ac:dyDescent="0.25">
      <c r="A784" s="55" t="s">
        <v>1110</v>
      </c>
      <c r="B784" s="55" t="s">
        <v>861</v>
      </c>
      <c r="C784" s="55" t="s">
        <v>861</v>
      </c>
      <c r="D784" s="56" t="s">
        <v>1646</v>
      </c>
      <c r="E784" s="57"/>
      <c r="F784" s="75" t="s">
        <v>898</v>
      </c>
      <c r="G784" s="55"/>
      <c r="H784" s="58">
        <v>10179</v>
      </c>
      <c r="I784" s="59">
        <f>IF(COUNTIF(MASUK[Kode Barang],REKAP[[#This Row],[ID]])=0,0,COUNTIF(MASUK[Kode Barang],REKAP[[#This Row],[ID]]))</f>
        <v>0</v>
      </c>
      <c r="J784" s="59">
        <f>IF(COUNTIF(MASUK8[Kode Barang],REKAP[[#This Row],[ID]])=0,0,COUNTIF(MASUK8[Kode Barang],REKAP[[#This Row],[ID]]))</f>
        <v>0</v>
      </c>
      <c r="K784" s="60">
        <f>REKAP[[#This Row],[Trx In]]+REKAP[[#This Row],[Trx Out]]</f>
        <v>0</v>
      </c>
      <c r="L784" s="55">
        <v>8</v>
      </c>
      <c r="M784" s="74">
        <f>SUMIF(MASUK!$C:$C,REKAP[[#This Row],[ID]],MASUK!$H:$H)</f>
        <v>0</v>
      </c>
      <c r="N784" s="74">
        <f>SUMIF(KELUAR!$C:$C,REKAP[[#This Row],[ID]],KELUAR!$H:$H)</f>
        <v>0</v>
      </c>
      <c r="O784" s="74">
        <f>REKAP[[#This Row],[Stok Awal]]+REKAP[[#This Row],[Masuk]]-REKAP[[#This Row],[Keluar]]</f>
        <v>8</v>
      </c>
      <c r="P784" s="55"/>
      <c r="Q784" s="62">
        <f>REKAP[[#This Row],[Harga Satuan]]*REKAP[[#This Row],[Stok Akhir]]</f>
        <v>81432</v>
      </c>
      <c r="R784" s="61">
        <f>IF(REKAP[[#This Row],[Stok Aktual]]&lt;&gt;"",REKAP[[#This Row],[Stok Aktual]]-REKAP[[#This Row],[Stok Akhir]],0)</f>
        <v>0</v>
      </c>
      <c r="S784" s="132"/>
      <c r="T784" s="137">
        <f>IF(REKAP[[#This Row],[Selisih]]&lt;=-1,REKAP[[#This Row],[Harga Satuan]]*REKAP[[#This Row],[Selisih]],0)</f>
        <v>0</v>
      </c>
    </row>
    <row r="785" spans="1:20" x14ac:dyDescent="0.25">
      <c r="A785" s="55" t="s">
        <v>1111</v>
      </c>
      <c r="B785" s="55" t="s">
        <v>861</v>
      </c>
      <c r="C785" s="55" t="s">
        <v>861</v>
      </c>
      <c r="D785" s="56" t="s">
        <v>1647</v>
      </c>
      <c r="E785" s="57"/>
      <c r="F785" s="75" t="s">
        <v>898</v>
      </c>
      <c r="G785" s="55"/>
      <c r="H785" s="58">
        <v>35000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0</v>
      </c>
      <c r="K785" s="60">
        <f>REKAP[[#This Row],[Trx In]]+REKAP[[#This Row],[Trx Out]]</f>
        <v>0</v>
      </c>
      <c r="L785" s="55">
        <v>0</v>
      </c>
      <c r="M785" s="74">
        <f>SUMIF(MASUK!$C:$C,REKAP[[#This Row],[ID]],MASUK!$H:$H)</f>
        <v>0</v>
      </c>
      <c r="N785" s="74">
        <f>SUMIF(KELUAR!$C:$C,REKAP[[#This Row],[ID]],KELUAR!$H:$H)</f>
        <v>0</v>
      </c>
      <c r="O785" s="74">
        <f>REKAP[[#This Row],[Stok Awal]]+REKAP[[#This Row],[Masuk]]-REKAP[[#This Row],[Keluar]]</f>
        <v>0</v>
      </c>
      <c r="P785" s="55"/>
      <c r="Q785" s="62">
        <f>REKAP[[#This Row],[Harga Satuan]]*REKAP[[#This Row],[Stok Akhir]]</f>
        <v>0</v>
      </c>
      <c r="R785" s="61">
        <f>IF(REKAP[[#This Row],[Stok Aktual]]&lt;&gt;"",REKAP[[#This Row],[Stok Aktual]]-REKAP[[#This Row],[Stok Akhir]],0)</f>
        <v>0</v>
      </c>
      <c r="S785" s="132"/>
      <c r="T785" s="137">
        <f>IF(REKAP[[#This Row],[Selisih]]&lt;=-1,REKAP[[#This Row],[Harga Satuan]]*REKAP[[#This Row],[Selisih]],0)</f>
        <v>0</v>
      </c>
    </row>
    <row r="786" spans="1:20" x14ac:dyDescent="0.25">
      <c r="A786" s="55" t="s">
        <v>1112</v>
      </c>
      <c r="B786" s="55" t="s">
        <v>861</v>
      </c>
      <c r="C786" s="55" t="s">
        <v>861</v>
      </c>
      <c r="D786" s="56" t="s">
        <v>1648</v>
      </c>
      <c r="E786" s="57"/>
      <c r="F786" s="75" t="s">
        <v>898</v>
      </c>
      <c r="G786" s="55" t="s">
        <v>1974</v>
      </c>
      <c r="H786" s="58">
        <v>35000</v>
      </c>
      <c r="I786" s="59">
        <f>IF(COUNTIF(MASUK[Kode Barang],REKAP[[#This Row],[ID]])=0,0,COUNTIF(MASUK[Kode Barang],REKAP[[#This Row],[ID]]))</f>
        <v>0</v>
      </c>
      <c r="J786" s="59">
        <f>IF(COUNTIF(MASUK8[Kode Barang],REKAP[[#This Row],[ID]])=0,0,COUNTIF(MASUK8[Kode Barang],REKAP[[#This Row],[ID]]))</f>
        <v>0</v>
      </c>
      <c r="K786" s="60">
        <f>REKAP[[#This Row],[Trx In]]+REKAP[[#This Row],[Trx Out]]</f>
        <v>0</v>
      </c>
      <c r="L786" s="55">
        <v>0</v>
      </c>
      <c r="M786" s="74">
        <f>SUMIF(MASUK!$C:$C,REKAP[[#This Row],[ID]],MASUK!$H:$H)</f>
        <v>0</v>
      </c>
      <c r="N786" s="74">
        <f>SUMIF(KELUAR!$C:$C,REKAP[[#This Row],[ID]],KELUAR!$H:$H)</f>
        <v>0</v>
      </c>
      <c r="O786" s="74">
        <f>REKAP[[#This Row],[Stok Awal]]+REKAP[[#This Row],[Masuk]]-REKAP[[#This Row],[Keluar]]</f>
        <v>0</v>
      </c>
      <c r="P786" s="55"/>
      <c r="Q786" s="62">
        <f>REKAP[[#This Row],[Harga Satuan]]*REKAP[[#This Row],[Stok Akhir]]</f>
        <v>0</v>
      </c>
      <c r="R786" s="61">
        <f>IF(REKAP[[#This Row],[Stok Aktual]]&lt;&gt;"",REKAP[[#This Row],[Stok Aktual]]-REKAP[[#This Row],[Stok Akhir]],0)</f>
        <v>0</v>
      </c>
      <c r="S786" s="132"/>
      <c r="T786" s="137">
        <f>IF(REKAP[[#This Row],[Selisih]]&lt;=-1,REKAP[[#This Row],[Harga Satuan]]*REKAP[[#This Row],[Selisih]],0)</f>
        <v>0</v>
      </c>
    </row>
    <row r="787" spans="1:20" x14ac:dyDescent="0.25">
      <c r="A787" s="55" t="s">
        <v>1113</v>
      </c>
      <c r="B787" s="55" t="s">
        <v>861</v>
      </c>
      <c r="C787" s="55" t="s">
        <v>861</v>
      </c>
      <c r="D787" s="56" t="s">
        <v>1649</v>
      </c>
      <c r="E787" s="57"/>
      <c r="F787" s="75" t="s">
        <v>898</v>
      </c>
      <c r="G787" s="55"/>
      <c r="H787" s="58">
        <v>11366</v>
      </c>
      <c r="I787" s="59">
        <f>IF(COUNTIF(MASUK[Kode Barang],REKAP[[#This Row],[ID]])=0,0,COUNTIF(MASUK[Kode Barang],REKAP[[#This Row],[ID]]))</f>
        <v>0</v>
      </c>
      <c r="J787" s="59">
        <f>IF(COUNTIF(MASUK8[Kode Barang],REKAP[[#This Row],[ID]])=0,0,COUNTIF(MASUK8[Kode Barang],REKAP[[#This Row],[ID]]))</f>
        <v>0</v>
      </c>
      <c r="K787" s="60">
        <f>REKAP[[#This Row],[Trx In]]+REKAP[[#This Row],[Trx Out]]</f>
        <v>0</v>
      </c>
      <c r="L787" s="55">
        <v>0</v>
      </c>
      <c r="M787" s="74">
        <f>SUMIF(MASUK!$C:$C,REKAP[[#This Row],[ID]],MASUK!$H:$H)</f>
        <v>0</v>
      </c>
      <c r="N787" s="74">
        <f>SUMIF(KELUAR!$C:$C,REKAP[[#This Row],[ID]],KELUAR!$H:$H)</f>
        <v>0</v>
      </c>
      <c r="O787" s="74">
        <f>REKAP[[#This Row],[Stok Awal]]+REKAP[[#This Row],[Masuk]]-REKAP[[#This Row],[Keluar]]</f>
        <v>0</v>
      </c>
      <c r="P787" s="55"/>
      <c r="Q787" s="62">
        <f>REKAP[[#This Row],[Harga Satuan]]*REKAP[[#This Row],[Stok Akhir]]</f>
        <v>0</v>
      </c>
      <c r="R787" s="61">
        <f>IF(REKAP[[#This Row],[Stok Aktual]]&lt;&gt;"",REKAP[[#This Row],[Stok Aktual]]-REKAP[[#This Row],[Stok Akhir]],0)</f>
        <v>0</v>
      </c>
      <c r="S787" s="132"/>
      <c r="T787" s="137">
        <f>IF(REKAP[[#This Row],[Selisih]]&lt;=-1,REKAP[[#This Row],[Harga Satuan]]*REKAP[[#This Row],[Selisih]],0)</f>
        <v>0</v>
      </c>
    </row>
    <row r="788" spans="1:20" x14ac:dyDescent="0.25">
      <c r="A788" s="55" t="s">
        <v>1114</v>
      </c>
      <c r="B788" s="55" t="s">
        <v>861</v>
      </c>
      <c r="C788" s="55" t="s">
        <v>861</v>
      </c>
      <c r="D788" s="56" t="s">
        <v>1650</v>
      </c>
      <c r="E788" s="57"/>
      <c r="F788" s="75" t="s">
        <v>898</v>
      </c>
      <c r="G788" s="55"/>
      <c r="H788" s="58">
        <v>28000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0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0</v>
      </c>
      <c r="P788" s="55"/>
      <c r="Q788" s="62">
        <f>REKAP[[#This Row],[Harga Satuan]]*REKAP[[#This Row],[Stok Akhir]]</f>
        <v>0</v>
      </c>
      <c r="R788" s="61">
        <f>IF(REKAP[[#This Row],[Stok Aktual]]&lt;&gt;"",REKAP[[#This Row],[Stok Aktual]]-REKAP[[#This Row],[Stok Akhir]],0)</f>
        <v>0</v>
      </c>
      <c r="S788" s="132"/>
      <c r="T788" s="137">
        <f>IF(REKAP[[#This Row],[Selisih]]&lt;=-1,REKAP[[#This Row],[Harga Satuan]]*REKAP[[#This Row],[Selisih]],0)</f>
        <v>0</v>
      </c>
    </row>
    <row r="789" spans="1:20" x14ac:dyDescent="0.25">
      <c r="A789" s="55" t="s">
        <v>1115</v>
      </c>
      <c r="B789" s="55" t="s">
        <v>861</v>
      </c>
      <c r="C789" s="55" t="s">
        <v>861</v>
      </c>
      <c r="D789" s="56" t="s">
        <v>1651</v>
      </c>
      <c r="E789" s="57"/>
      <c r="F789" s="75" t="s">
        <v>898</v>
      </c>
      <c r="G789" s="55"/>
      <c r="H789" s="58">
        <v>27000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0</v>
      </c>
      <c r="K789" s="60">
        <f>REKAP[[#This Row],[Trx In]]+REKAP[[#This Row],[Trx Out]]</f>
        <v>0</v>
      </c>
      <c r="L789" s="55">
        <v>2</v>
      </c>
      <c r="M789" s="74">
        <f>SUMIF(MASUK!$C:$C,REKAP[[#This Row],[ID]],MASUK!$H:$H)</f>
        <v>0</v>
      </c>
      <c r="N789" s="74">
        <f>SUMIF(KELUAR!$C:$C,REKAP[[#This Row],[ID]],KELUAR!$H:$H)</f>
        <v>0</v>
      </c>
      <c r="O789" s="74">
        <f>REKAP[[#This Row],[Stok Awal]]+REKAP[[#This Row],[Masuk]]-REKAP[[#This Row],[Keluar]]</f>
        <v>2</v>
      </c>
      <c r="P789" s="55"/>
      <c r="Q789" s="62">
        <f>REKAP[[#This Row],[Harga Satuan]]*REKAP[[#This Row],[Stok Akhir]]</f>
        <v>54000</v>
      </c>
      <c r="R789" s="61">
        <f>IF(REKAP[[#This Row],[Stok Aktual]]&lt;&gt;"",REKAP[[#This Row],[Stok Aktual]]-REKAP[[#This Row],[Stok Akhir]],0)</f>
        <v>0</v>
      </c>
      <c r="S789" s="132"/>
      <c r="T789" s="137">
        <f>IF(REKAP[[#This Row],[Selisih]]&lt;=-1,REKAP[[#This Row],[Harga Satuan]]*REKAP[[#This Row],[Selisih]],0)</f>
        <v>0</v>
      </c>
    </row>
    <row r="790" spans="1:20" x14ac:dyDescent="0.25">
      <c r="A790" s="55" t="s">
        <v>1116</v>
      </c>
      <c r="B790" s="55" t="s">
        <v>861</v>
      </c>
      <c r="C790" s="55" t="s">
        <v>861</v>
      </c>
      <c r="D790" s="56" t="s">
        <v>1652</v>
      </c>
      <c r="E790" s="57"/>
      <c r="F790" s="75" t="s">
        <v>898</v>
      </c>
      <c r="G790" s="55"/>
      <c r="H790" s="58">
        <v>33000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0</v>
      </c>
      <c r="K790" s="60">
        <f>REKAP[[#This Row],[Trx In]]+REKAP[[#This Row],[Trx Out]]</f>
        <v>0</v>
      </c>
      <c r="L790" s="55">
        <v>0</v>
      </c>
      <c r="M790" s="74">
        <f>SUMIF(MASUK!$C:$C,REKAP[[#This Row],[ID]],MASUK!$H:$H)</f>
        <v>0</v>
      </c>
      <c r="N790" s="74">
        <f>SUMIF(KELUAR!$C:$C,REKAP[[#This Row],[ID]],KELUAR!$H:$H)</f>
        <v>0</v>
      </c>
      <c r="O790" s="74">
        <f>REKAP[[#This Row],[Stok Awal]]+REKAP[[#This Row],[Masuk]]-REKAP[[#This Row],[Keluar]]</f>
        <v>0</v>
      </c>
      <c r="P790" s="55"/>
      <c r="Q790" s="62">
        <f>REKAP[[#This Row],[Harga Satuan]]*REKAP[[#This Row],[Stok Akhir]]</f>
        <v>0</v>
      </c>
      <c r="R790" s="61">
        <f>IF(REKAP[[#This Row],[Stok Aktual]]&lt;&gt;"",REKAP[[#This Row],[Stok Aktual]]-REKAP[[#This Row],[Stok Akhir]],0)</f>
        <v>0</v>
      </c>
      <c r="S790" s="132"/>
      <c r="T790" s="137">
        <f>IF(REKAP[[#This Row],[Selisih]]&lt;=-1,REKAP[[#This Row],[Harga Satuan]]*REKAP[[#This Row],[Selisih]],0)</f>
        <v>0</v>
      </c>
    </row>
    <row r="791" spans="1:20" x14ac:dyDescent="0.25">
      <c r="A791" s="55" t="s">
        <v>1117</v>
      </c>
      <c r="B791" s="55" t="s">
        <v>861</v>
      </c>
      <c r="C791" s="55" t="s">
        <v>861</v>
      </c>
      <c r="D791" s="56" t="s">
        <v>1653</v>
      </c>
      <c r="E791" s="57"/>
      <c r="F791" s="75" t="s">
        <v>898</v>
      </c>
      <c r="G791" s="55"/>
      <c r="H791" s="58"/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8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8</v>
      </c>
      <c r="P791" s="55"/>
      <c r="Q791" s="62">
        <f>REKAP[[#This Row],[Harga Satuan]]*REKAP[[#This Row],[Stok Akhir]]</f>
        <v>0</v>
      </c>
      <c r="R791" s="61">
        <f>IF(REKAP[[#This Row],[Stok Aktual]]&lt;&gt;"",REKAP[[#This Row],[Stok Aktual]]-REKAP[[#This Row],[Stok Akhir]],0)</f>
        <v>0</v>
      </c>
      <c r="S791" s="132"/>
      <c r="T791" s="137">
        <f>IF(REKAP[[#This Row],[Selisih]]&lt;=-1,REKAP[[#This Row],[Harga Satuan]]*REKAP[[#This Row],[Selisih]],0)</f>
        <v>0</v>
      </c>
    </row>
    <row r="792" spans="1:20" x14ac:dyDescent="0.25">
      <c r="A792" s="55" t="s">
        <v>1118</v>
      </c>
      <c r="B792" s="55" t="s">
        <v>861</v>
      </c>
      <c r="C792" s="55" t="s">
        <v>861</v>
      </c>
      <c r="D792" s="56" t="s">
        <v>1654</v>
      </c>
      <c r="E792" s="57"/>
      <c r="F792" s="75" t="s">
        <v>898</v>
      </c>
      <c r="G792" s="55"/>
      <c r="H792" s="58">
        <v>35273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0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0</v>
      </c>
      <c r="P792" s="55"/>
      <c r="Q792" s="62">
        <f>REKAP[[#This Row],[Harga Satuan]]*REKAP[[#This Row],[Stok Akhir]]</f>
        <v>0</v>
      </c>
      <c r="R792" s="61">
        <f>IF(REKAP[[#This Row],[Stok Aktual]]&lt;&gt;"",REKAP[[#This Row],[Stok Aktual]]-REKAP[[#This Row],[Stok Akhir]],0)</f>
        <v>0</v>
      </c>
      <c r="S792" s="132"/>
      <c r="T792" s="137">
        <f>IF(REKAP[[#This Row],[Selisih]]&lt;=-1,REKAP[[#This Row],[Harga Satuan]]*REKAP[[#This Row],[Selisih]],0)</f>
        <v>0</v>
      </c>
    </row>
    <row r="793" spans="1:20" x14ac:dyDescent="0.25">
      <c r="A793" s="55" t="s">
        <v>1119</v>
      </c>
      <c r="B793" s="55" t="s">
        <v>861</v>
      </c>
      <c r="C793" s="55" t="s">
        <v>861</v>
      </c>
      <c r="D793" s="56" t="s">
        <v>1655</v>
      </c>
      <c r="E793" s="57"/>
      <c r="F793" s="75" t="s">
        <v>898</v>
      </c>
      <c r="G793" s="55"/>
      <c r="H793" s="58">
        <v>17000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0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0</v>
      </c>
      <c r="P793" s="55"/>
      <c r="Q793" s="62">
        <f>REKAP[[#This Row],[Harga Satuan]]*REKAP[[#This Row],[Stok Akhir]]</f>
        <v>0</v>
      </c>
      <c r="R793" s="61">
        <f>IF(REKAP[[#This Row],[Stok Aktual]]&lt;&gt;"",REKAP[[#This Row],[Stok Aktual]]-REKAP[[#This Row],[Stok Akhir]],0)</f>
        <v>0</v>
      </c>
      <c r="S793" s="132"/>
      <c r="T793" s="137">
        <f>IF(REKAP[[#This Row],[Selisih]]&lt;=-1,REKAP[[#This Row],[Harga Satuan]]*REKAP[[#This Row],[Selisih]],0)</f>
        <v>0</v>
      </c>
    </row>
    <row r="794" spans="1:20" x14ac:dyDescent="0.25">
      <c r="A794" s="55" t="s">
        <v>1120</v>
      </c>
      <c r="B794" s="55" t="s">
        <v>861</v>
      </c>
      <c r="C794" s="55" t="s">
        <v>861</v>
      </c>
      <c r="D794" s="56" t="s">
        <v>1656</v>
      </c>
      <c r="E794" s="57"/>
      <c r="F794" s="75" t="s">
        <v>898</v>
      </c>
      <c r="G794" s="55"/>
      <c r="H794" s="58">
        <v>15762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0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0</v>
      </c>
      <c r="P794" s="55"/>
      <c r="Q794" s="62">
        <f>REKAP[[#This Row],[Harga Satuan]]*REKAP[[#This Row],[Stok Akhir]]</f>
        <v>0</v>
      </c>
      <c r="R794" s="61">
        <f>IF(REKAP[[#This Row],[Stok Aktual]]&lt;&gt;"",REKAP[[#This Row],[Stok Aktual]]-REKAP[[#This Row],[Stok Akhir]],0)</f>
        <v>0</v>
      </c>
      <c r="S794" s="132"/>
      <c r="T794" s="137">
        <f>IF(REKAP[[#This Row],[Selisih]]&lt;=-1,REKAP[[#This Row],[Harga Satuan]]*REKAP[[#This Row],[Selisih]],0)</f>
        <v>0</v>
      </c>
    </row>
    <row r="795" spans="1:20" x14ac:dyDescent="0.25">
      <c r="A795" s="55" t="s">
        <v>1121</v>
      </c>
      <c r="B795" s="55" t="s">
        <v>861</v>
      </c>
      <c r="C795" s="55" t="s">
        <v>861</v>
      </c>
      <c r="D795" s="56" t="s">
        <v>1657</v>
      </c>
      <c r="E795" s="57"/>
      <c r="F795" s="75" t="s">
        <v>898</v>
      </c>
      <c r="G795" s="55"/>
      <c r="H795" s="58">
        <v>18549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</v>
      </c>
      <c r="P795" s="55"/>
      <c r="Q795" s="62">
        <f>REKAP[[#This Row],[Harga Satuan]]*REKAP[[#This Row],[Stok Akhir]]</f>
        <v>18549</v>
      </c>
      <c r="R795" s="61">
        <f>IF(REKAP[[#This Row],[Stok Aktual]]&lt;&gt;"",REKAP[[#This Row],[Stok Aktual]]-REKAP[[#This Row],[Stok Akhir]],0)</f>
        <v>0</v>
      </c>
      <c r="S795" s="132"/>
      <c r="T795" s="137">
        <f>IF(REKAP[[#This Row],[Selisih]]&lt;=-1,REKAP[[#This Row],[Harga Satuan]]*REKAP[[#This Row],[Selisih]],0)</f>
        <v>0</v>
      </c>
    </row>
    <row r="796" spans="1:20" x14ac:dyDescent="0.25">
      <c r="A796" s="55" t="s">
        <v>1122</v>
      </c>
      <c r="B796" s="55" t="s">
        <v>861</v>
      </c>
      <c r="C796" s="55" t="s">
        <v>861</v>
      </c>
      <c r="D796" s="56" t="s">
        <v>1658</v>
      </c>
      <c r="E796" s="57"/>
      <c r="F796" s="75" t="s">
        <v>898</v>
      </c>
      <c r="G796" s="55" t="s">
        <v>1973</v>
      </c>
      <c r="H796" s="58">
        <v>62400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0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0</v>
      </c>
      <c r="P796" s="55"/>
      <c r="Q796" s="62">
        <f>REKAP[[#This Row],[Harga Satuan]]*REKAP[[#This Row],[Stok Akhir]]</f>
        <v>0</v>
      </c>
      <c r="R796" s="61">
        <f>IF(REKAP[[#This Row],[Stok Aktual]]&lt;&gt;"",REKAP[[#This Row],[Stok Aktual]]-REKAP[[#This Row],[Stok Akhir]],0)</f>
        <v>0</v>
      </c>
      <c r="S796" s="132"/>
      <c r="T796" s="137">
        <f>IF(REKAP[[#This Row],[Selisih]]&lt;=-1,REKAP[[#This Row],[Harga Satuan]]*REKAP[[#This Row],[Selisih]],0)</f>
        <v>0</v>
      </c>
    </row>
    <row r="797" spans="1:20" x14ac:dyDescent="0.25">
      <c r="A797" s="55" t="s">
        <v>1123</v>
      </c>
      <c r="B797" s="55" t="s">
        <v>861</v>
      </c>
      <c r="C797" s="55" t="s">
        <v>861</v>
      </c>
      <c r="D797" s="56" t="s">
        <v>1659</v>
      </c>
      <c r="E797" s="57"/>
      <c r="F797" s="75" t="s">
        <v>898</v>
      </c>
      <c r="G797" s="55"/>
      <c r="H797" s="58">
        <v>23274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</v>
      </c>
      <c r="P797" s="55"/>
      <c r="Q797" s="62">
        <f>REKAP[[#This Row],[Harga Satuan]]*REKAP[[#This Row],[Stok Akhir]]</f>
        <v>23274</v>
      </c>
      <c r="R797" s="61">
        <f>IF(REKAP[[#This Row],[Stok Aktual]]&lt;&gt;"",REKAP[[#This Row],[Stok Aktual]]-REKAP[[#This Row],[Stok Akhir]],0)</f>
        <v>0</v>
      </c>
      <c r="S797" s="132"/>
      <c r="T797" s="137">
        <f>IF(REKAP[[#This Row],[Selisih]]&lt;=-1,REKAP[[#This Row],[Harga Satuan]]*REKAP[[#This Row],[Selisih]],0)</f>
        <v>0</v>
      </c>
    </row>
    <row r="798" spans="1:20" x14ac:dyDescent="0.25">
      <c r="A798" s="55" t="s">
        <v>1124</v>
      </c>
      <c r="B798" s="55" t="s">
        <v>861</v>
      </c>
      <c r="C798" s="55" t="s">
        <v>861</v>
      </c>
      <c r="D798" s="56" t="s">
        <v>1660</v>
      </c>
      <c r="E798" s="57"/>
      <c r="F798" s="75" t="s">
        <v>898</v>
      </c>
      <c r="G798" s="55"/>
      <c r="H798" s="58">
        <v>25320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0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0</v>
      </c>
      <c r="P798" s="55"/>
      <c r="Q798" s="62">
        <f>REKAP[[#This Row],[Harga Satuan]]*REKAP[[#This Row],[Stok Akhir]]</f>
        <v>0</v>
      </c>
      <c r="R798" s="61">
        <f>IF(REKAP[[#This Row],[Stok Aktual]]&lt;&gt;"",REKAP[[#This Row],[Stok Aktual]]-REKAP[[#This Row],[Stok Akhir]],0)</f>
        <v>0</v>
      </c>
      <c r="S798" s="132"/>
      <c r="T798" s="137">
        <f>IF(REKAP[[#This Row],[Selisih]]&lt;=-1,REKAP[[#This Row],[Harga Satuan]]*REKAP[[#This Row],[Selisih]],0)</f>
        <v>0</v>
      </c>
    </row>
    <row r="799" spans="1:20" x14ac:dyDescent="0.25">
      <c r="A799" s="55" t="s">
        <v>1125</v>
      </c>
      <c r="B799" s="55" t="s">
        <v>861</v>
      </c>
      <c r="C799" s="55" t="s">
        <v>861</v>
      </c>
      <c r="D799" s="56" t="s">
        <v>1661</v>
      </c>
      <c r="E799" s="57"/>
      <c r="F799" s="75" t="s">
        <v>898</v>
      </c>
      <c r="G799" s="55"/>
      <c r="H799" s="58">
        <v>26500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0</v>
      </c>
      <c r="K799" s="60">
        <f>REKAP[[#This Row],[Trx In]]+REKAP[[#This Row],[Trx Out]]</f>
        <v>0</v>
      </c>
      <c r="L799" s="55">
        <v>0</v>
      </c>
      <c r="M799" s="74">
        <f>SUMIF(MASUK!$C:$C,REKAP[[#This Row],[ID]],MASUK!$H:$H)</f>
        <v>0</v>
      </c>
      <c r="N799" s="74">
        <f>SUMIF(KELUAR!$C:$C,REKAP[[#This Row],[ID]],KELUAR!$H:$H)</f>
        <v>0</v>
      </c>
      <c r="O799" s="74">
        <f>REKAP[[#This Row],[Stok Awal]]+REKAP[[#This Row],[Masuk]]-REKAP[[#This Row],[Keluar]]</f>
        <v>0</v>
      </c>
      <c r="P799" s="55"/>
      <c r="Q799" s="62">
        <f>REKAP[[#This Row],[Harga Satuan]]*REKAP[[#This Row],[Stok Akhir]]</f>
        <v>0</v>
      </c>
      <c r="R799" s="61">
        <f>IF(REKAP[[#This Row],[Stok Aktual]]&lt;&gt;"",REKAP[[#This Row],[Stok Aktual]]-REKAP[[#This Row],[Stok Akhir]],0)</f>
        <v>0</v>
      </c>
      <c r="S799" s="132"/>
      <c r="T799" s="137">
        <f>IF(REKAP[[#This Row],[Selisih]]&lt;=-1,REKAP[[#This Row],[Harga Satuan]]*REKAP[[#This Row],[Selisih]],0)</f>
        <v>0</v>
      </c>
    </row>
    <row r="800" spans="1:20" x14ac:dyDescent="0.25">
      <c r="A800" s="55" t="s">
        <v>1126</v>
      </c>
      <c r="B800" s="55" t="s">
        <v>861</v>
      </c>
      <c r="C800" s="55" t="s">
        <v>861</v>
      </c>
      <c r="D800" s="56" t="s">
        <v>1662</v>
      </c>
      <c r="E800" s="57"/>
      <c r="F800" s="75" t="s">
        <v>898</v>
      </c>
      <c r="G800" s="55"/>
      <c r="H800" s="58">
        <v>20500</v>
      </c>
      <c r="I800" s="59">
        <f>IF(COUNTIF(MASUK[Kode Barang],REKAP[[#This Row],[ID]])=0,0,COUNTIF(MASUK[Kode Barang],REKAP[[#This Row],[ID]]))</f>
        <v>0</v>
      </c>
      <c r="J800" s="59">
        <f>IF(COUNTIF(MASUK8[Kode Barang],REKAP[[#This Row],[ID]])=0,0,COUNTIF(MASUK8[Kode Barang],REKAP[[#This Row],[ID]]))</f>
        <v>0</v>
      </c>
      <c r="K800" s="60">
        <f>REKAP[[#This Row],[Trx In]]+REKAP[[#This Row],[Trx Out]]</f>
        <v>0</v>
      </c>
      <c r="L800" s="55">
        <v>0</v>
      </c>
      <c r="M800" s="74">
        <f>SUMIF(MASUK!$C:$C,REKAP[[#This Row],[ID]],MASUK!$H:$H)</f>
        <v>0</v>
      </c>
      <c r="N800" s="74">
        <f>SUMIF(KELUAR!$C:$C,REKAP[[#This Row],[ID]],KELUAR!$H:$H)</f>
        <v>0</v>
      </c>
      <c r="O800" s="74">
        <f>REKAP[[#This Row],[Stok Awal]]+REKAP[[#This Row],[Masuk]]-REKAP[[#This Row],[Keluar]]</f>
        <v>0</v>
      </c>
      <c r="P800" s="55"/>
      <c r="Q800" s="62">
        <f>REKAP[[#This Row],[Harga Satuan]]*REKAP[[#This Row],[Stok Akhir]]</f>
        <v>0</v>
      </c>
      <c r="R800" s="61">
        <f>IF(REKAP[[#This Row],[Stok Aktual]]&lt;&gt;"",REKAP[[#This Row],[Stok Aktual]]-REKAP[[#This Row],[Stok Akhir]],0)</f>
        <v>0</v>
      </c>
      <c r="S800" s="132"/>
      <c r="T800" s="137">
        <f>IF(REKAP[[#This Row],[Selisih]]&lt;=-1,REKAP[[#This Row],[Harga Satuan]]*REKAP[[#This Row],[Selisih]],0)</f>
        <v>0</v>
      </c>
    </row>
    <row r="801" spans="1:20" x14ac:dyDescent="0.25">
      <c r="A801" s="55" t="s">
        <v>1127</v>
      </c>
      <c r="B801" s="55" t="s">
        <v>861</v>
      </c>
      <c r="C801" s="55" t="s">
        <v>861</v>
      </c>
      <c r="D801" s="56" t="s">
        <v>1663</v>
      </c>
      <c r="E801" s="57"/>
      <c r="F801" s="75" t="s">
        <v>898</v>
      </c>
      <c r="G801" s="55"/>
      <c r="H801" s="58">
        <v>18522</v>
      </c>
      <c r="I801" s="59">
        <f>IF(COUNTIF(MASUK[Kode Barang],REKAP[[#This Row],[ID]])=0,0,COUNTIF(MASUK[Kode Barang],REKAP[[#This Row],[ID]]))</f>
        <v>0</v>
      </c>
      <c r="J801" s="59">
        <f>IF(COUNTIF(MASUK8[Kode Barang],REKAP[[#This Row],[ID]])=0,0,COUNTIF(MASUK8[Kode Barang],REKAP[[#This Row],[ID]]))</f>
        <v>0</v>
      </c>
      <c r="K801" s="60">
        <f>REKAP[[#This Row],[Trx In]]+REKAP[[#This Row],[Trx Out]]</f>
        <v>0</v>
      </c>
      <c r="L801" s="55">
        <v>0</v>
      </c>
      <c r="M801" s="74">
        <f>SUMIF(MASUK!$C:$C,REKAP[[#This Row],[ID]],MASUK!$H:$H)</f>
        <v>0</v>
      </c>
      <c r="N801" s="74">
        <f>SUMIF(KELUAR!$C:$C,REKAP[[#This Row],[ID]],KELUAR!$H:$H)</f>
        <v>0</v>
      </c>
      <c r="O801" s="74">
        <f>REKAP[[#This Row],[Stok Awal]]+REKAP[[#This Row],[Masuk]]-REKAP[[#This Row],[Keluar]]</f>
        <v>0</v>
      </c>
      <c r="P801" s="55"/>
      <c r="Q801" s="62">
        <f>REKAP[[#This Row],[Harga Satuan]]*REKAP[[#This Row],[Stok Akhir]]</f>
        <v>0</v>
      </c>
      <c r="R801" s="61">
        <f>IF(REKAP[[#This Row],[Stok Aktual]]&lt;&gt;"",REKAP[[#This Row],[Stok Aktual]]-REKAP[[#This Row],[Stok Akhir]],0)</f>
        <v>0</v>
      </c>
      <c r="S801" s="132"/>
      <c r="T801" s="137">
        <f>IF(REKAP[[#This Row],[Selisih]]&lt;=-1,REKAP[[#This Row],[Harga Satuan]]*REKAP[[#This Row],[Selisih]],0)</f>
        <v>0</v>
      </c>
    </row>
    <row r="802" spans="1:20" x14ac:dyDescent="0.25">
      <c r="A802" s="55" t="s">
        <v>1128</v>
      </c>
      <c r="B802" s="55" t="s">
        <v>861</v>
      </c>
      <c r="C802" s="55" t="s">
        <v>861</v>
      </c>
      <c r="D802" s="56" t="s">
        <v>1664</v>
      </c>
      <c r="E802" s="57"/>
      <c r="F802" s="75" t="s">
        <v>898</v>
      </c>
      <c r="G802" s="55"/>
      <c r="H802" s="58">
        <v>32000</v>
      </c>
      <c r="I802" s="59">
        <f>IF(COUNTIF(MASUK[Kode Barang],REKAP[[#This Row],[ID]])=0,0,COUNTIF(MASUK[Kode Barang],REKAP[[#This Row],[ID]]))</f>
        <v>0</v>
      </c>
      <c r="J802" s="59">
        <f>IF(COUNTIF(MASUK8[Kode Barang],REKAP[[#This Row],[ID]])=0,0,COUNTIF(MASUK8[Kode Barang],REKAP[[#This Row],[ID]]))</f>
        <v>0</v>
      </c>
      <c r="K802" s="60">
        <f>REKAP[[#This Row],[Trx In]]+REKAP[[#This Row],[Trx Out]]</f>
        <v>0</v>
      </c>
      <c r="L802" s="55">
        <v>0</v>
      </c>
      <c r="M802" s="74">
        <f>SUMIF(MASUK!$C:$C,REKAP[[#This Row],[ID]],MASUK!$H:$H)</f>
        <v>0</v>
      </c>
      <c r="N802" s="74">
        <f>SUMIF(KELUAR!$C:$C,REKAP[[#This Row],[ID]],KELUAR!$H:$H)</f>
        <v>0</v>
      </c>
      <c r="O802" s="74">
        <f>REKAP[[#This Row],[Stok Awal]]+REKAP[[#This Row],[Masuk]]-REKAP[[#This Row],[Keluar]]</f>
        <v>0</v>
      </c>
      <c r="P802" s="55"/>
      <c r="Q802" s="62">
        <f>REKAP[[#This Row],[Harga Satuan]]*REKAP[[#This Row],[Stok Akhir]]</f>
        <v>0</v>
      </c>
      <c r="R802" s="61">
        <f>IF(REKAP[[#This Row],[Stok Aktual]]&lt;&gt;"",REKAP[[#This Row],[Stok Aktual]]-REKAP[[#This Row],[Stok Akhir]],0)</f>
        <v>0</v>
      </c>
      <c r="S802" s="132"/>
      <c r="T802" s="137">
        <f>IF(REKAP[[#This Row],[Selisih]]&lt;=-1,REKAP[[#This Row],[Harga Satuan]]*REKAP[[#This Row],[Selisih]],0)</f>
        <v>0</v>
      </c>
    </row>
    <row r="803" spans="1:20" x14ac:dyDescent="0.25">
      <c r="A803" s="55" t="s">
        <v>1129</v>
      </c>
      <c r="B803" s="55" t="s">
        <v>861</v>
      </c>
      <c r="C803" s="55" t="s">
        <v>861</v>
      </c>
      <c r="D803" s="56" t="s">
        <v>1665</v>
      </c>
      <c r="E803" s="57"/>
      <c r="F803" s="75" t="s">
        <v>898</v>
      </c>
      <c r="G803" s="55"/>
      <c r="H803" s="58">
        <v>4140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0</v>
      </c>
      <c r="K803" s="60">
        <f>REKAP[[#This Row],[Trx In]]+REKAP[[#This Row],[Trx Out]]</f>
        <v>0</v>
      </c>
      <c r="L803" s="55">
        <v>8</v>
      </c>
      <c r="M803" s="74">
        <f>SUMIF(MASUK!$C:$C,REKAP[[#This Row],[ID]],MASUK!$H:$H)</f>
        <v>0</v>
      </c>
      <c r="N803" s="74">
        <f>SUMIF(KELUAR!$C:$C,REKAP[[#This Row],[ID]],KELUAR!$H:$H)</f>
        <v>0</v>
      </c>
      <c r="O803" s="74">
        <f>REKAP[[#This Row],[Stok Awal]]+REKAP[[#This Row],[Masuk]]-REKAP[[#This Row],[Keluar]]</f>
        <v>8</v>
      </c>
      <c r="P803" s="55"/>
      <c r="Q803" s="62">
        <f>REKAP[[#This Row],[Harga Satuan]]*REKAP[[#This Row],[Stok Akhir]]</f>
        <v>33120</v>
      </c>
      <c r="R803" s="61">
        <f>IF(REKAP[[#This Row],[Stok Aktual]]&lt;&gt;"",REKAP[[#This Row],[Stok Aktual]]-REKAP[[#This Row],[Stok Akhir]],0)</f>
        <v>0</v>
      </c>
      <c r="S803" s="132"/>
      <c r="T803" s="137">
        <f>IF(REKAP[[#This Row],[Selisih]]&lt;=-1,REKAP[[#This Row],[Harga Satuan]]*REKAP[[#This Row],[Selisih]],0)</f>
        <v>0</v>
      </c>
    </row>
    <row r="804" spans="1:20" x14ac:dyDescent="0.25">
      <c r="A804" s="55" t="s">
        <v>1130</v>
      </c>
      <c r="B804" s="55" t="s">
        <v>861</v>
      </c>
      <c r="C804" s="55" t="s">
        <v>861</v>
      </c>
      <c r="D804" s="56" t="s">
        <v>1666</v>
      </c>
      <c r="E804" s="57"/>
      <c r="F804" s="75" t="s">
        <v>898</v>
      </c>
      <c r="G804" s="55"/>
      <c r="H804" s="58">
        <v>61830</v>
      </c>
      <c r="I804" s="59">
        <f>IF(COUNTIF(MASUK[Kode Barang],REKAP[[#This Row],[ID]])=0,0,COUNTIF(MASUK[Kode Barang],REKAP[[#This Row],[ID]]))</f>
        <v>0</v>
      </c>
      <c r="J804" s="59">
        <f>IF(COUNTIF(MASUK8[Kode Barang],REKAP[[#This Row],[ID]])=0,0,COUNTIF(MASUK8[Kode Barang],REKAP[[#This Row],[ID]]))</f>
        <v>0</v>
      </c>
      <c r="K804" s="60">
        <f>REKAP[[#This Row],[Trx In]]+REKAP[[#This Row],[Trx Out]]</f>
        <v>0</v>
      </c>
      <c r="L804" s="55">
        <v>0</v>
      </c>
      <c r="M804" s="74">
        <f>SUMIF(MASUK!$C:$C,REKAP[[#This Row],[ID]],MASUK!$H:$H)</f>
        <v>0</v>
      </c>
      <c r="N804" s="74">
        <f>SUMIF(KELUAR!$C:$C,REKAP[[#This Row],[ID]],KELUAR!$H:$H)</f>
        <v>0</v>
      </c>
      <c r="O804" s="74">
        <f>REKAP[[#This Row],[Stok Awal]]+REKAP[[#This Row],[Masuk]]-REKAP[[#This Row],[Keluar]]</f>
        <v>0</v>
      </c>
      <c r="P804" s="55"/>
      <c r="Q804" s="62">
        <f>REKAP[[#This Row],[Harga Satuan]]*REKAP[[#This Row],[Stok Akhir]]</f>
        <v>0</v>
      </c>
      <c r="R804" s="61">
        <f>IF(REKAP[[#This Row],[Stok Aktual]]&lt;&gt;"",REKAP[[#This Row],[Stok Aktual]]-REKAP[[#This Row],[Stok Akhir]],0)</f>
        <v>0</v>
      </c>
      <c r="S804" s="132"/>
      <c r="T804" s="137">
        <f>IF(REKAP[[#This Row],[Selisih]]&lt;=-1,REKAP[[#This Row],[Harga Satuan]]*REKAP[[#This Row],[Selisih]],0)</f>
        <v>0</v>
      </c>
    </row>
    <row r="805" spans="1:20" x14ac:dyDescent="0.25">
      <c r="A805" s="55" t="s">
        <v>1131</v>
      </c>
      <c r="B805" s="55" t="s">
        <v>861</v>
      </c>
      <c r="C805" s="55" t="s">
        <v>861</v>
      </c>
      <c r="D805" s="56" t="s">
        <v>1667</v>
      </c>
      <c r="E805" s="57"/>
      <c r="F805" s="75" t="s">
        <v>898</v>
      </c>
      <c r="G805" s="55"/>
      <c r="H805" s="58">
        <v>101000</v>
      </c>
      <c r="I805" s="59">
        <f>IF(COUNTIF(MASUK[Kode Barang],REKAP[[#This Row],[ID]])=0,0,COUNTIF(MASUK[Kode Barang],REKAP[[#This Row],[ID]]))</f>
        <v>0</v>
      </c>
      <c r="J805" s="59">
        <f>IF(COUNTIF(MASUK8[Kode Barang],REKAP[[#This Row],[ID]])=0,0,COUNTIF(MASUK8[Kode Barang],REKAP[[#This Row],[ID]]))</f>
        <v>0</v>
      </c>
      <c r="K805" s="60">
        <f>REKAP[[#This Row],[Trx In]]+REKAP[[#This Row],[Trx Out]]</f>
        <v>0</v>
      </c>
      <c r="L805" s="55">
        <v>0</v>
      </c>
      <c r="M805" s="74">
        <f>SUMIF(MASUK!$C:$C,REKAP[[#This Row],[ID]],MASUK!$H:$H)</f>
        <v>0</v>
      </c>
      <c r="N805" s="74">
        <f>SUMIF(KELUAR!$C:$C,REKAP[[#This Row],[ID]],KELUAR!$H:$H)</f>
        <v>0</v>
      </c>
      <c r="O805" s="74">
        <f>REKAP[[#This Row],[Stok Awal]]+REKAP[[#This Row],[Masuk]]-REKAP[[#This Row],[Keluar]]</f>
        <v>0</v>
      </c>
      <c r="P805" s="55"/>
      <c r="Q805" s="62">
        <f>REKAP[[#This Row],[Harga Satuan]]*REKAP[[#This Row],[Stok Akhir]]</f>
        <v>0</v>
      </c>
      <c r="R805" s="61">
        <f>IF(REKAP[[#This Row],[Stok Aktual]]&lt;&gt;"",REKAP[[#This Row],[Stok Aktual]]-REKAP[[#This Row],[Stok Akhir]],0)</f>
        <v>0</v>
      </c>
      <c r="S805" s="132"/>
      <c r="T805" s="137">
        <f>IF(REKAP[[#This Row],[Selisih]]&lt;=-1,REKAP[[#This Row],[Harga Satuan]]*REKAP[[#This Row],[Selisih]],0)</f>
        <v>0</v>
      </c>
    </row>
    <row r="806" spans="1:20" x14ac:dyDescent="0.25">
      <c r="A806" s="55" t="s">
        <v>1132</v>
      </c>
      <c r="B806" s="55" t="s">
        <v>861</v>
      </c>
      <c r="C806" s="55" t="s">
        <v>861</v>
      </c>
      <c r="D806" s="56" t="s">
        <v>1668</v>
      </c>
      <c r="E806" s="57"/>
      <c r="F806" s="75" t="s">
        <v>898</v>
      </c>
      <c r="G806" s="55"/>
      <c r="H806" s="58">
        <v>19000</v>
      </c>
      <c r="I806" s="59">
        <f>IF(COUNTIF(MASUK[Kode Barang],REKAP[[#This Row],[ID]])=0,0,COUNTIF(MASUK[Kode Barang],REKAP[[#This Row],[ID]]))</f>
        <v>1</v>
      </c>
      <c r="J806" s="59">
        <f>IF(COUNTIF(MASUK8[Kode Barang],REKAP[[#This Row],[ID]])=0,0,COUNTIF(MASUK8[Kode Barang],REKAP[[#This Row],[ID]]))</f>
        <v>1</v>
      </c>
      <c r="K806" s="60">
        <f>REKAP[[#This Row],[Trx In]]+REKAP[[#This Row],[Trx Out]]</f>
        <v>2</v>
      </c>
      <c r="L806" s="55">
        <v>0</v>
      </c>
      <c r="M806" s="74">
        <f>SUMIF(MASUK!$C:$C,REKAP[[#This Row],[ID]],MASUK!$H:$H)</f>
        <v>8</v>
      </c>
      <c r="N806" s="74">
        <f>SUMIF(KELUAR!$C:$C,REKAP[[#This Row],[ID]],KELUAR!$H:$H)</f>
        <v>8</v>
      </c>
      <c r="O806" s="74">
        <f>REKAP[[#This Row],[Stok Awal]]+REKAP[[#This Row],[Masuk]]-REKAP[[#This Row],[Keluar]]</f>
        <v>0</v>
      </c>
      <c r="P806" s="55">
        <v>0</v>
      </c>
      <c r="Q806" s="62">
        <f>REKAP[[#This Row],[Harga Satuan]]*REKAP[[#This Row],[Stok Akhir]]</f>
        <v>0</v>
      </c>
      <c r="R806" s="61">
        <f>IF(REKAP[[#This Row],[Stok Aktual]]&lt;&gt;"",REKAP[[#This Row],[Stok Aktual]]-REKAP[[#This Row],[Stok Akhir]],0)</f>
        <v>0</v>
      </c>
      <c r="S806" s="132"/>
      <c r="T806" s="137">
        <f>IF(REKAP[[#This Row],[Selisih]]&lt;=-1,REKAP[[#This Row],[Harga Satuan]]*REKAP[[#This Row],[Selisih]],0)</f>
        <v>0</v>
      </c>
    </row>
    <row r="807" spans="1:20" x14ac:dyDescent="0.25">
      <c r="A807" s="55" t="s">
        <v>1133</v>
      </c>
      <c r="B807" s="55" t="s">
        <v>861</v>
      </c>
      <c r="C807" s="55" t="s">
        <v>861</v>
      </c>
      <c r="D807" s="56" t="s">
        <v>1669</v>
      </c>
      <c r="E807" s="57"/>
      <c r="F807" s="75" t="s">
        <v>898</v>
      </c>
      <c r="G807" s="55"/>
      <c r="H807" s="58">
        <v>19000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0</v>
      </c>
      <c r="P807" s="55"/>
      <c r="Q807" s="62">
        <f>REKAP[[#This Row],[Harga Satuan]]*REKAP[[#This Row],[Stok Akhir]]</f>
        <v>0</v>
      </c>
      <c r="R807" s="61">
        <f>IF(REKAP[[#This Row],[Stok Aktual]]&lt;&gt;"",REKAP[[#This Row],[Stok Aktual]]-REKAP[[#This Row],[Stok Akhir]],0)</f>
        <v>0</v>
      </c>
      <c r="S807" s="132"/>
      <c r="T807" s="137">
        <f>IF(REKAP[[#This Row],[Selisih]]&lt;=-1,REKAP[[#This Row],[Harga Satuan]]*REKAP[[#This Row],[Selisih]],0)</f>
        <v>0</v>
      </c>
    </row>
    <row r="808" spans="1:20" x14ac:dyDescent="0.25">
      <c r="A808" s="55" t="s">
        <v>1134</v>
      </c>
      <c r="B808" s="55" t="s">
        <v>861</v>
      </c>
      <c r="C808" s="55" t="s">
        <v>861</v>
      </c>
      <c r="D808" s="56" t="s">
        <v>1670</v>
      </c>
      <c r="E808" s="57"/>
      <c r="F808" s="75" t="s">
        <v>898</v>
      </c>
      <c r="G808" s="55"/>
      <c r="H808" s="58">
        <v>29000</v>
      </c>
      <c r="I808" s="59">
        <f>IF(COUNTIF(MASUK[Kode Barang],REKAP[[#This Row],[ID]])=0,0,COUNTIF(MASUK[Kode Barang],REKAP[[#This Row],[ID]]))</f>
        <v>0</v>
      </c>
      <c r="J808" s="59">
        <f>IF(COUNTIF(MASUK8[Kode Barang],REKAP[[#This Row],[ID]])=0,0,COUNTIF(MASUK8[Kode Barang],REKAP[[#This Row],[ID]]))</f>
        <v>0</v>
      </c>
      <c r="K808" s="60">
        <f>REKAP[[#This Row],[Trx In]]+REKAP[[#This Row],[Trx Out]]</f>
        <v>0</v>
      </c>
      <c r="L808" s="55">
        <v>0</v>
      </c>
      <c r="M808" s="74">
        <f>SUMIF(MASUK!$C:$C,REKAP[[#This Row],[ID]],MASUK!$H:$H)</f>
        <v>0</v>
      </c>
      <c r="N808" s="74">
        <f>SUMIF(KELUAR!$C:$C,REKAP[[#This Row],[ID]],KELUAR!$H:$H)</f>
        <v>0</v>
      </c>
      <c r="O808" s="74">
        <f>REKAP[[#This Row],[Stok Awal]]+REKAP[[#This Row],[Masuk]]-REKAP[[#This Row],[Keluar]]</f>
        <v>0</v>
      </c>
      <c r="P808" s="55"/>
      <c r="Q808" s="62">
        <f>REKAP[[#This Row],[Harga Satuan]]*REKAP[[#This Row],[Stok Akhir]]</f>
        <v>0</v>
      </c>
      <c r="R808" s="61">
        <f>IF(REKAP[[#This Row],[Stok Aktual]]&lt;&gt;"",REKAP[[#This Row],[Stok Aktual]]-REKAP[[#This Row],[Stok Akhir]],0)</f>
        <v>0</v>
      </c>
      <c r="S808" s="132"/>
      <c r="T808" s="137">
        <f>IF(REKAP[[#This Row],[Selisih]]&lt;=-1,REKAP[[#This Row],[Harga Satuan]]*REKAP[[#This Row],[Selisih]],0)</f>
        <v>0</v>
      </c>
    </row>
    <row r="809" spans="1:20" x14ac:dyDescent="0.25">
      <c r="A809" s="55" t="s">
        <v>1135</v>
      </c>
      <c r="B809" s="55" t="s">
        <v>861</v>
      </c>
      <c r="C809" s="55" t="s">
        <v>861</v>
      </c>
      <c r="D809" s="56" t="s">
        <v>1671</v>
      </c>
      <c r="E809" s="57"/>
      <c r="F809" s="75" t="s">
        <v>898</v>
      </c>
      <c r="G809" s="55"/>
      <c r="H809" s="58">
        <v>36000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0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0</v>
      </c>
      <c r="P809" s="55"/>
      <c r="Q809" s="62">
        <f>REKAP[[#This Row],[Harga Satuan]]*REKAP[[#This Row],[Stok Akhir]]</f>
        <v>0</v>
      </c>
      <c r="R809" s="61">
        <f>IF(REKAP[[#This Row],[Stok Aktual]]&lt;&gt;"",REKAP[[#This Row],[Stok Aktual]]-REKAP[[#This Row],[Stok Akhir]],0)</f>
        <v>0</v>
      </c>
      <c r="S809" s="132"/>
      <c r="T809" s="137">
        <f>IF(REKAP[[#This Row],[Selisih]]&lt;=-1,REKAP[[#This Row],[Harga Satuan]]*REKAP[[#This Row],[Selisih]],0)</f>
        <v>0</v>
      </c>
    </row>
    <row r="810" spans="1:20" x14ac:dyDescent="0.25">
      <c r="A810" s="55" t="s">
        <v>1136</v>
      </c>
      <c r="B810" s="55" t="s">
        <v>861</v>
      </c>
      <c r="C810" s="55" t="s">
        <v>861</v>
      </c>
      <c r="D810" s="56" t="s">
        <v>1672</v>
      </c>
      <c r="E810" s="57"/>
      <c r="F810" s="75" t="s">
        <v>898</v>
      </c>
      <c r="G810" s="55"/>
      <c r="H810" s="58">
        <v>56000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0</v>
      </c>
      <c r="K810" s="60">
        <f>REKAP[[#This Row],[Trx In]]+REKAP[[#This Row],[Trx Out]]</f>
        <v>0</v>
      </c>
      <c r="L810" s="55">
        <v>0</v>
      </c>
      <c r="M810" s="74">
        <f>SUMIF(MASUK!$C:$C,REKAP[[#This Row],[ID]],MASUK!$H:$H)</f>
        <v>0</v>
      </c>
      <c r="N810" s="74">
        <f>SUMIF(KELUAR!$C:$C,REKAP[[#This Row],[ID]],KELUAR!$H:$H)</f>
        <v>0</v>
      </c>
      <c r="O810" s="74">
        <f>REKAP[[#This Row],[Stok Awal]]+REKAP[[#This Row],[Masuk]]-REKAP[[#This Row],[Keluar]]</f>
        <v>0</v>
      </c>
      <c r="P810" s="55"/>
      <c r="Q810" s="62">
        <f>REKAP[[#This Row],[Harga Satuan]]*REKAP[[#This Row],[Stok Akhir]]</f>
        <v>0</v>
      </c>
      <c r="R810" s="61">
        <f>IF(REKAP[[#This Row],[Stok Aktual]]&lt;&gt;"",REKAP[[#This Row],[Stok Aktual]]-REKAP[[#This Row],[Stok Akhir]],0)</f>
        <v>0</v>
      </c>
      <c r="S810" s="132"/>
      <c r="T810" s="137">
        <f>IF(REKAP[[#This Row],[Selisih]]&lt;=-1,REKAP[[#This Row],[Harga Satuan]]*REKAP[[#This Row],[Selisih]],0)</f>
        <v>0</v>
      </c>
    </row>
    <row r="811" spans="1:20" x14ac:dyDescent="0.25">
      <c r="A811" s="55" t="s">
        <v>1137</v>
      </c>
      <c r="B811" s="55" t="s">
        <v>861</v>
      </c>
      <c r="C811" s="55" t="s">
        <v>861</v>
      </c>
      <c r="D811" s="56" t="s">
        <v>1673</v>
      </c>
      <c r="E811" s="57"/>
      <c r="F811" s="75" t="s">
        <v>898</v>
      </c>
      <c r="G811" s="55"/>
      <c r="H811" s="58">
        <v>78000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0</v>
      </c>
      <c r="K811" s="60">
        <f>REKAP[[#This Row],[Trx In]]+REKAP[[#This Row],[Trx Out]]</f>
        <v>0</v>
      </c>
      <c r="L811" s="55">
        <v>0</v>
      </c>
      <c r="M811" s="74">
        <f>SUMIF(MASUK!$C:$C,REKAP[[#This Row],[ID]],MASUK!$H:$H)</f>
        <v>0</v>
      </c>
      <c r="N811" s="74">
        <f>SUMIF(KELUAR!$C:$C,REKAP[[#This Row],[ID]],KELUAR!$H:$H)</f>
        <v>0</v>
      </c>
      <c r="O811" s="74">
        <f>REKAP[[#This Row],[Stok Awal]]+REKAP[[#This Row],[Masuk]]-REKAP[[#This Row],[Keluar]]</f>
        <v>0</v>
      </c>
      <c r="P811" s="55"/>
      <c r="Q811" s="62">
        <f>REKAP[[#This Row],[Harga Satuan]]*REKAP[[#This Row],[Stok Akhir]]</f>
        <v>0</v>
      </c>
      <c r="R811" s="61">
        <f>IF(REKAP[[#This Row],[Stok Aktual]]&lt;&gt;"",REKAP[[#This Row],[Stok Aktual]]-REKAP[[#This Row],[Stok Akhir]],0)</f>
        <v>0</v>
      </c>
      <c r="S811" s="132"/>
      <c r="T811" s="137">
        <f>IF(REKAP[[#This Row],[Selisih]]&lt;=-1,REKAP[[#This Row],[Harga Satuan]]*REKAP[[#This Row],[Selisih]],0)</f>
        <v>0</v>
      </c>
    </row>
    <row r="812" spans="1:20" x14ac:dyDescent="0.25">
      <c r="A812" s="55" t="s">
        <v>1138</v>
      </c>
      <c r="B812" s="55" t="s">
        <v>861</v>
      </c>
      <c r="C812" s="55" t="s">
        <v>861</v>
      </c>
      <c r="D812" s="56" t="s">
        <v>1674</v>
      </c>
      <c r="E812" s="57"/>
      <c r="F812" s="75" t="s">
        <v>898</v>
      </c>
      <c r="G812" s="55"/>
      <c r="H812" s="58">
        <v>22500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0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0</v>
      </c>
      <c r="P812" s="55"/>
      <c r="Q812" s="62">
        <f>REKAP[[#This Row],[Harga Satuan]]*REKAP[[#This Row],[Stok Akhir]]</f>
        <v>0</v>
      </c>
      <c r="R812" s="61">
        <f>IF(REKAP[[#This Row],[Stok Aktual]]&lt;&gt;"",REKAP[[#This Row],[Stok Aktual]]-REKAP[[#This Row],[Stok Akhir]],0)</f>
        <v>0</v>
      </c>
      <c r="S812" s="132"/>
      <c r="T812" s="137">
        <f>IF(REKAP[[#This Row],[Selisih]]&lt;=-1,REKAP[[#This Row],[Harga Satuan]]*REKAP[[#This Row],[Selisih]],0)</f>
        <v>0</v>
      </c>
    </row>
    <row r="813" spans="1:20" x14ac:dyDescent="0.25">
      <c r="A813" s="55" t="s">
        <v>1139</v>
      </c>
      <c r="B813" s="55" t="s">
        <v>861</v>
      </c>
      <c r="C813" s="55" t="s">
        <v>861</v>
      </c>
      <c r="D813" s="56" t="s">
        <v>1675</v>
      </c>
      <c r="E813" s="57"/>
      <c r="F813" s="75" t="s">
        <v>898</v>
      </c>
      <c r="G813" s="55"/>
      <c r="H813" s="58">
        <v>44000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0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0</v>
      </c>
      <c r="P813" s="55"/>
      <c r="Q813" s="62">
        <f>REKAP[[#This Row],[Harga Satuan]]*REKAP[[#This Row],[Stok Akhir]]</f>
        <v>0</v>
      </c>
      <c r="R813" s="61">
        <f>IF(REKAP[[#This Row],[Stok Aktual]]&lt;&gt;"",REKAP[[#This Row],[Stok Aktual]]-REKAP[[#This Row],[Stok Akhir]],0)</f>
        <v>0</v>
      </c>
      <c r="S813" s="132"/>
      <c r="T813" s="137">
        <f>IF(REKAP[[#This Row],[Selisih]]&lt;=-1,REKAP[[#This Row],[Harga Satuan]]*REKAP[[#This Row],[Selisih]],0)</f>
        <v>0</v>
      </c>
    </row>
    <row r="814" spans="1:20" x14ac:dyDescent="0.25">
      <c r="A814" s="55" t="s">
        <v>1140</v>
      </c>
      <c r="B814" s="55" t="s">
        <v>861</v>
      </c>
      <c r="C814" s="55" t="s">
        <v>861</v>
      </c>
      <c r="D814" s="56" t="s">
        <v>1676</v>
      </c>
      <c r="E814" s="57"/>
      <c r="F814" s="75" t="s">
        <v>898</v>
      </c>
      <c r="G814" s="55"/>
      <c r="H814" s="58">
        <v>21500</v>
      </c>
      <c r="I814" s="59">
        <f>IF(COUNTIF(MASUK[Kode Barang],REKAP[[#This Row],[ID]])=0,0,COUNTIF(MASUK[Kode Barang],REKAP[[#This Row],[ID]]))</f>
        <v>2</v>
      </c>
      <c r="J814" s="59">
        <f>IF(COUNTIF(MASUK8[Kode Barang],REKAP[[#This Row],[ID]])=0,0,COUNTIF(MASUK8[Kode Barang],REKAP[[#This Row],[ID]]))</f>
        <v>2</v>
      </c>
      <c r="K814" s="60">
        <f>REKAP[[#This Row],[Trx In]]+REKAP[[#This Row],[Trx Out]]</f>
        <v>4</v>
      </c>
      <c r="L814" s="55">
        <v>0</v>
      </c>
      <c r="M814" s="74">
        <f>SUMIF(MASUK!$C:$C,REKAP[[#This Row],[ID]],MASUK!$H:$H)</f>
        <v>12</v>
      </c>
      <c r="N814" s="74">
        <f>SUMIF(KELUAR!$C:$C,REKAP[[#This Row],[ID]],KELUAR!$H:$H)</f>
        <v>12</v>
      </c>
      <c r="O814" s="74">
        <f>REKAP[[#This Row],[Stok Awal]]+REKAP[[#This Row],[Masuk]]-REKAP[[#This Row],[Keluar]]</f>
        <v>0</v>
      </c>
      <c r="P814" s="55">
        <v>0</v>
      </c>
      <c r="Q814" s="62">
        <f>REKAP[[#This Row],[Harga Satuan]]*REKAP[[#This Row],[Stok Akhir]]</f>
        <v>0</v>
      </c>
      <c r="R814" s="61">
        <f>IF(REKAP[[#This Row],[Stok Aktual]]&lt;&gt;"",REKAP[[#This Row],[Stok Aktual]]-REKAP[[#This Row],[Stok Akhir]],0)</f>
        <v>0</v>
      </c>
      <c r="S814" s="132"/>
      <c r="T814" s="137">
        <f>IF(REKAP[[#This Row],[Selisih]]&lt;=-1,REKAP[[#This Row],[Harga Satuan]]*REKAP[[#This Row],[Selisih]],0)</f>
        <v>0</v>
      </c>
    </row>
    <row r="815" spans="1:20" x14ac:dyDescent="0.25">
      <c r="A815" s="55" t="s">
        <v>1141</v>
      </c>
      <c r="B815" s="55" t="s">
        <v>861</v>
      </c>
      <c r="C815" s="55" t="s">
        <v>861</v>
      </c>
      <c r="D815" s="56" t="s">
        <v>1677</v>
      </c>
      <c r="E815" s="57"/>
      <c r="F815" s="75" t="s">
        <v>898</v>
      </c>
      <c r="G815" s="55"/>
      <c r="H815" s="58">
        <v>28000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>
        <f>IF(REKAP[[#This Row],[Stok Aktual]]&lt;&gt;"",REKAP[[#This Row],[Stok Aktual]]-REKAP[[#This Row],[Stok Akhir]],0)</f>
        <v>0</v>
      </c>
      <c r="S815" s="132"/>
      <c r="T815" s="137">
        <f>IF(REKAP[[#This Row],[Selisih]]&lt;=-1,REKAP[[#This Row],[Harga Satuan]]*REKAP[[#This Row],[Selisih]],0)</f>
        <v>0</v>
      </c>
    </row>
    <row r="816" spans="1:20" x14ac:dyDescent="0.25">
      <c r="A816" s="55" t="s">
        <v>1142</v>
      </c>
      <c r="B816" s="55" t="s">
        <v>861</v>
      </c>
      <c r="C816" s="55" t="s">
        <v>861</v>
      </c>
      <c r="D816" s="56" t="s">
        <v>1678</v>
      </c>
      <c r="E816" s="57"/>
      <c r="F816" s="75" t="s">
        <v>898</v>
      </c>
      <c r="G816" s="55"/>
      <c r="H816" s="58">
        <v>33000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0</v>
      </c>
      <c r="K816" s="60">
        <f>REKAP[[#This Row],[Trx In]]+REKAP[[#This Row],[Trx Out]]</f>
        <v>0</v>
      </c>
      <c r="L816" s="55">
        <v>0</v>
      </c>
      <c r="M816" s="74">
        <f>SUMIF(MASUK!$C:$C,REKAP[[#This Row],[ID]],MASUK!$H:$H)</f>
        <v>0</v>
      </c>
      <c r="N816" s="74">
        <f>SUMIF(KELUAR!$C:$C,REKAP[[#This Row],[ID]],KELUAR!$H:$H)</f>
        <v>0</v>
      </c>
      <c r="O816" s="74">
        <f>REKAP[[#This Row],[Stok Awal]]+REKAP[[#This Row],[Masuk]]-REKAP[[#This Row],[Keluar]]</f>
        <v>0</v>
      </c>
      <c r="P816" s="55"/>
      <c r="Q816" s="62">
        <f>REKAP[[#This Row],[Harga Satuan]]*REKAP[[#This Row],[Stok Akhir]]</f>
        <v>0</v>
      </c>
      <c r="R816" s="61">
        <f>IF(REKAP[[#This Row],[Stok Aktual]]&lt;&gt;"",REKAP[[#This Row],[Stok Aktual]]-REKAP[[#This Row],[Stok Akhir]],0)</f>
        <v>0</v>
      </c>
      <c r="S816" s="132"/>
      <c r="T816" s="137">
        <f>IF(REKAP[[#This Row],[Selisih]]&lt;=-1,REKAP[[#This Row],[Harga Satuan]]*REKAP[[#This Row],[Selisih]],0)</f>
        <v>0</v>
      </c>
    </row>
    <row r="817" spans="1:20" x14ac:dyDescent="0.25">
      <c r="A817" s="55" t="s">
        <v>1143</v>
      </c>
      <c r="B817" s="55" t="s">
        <v>861</v>
      </c>
      <c r="C817" s="55" t="s">
        <v>861</v>
      </c>
      <c r="D817" s="56" t="s">
        <v>1679</v>
      </c>
      <c r="E817" s="57"/>
      <c r="F817" s="75" t="s">
        <v>898</v>
      </c>
      <c r="G817" s="55"/>
      <c r="H817" s="58">
        <v>31374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0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0</v>
      </c>
      <c r="P817" s="55"/>
      <c r="Q817" s="62">
        <f>REKAP[[#This Row],[Harga Satuan]]*REKAP[[#This Row],[Stok Akhir]]</f>
        <v>0</v>
      </c>
      <c r="R817" s="61">
        <f>IF(REKAP[[#This Row],[Stok Aktual]]&lt;&gt;"",REKAP[[#This Row],[Stok Aktual]]-REKAP[[#This Row],[Stok Akhir]],0)</f>
        <v>0</v>
      </c>
      <c r="S817" s="132"/>
      <c r="T817" s="137">
        <f>IF(REKAP[[#This Row],[Selisih]]&lt;=-1,REKAP[[#This Row],[Harga Satuan]]*REKAP[[#This Row],[Selisih]],0)</f>
        <v>0</v>
      </c>
    </row>
    <row r="818" spans="1:20" x14ac:dyDescent="0.25">
      <c r="A818" s="55" t="s">
        <v>1144</v>
      </c>
      <c r="B818" s="55" t="s">
        <v>861</v>
      </c>
      <c r="C818" s="55" t="s">
        <v>861</v>
      </c>
      <c r="D818" s="56" t="s">
        <v>1680</v>
      </c>
      <c r="E818" s="57"/>
      <c r="F818" s="75" t="s">
        <v>898</v>
      </c>
      <c r="G818" s="55"/>
      <c r="H818" s="58">
        <v>24765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0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0</v>
      </c>
      <c r="P818" s="55"/>
      <c r="Q818" s="62">
        <f>REKAP[[#This Row],[Harga Satuan]]*REKAP[[#This Row],[Stok Akhir]]</f>
        <v>0</v>
      </c>
      <c r="R818" s="61">
        <f>IF(REKAP[[#This Row],[Stok Aktual]]&lt;&gt;"",REKAP[[#This Row],[Stok Aktual]]-REKAP[[#This Row],[Stok Akhir]],0)</f>
        <v>0</v>
      </c>
      <c r="S818" s="132"/>
      <c r="T818" s="137">
        <f>IF(REKAP[[#This Row],[Selisih]]&lt;=-1,REKAP[[#This Row],[Harga Satuan]]*REKAP[[#This Row],[Selisih]],0)</f>
        <v>0</v>
      </c>
    </row>
    <row r="819" spans="1:20" x14ac:dyDescent="0.25">
      <c r="A819" s="55" t="s">
        <v>1145</v>
      </c>
      <c r="B819" s="55" t="s">
        <v>861</v>
      </c>
      <c r="C819" s="55" t="s">
        <v>861</v>
      </c>
      <c r="D819" s="56" t="s">
        <v>1681</v>
      </c>
      <c r="E819" s="57"/>
      <c r="F819" s="75" t="s">
        <v>898</v>
      </c>
      <c r="G819" s="55"/>
      <c r="H819" s="58">
        <v>90000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0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0</v>
      </c>
      <c r="P819" s="55"/>
      <c r="Q819" s="62">
        <f>REKAP[[#This Row],[Harga Satuan]]*REKAP[[#This Row],[Stok Akhir]]</f>
        <v>0</v>
      </c>
      <c r="R819" s="61">
        <f>IF(REKAP[[#This Row],[Stok Aktual]]&lt;&gt;"",REKAP[[#This Row],[Stok Aktual]]-REKAP[[#This Row],[Stok Akhir]],0)</f>
        <v>0</v>
      </c>
      <c r="S819" s="132"/>
      <c r="T819" s="137">
        <f>IF(REKAP[[#This Row],[Selisih]]&lt;=-1,REKAP[[#This Row],[Harga Satuan]]*REKAP[[#This Row],[Selisih]],0)</f>
        <v>0</v>
      </c>
    </row>
    <row r="820" spans="1:20" x14ac:dyDescent="0.25">
      <c r="A820" s="55" t="s">
        <v>1146</v>
      </c>
      <c r="B820" s="55" t="s">
        <v>861</v>
      </c>
      <c r="C820" s="55" t="s">
        <v>861</v>
      </c>
      <c r="D820" s="56" t="s">
        <v>1682</v>
      </c>
      <c r="E820" s="57"/>
      <c r="F820" s="75" t="s">
        <v>898</v>
      </c>
      <c r="G820" s="55"/>
      <c r="H820" s="58">
        <v>111092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1110920</v>
      </c>
      <c r="R820" s="61">
        <f>IF(REKAP[[#This Row],[Stok Aktual]]&lt;&gt;"",REKAP[[#This Row],[Stok Aktual]]-REKAP[[#This Row],[Stok Akhir]],0)</f>
        <v>0</v>
      </c>
      <c r="S820" s="132"/>
      <c r="T820" s="137">
        <f>IF(REKAP[[#This Row],[Selisih]]&lt;=-1,REKAP[[#This Row],[Harga Satuan]]*REKAP[[#This Row],[Selisih]],0)</f>
        <v>0</v>
      </c>
    </row>
    <row r="821" spans="1:20" x14ac:dyDescent="0.25">
      <c r="A821" s="55" t="s">
        <v>1147</v>
      </c>
      <c r="B821" s="55" t="s">
        <v>861</v>
      </c>
      <c r="C821" s="55" t="s">
        <v>861</v>
      </c>
      <c r="D821" s="56" t="s">
        <v>1683</v>
      </c>
      <c r="E821" s="57"/>
      <c r="F821" s="75" t="s">
        <v>898</v>
      </c>
      <c r="G821" s="55"/>
      <c r="H821" s="58">
        <v>25000</v>
      </c>
      <c r="I821" s="59">
        <f>IF(COUNTIF(MASUK[Kode Barang],REKAP[[#This Row],[ID]])=0,0,COUNTIF(MASUK[Kode Barang],REKAP[[#This Row],[ID]]))</f>
        <v>0</v>
      </c>
      <c r="J821" s="59">
        <f>IF(COUNTIF(MASUK8[Kode Barang],REKAP[[#This Row],[ID]])=0,0,COUNTIF(MASUK8[Kode Barang],REKAP[[#This Row],[ID]]))</f>
        <v>0</v>
      </c>
      <c r="K821" s="60">
        <f>REKAP[[#This Row],[Trx In]]+REKAP[[#This Row],[Trx Out]]</f>
        <v>0</v>
      </c>
      <c r="L821" s="55">
        <v>0</v>
      </c>
      <c r="M821" s="74">
        <f>SUMIF(MASUK!$C:$C,REKAP[[#This Row],[ID]],MASUK!$H:$H)</f>
        <v>0</v>
      </c>
      <c r="N821" s="74">
        <f>SUMIF(KELUAR!$C:$C,REKAP[[#This Row],[ID]],KELUAR!$H:$H)</f>
        <v>0</v>
      </c>
      <c r="O821" s="74">
        <f>REKAP[[#This Row],[Stok Awal]]+REKAP[[#This Row],[Masuk]]-REKAP[[#This Row],[Keluar]]</f>
        <v>0</v>
      </c>
      <c r="P821" s="55"/>
      <c r="Q821" s="62">
        <f>REKAP[[#This Row],[Harga Satuan]]*REKAP[[#This Row],[Stok Akhir]]</f>
        <v>0</v>
      </c>
      <c r="R821" s="61">
        <f>IF(REKAP[[#This Row],[Stok Aktual]]&lt;&gt;"",REKAP[[#This Row],[Stok Aktual]]-REKAP[[#This Row],[Stok Akhir]],0)</f>
        <v>0</v>
      </c>
      <c r="S821" s="132"/>
      <c r="T821" s="137">
        <f>IF(REKAP[[#This Row],[Selisih]]&lt;=-1,REKAP[[#This Row],[Harga Satuan]]*REKAP[[#This Row],[Selisih]],0)</f>
        <v>0</v>
      </c>
    </row>
    <row r="822" spans="1:20" x14ac:dyDescent="0.25">
      <c r="A822" s="55" t="s">
        <v>1148</v>
      </c>
      <c r="B822" s="55" t="s">
        <v>861</v>
      </c>
      <c r="C822" s="55" t="s">
        <v>861</v>
      </c>
      <c r="D822" s="56" t="s">
        <v>1684</v>
      </c>
      <c r="E822" s="57"/>
      <c r="F822" s="75" t="s">
        <v>898</v>
      </c>
      <c r="G822" s="55"/>
      <c r="H822" s="58">
        <v>26000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5</v>
      </c>
      <c r="P822" s="55"/>
      <c r="Q822" s="62">
        <f>REKAP[[#This Row],[Harga Satuan]]*REKAP[[#This Row],[Stok Akhir]]</f>
        <v>130000</v>
      </c>
      <c r="R822" s="61">
        <f>IF(REKAP[[#This Row],[Stok Aktual]]&lt;&gt;"",REKAP[[#This Row],[Stok Aktual]]-REKAP[[#This Row],[Stok Akhir]],0)</f>
        <v>0</v>
      </c>
      <c r="S822" s="132"/>
      <c r="T822" s="137">
        <f>IF(REKAP[[#This Row],[Selisih]]&lt;=-1,REKAP[[#This Row],[Harga Satuan]]*REKAP[[#This Row],[Selisih]],0)</f>
        <v>0</v>
      </c>
    </row>
    <row r="823" spans="1:20" x14ac:dyDescent="0.25">
      <c r="A823" s="55" t="s">
        <v>1149</v>
      </c>
      <c r="B823" s="55" t="s">
        <v>861</v>
      </c>
      <c r="C823" s="55" t="s">
        <v>861</v>
      </c>
      <c r="D823" s="56" t="s">
        <v>1685</v>
      </c>
      <c r="E823" s="57"/>
      <c r="F823" s="75" t="s">
        <v>898</v>
      </c>
      <c r="G823" s="55"/>
      <c r="H823" s="58"/>
      <c r="I823" s="59">
        <f>IF(COUNTIF(MASUK[Kode Barang],REKAP[[#This Row],[ID]])=0,0,COUNTIF(MASUK[Kode Barang],REKAP[[#This Row],[ID]]))</f>
        <v>0</v>
      </c>
      <c r="J823" s="59">
        <f>IF(COUNTIF(MASUK8[Kode Barang],REKAP[[#This Row],[ID]])=0,0,COUNTIF(MASUK8[Kode Barang],REKAP[[#This Row],[ID]]))</f>
        <v>0</v>
      </c>
      <c r="K823" s="60">
        <f>REKAP[[#This Row],[Trx In]]+REKAP[[#This Row],[Trx Out]]</f>
        <v>0</v>
      </c>
      <c r="L823" s="55">
        <v>0</v>
      </c>
      <c r="M823" s="74">
        <f>SUMIF(MASUK!$C:$C,REKAP[[#This Row],[ID]],MASUK!$H:$H)</f>
        <v>0</v>
      </c>
      <c r="N823" s="74">
        <f>SUMIF(KELUAR!$C:$C,REKAP[[#This Row],[ID]],KELUAR!$H:$H)</f>
        <v>0</v>
      </c>
      <c r="O823" s="74">
        <f>REKAP[[#This Row],[Stok Awal]]+REKAP[[#This Row],[Masuk]]-REKAP[[#This Row],[Keluar]]</f>
        <v>0</v>
      </c>
      <c r="P823" s="55"/>
      <c r="Q823" s="62">
        <f>REKAP[[#This Row],[Harga Satuan]]*REKAP[[#This Row],[Stok Akhir]]</f>
        <v>0</v>
      </c>
      <c r="R823" s="61">
        <f>IF(REKAP[[#This Row],[Stok Aktual]]&lt;&gt;"",REKAP[[#This Row],[Stok Aktual]]-REKAP[[#This Row],[Stok Akhir]],0)</f>
        <v>0</v>
      </c>
      <c r="S823" s="132"/>
      <c r="T823" s="137">
        <f>IF(REKAP[[#This Row],[Selisih]]&lt;=-1,REKAP[[#This Row],[Harga Satuan]]*REKAP[[#This Row],[Selisih]],0)</f>
        <v>0</v>
      </c>
    </row>
    <row r="824" spans="1:20" x14ac:dyDescent="0.25">
      <c r="A824" s="55" t="s">
        <v>1150</v>
      </c>
      <c r="B824" s="55" t="s">
        <v>861</v>
      </c>
      <c r="C824" s="55" t="s">
        <v>861</v>
      </c>
      <c r="D824" s="56" t="s">
        <v>1686</v>
      </c>
      <c r="E824" s="57"/>
      <c r="F824" s="75" t="s">
        <v>898</v>
      </c>
      <c r="G824" s="55"/>
      <c r="H824" s="58">
        <v>33000</v>
      </c>
      <c r="I824" s="59">
        <f>IF(COUNTIF(MASUK[Kode Barang],REKAP[[#This Row],[ID]])=0,0,COUNTIF(MASUK[Kode Barang],REKAP[[#This Row],[ID]]))</f>
        <v>0</v>
      </c>
      <c r="J824" s="59">
        <f>IF(COUNTIF(MASUK8[Kode Barang],REKAP[[#This Row],[ID]])=0,0,COUNTIF(MASUK8[Kode Barang],REKAP[[#This Row],[ID]]))</f>
        <v>0</v>
      </c>
      <c r="K824" s="60">
        <f>REKAP[[#This Row],[Trx In]]+REKAP[[#This Row],[Trx Out]]</f>
        <v>0</v>
      </c>
      <c r="L824" s="55">
        <v>0</v>
      </c>
      <c r="M824" s="74">
        <f>SUMIF(MASUK!$C:$C,REKAP[[#This Row],[ID]],MASUK!$H:$H)</f>
        <v>0</v>
      </c>
      <c r="N824" s="74">
        <f>SUMIF(KELUAR!$C:$C,REKAP[[#This Row],[ID]],KELUAR!$H:$H)</f>
        <v>0</v>
      </c>
      <c r="O824" s="74">
        <f>REKAP[[#This Row],[Stok Awal]]+REKAP[[#This Row],[Masuk]]-REKAP[[#This Row],[Keluar]]</f>
        <v>0</v>
      </c>
      <c r="P824" s="55"/>
      <c r="Q824" s="62">
        <f>REKAP[[#This Row],[Harga Satuan]]*REKAP[[#This Row],[Stok Akhir]]</f>
        <v>0</v>
      </c>
      <c r="R824" s="61">
        <f>IF(REKAP[[#This Row],[Stok Aktual]]&lt;&gt;"",REKAP[[#This Row],[Stok Aktual]]-REKAP[[#This Row],[Stok Akhir]],0)</f>
        <v>0</v>
      </c>
      <c r="S824" s="132"/>
      <c r="T824" s="137">
        <f>IF(REKAP[[#This Row],[Selisih]]&lt;=-1,REKAP[[#This Row],[Harga Satuan]]*REKAP[[#This Row],[Selisih]],0)</f>
        <v>0</v>
      </c>
    </row>
    <row r="825" spans="1:20" x14ac:dyDescent="0.25">
      <c r="A825" s="55" t="s">
        <v>1151</v>
      </c>
      <c r="B825" s="55" t="s">
        <v>861</v>
      </c>
      <c r="C825" s="55" t="s">
        <v>861</v>
      </c>
      <c r="D825" s="56" t="s">
        <v>1687</v>
      </c>
      <c r="E825" s="57"/>
      <c r="F825" s="75" t="s">
        <v>898</v>
      </c>
      <c r="G825" s="55"/>
      <c r="H825" s="58">
        <v>25000</v>
      </c>
      <c r="I825" s="59">
        <f>IF(COUNTIF(MASUK[Kode Barang],REKAP[[#This Row],[ID]])=0,0,COUNTIF(MASUK[Kode Barang],REKAP[[#This Row],[ID]]))</f>
        <v>0</v>
      </c>
      <c r="J825" s="59">
        <f>IF(COUNTIF(MASUK8[Kode Barang],REKAP[[#This Row],[ID]])=0,0,COUNTIF(MASUK8[Kode Barang],REKAP[[#This Row],[ID]]))</f>
        <v>0</v>
      </c>
      <c r="K825" s="60">
        <f>REKAP[[#This Row],[Trx In]]+REKAP[[#This Row],[Trx Out]]</f>
        <v>0</v>
      </c>
      <c r="L825" s="55">
        <v>0</v>
      </c>
      <c r="M825" s="74">
        <f>SUMIF(MASUK!$C:$C,REKAP[[#This Row],[ID]],MASUK!$H:$H)</f>
        <v>0</v>
      </c>
      <c r="N825" s="74">
        <f>SUMIF(KELUAR!$C:$C,REKAP[[#This Row],[ID]],KELUAR!$H:$H)</f>
        <v>0</v>
      </c>
      <c r="O825" s="74">
        <f>REKAP[[#This Row],[Stok Awal]]+REKAP[[#This Row],[Masuk]]-REKAP[[#This Row],[Keluar]]</f>
        <v>0</v>
      </c>
      <c r="P825" s="55"/>
      <c r="Q825" s="62">
        <f>REKAP[[#This Row],[Harga Satuan]]*REKAP[[#This Row],[Stok Akhir]]</f>
        <v>0</v>
      </c>
      <c r="R825" s="61">
        <f>IF(REKAP[[#This Row],[Stok Aktual]]&lt;&gt;"",REKAP[[#This Row],[Stok Aktual]]-REKAP[[#This Row],[Stok Akhir]],0)</f>
        <v>0</v>
      </c>
      <c r="S825" s="132"/>
      <c r="T825" s="137">
        <f>IF(REKAP[[#This Row],[Selisih]]&lt;=-1,REKAP[[#This Row],[Harga Satuan]]*REKAP[[#This Row],[Selisih]],0)</f>
        <v>0</v>
      </c>
    </row>
    <row r="826" spans="1:20" x14ac:dyDescent="0.25">
      <c r="A826" s="55" t="s">
        <v>1152</v>
      </c>
      <c r="B826" s="55" t="s">
        <v>861</v>
      </c>
      <c r="C826" s="55" t="s">
        <v>861</v>
      </c>
      <c r="D826" s="56" t="s">
        <v>1688</v>
      </c>
      <c r="E826" s="57"/>
      <c r="F826" s="75" t="s">
        <v>898</v>
      </c>
      <c r="G826" s="55"/>
      <c r="H826" s="58">
        <v>42000</v>
      </c>
      <c r="I826" s="59">
        <f>IF(COUNTIF(MASUK[Kode Barang],REKAP[[#This Row],[ID]])=0,0,COUNTIF(MASUK[Kode Barang],REKAP[[#This Row],[ID]]))</f>
        <v>0</v>
      </c>
      <c r="J826" s="59">
        <f>IF(COUNTIF(MASUK8[Kode Barang],REKAP[[#This Row],[ID]])=0,0,COUNTIF(MASUK8[Kode Barang],REKAP[[#This Row],[ID]]))</f>
        <v>0</v>
      </c>
      <c r="K826" s="60">
        <f>REKAP[[#This Row],[Trx In]]+REKAP[[#This Row],[Trx Out]]</f>
        <v>0</v>
      </c>
      <c r="L826" s="55">
        <v>0</v>
      </c>
      <c r="M826" s="74">
        <f>SUMIF(MASUK!$C:$C,REKAP[[#This Row],[ID]],MASUK!$H:$H)</f>
        <v>0</v>
      </c>
      <c r="N826" s="74">
        <f>SUMIF(KELUAR!$C:$C,REKAP[[#This Row],[ID]],KELUAR!$H:$H)</f>
        <v>0</v>
      </c>
      <c r="O826" s="74">
        <f>REKAP[[#This Row],[Stok Awal]]+REKAP[[#This Row],[Masuk]]-REKAP[[#This Row],[Keluar]]</f>
        <v>0</v>
      </c>
      <c r="P826" s="55"/>
      <c r="Q826" s="62">
        <f>REKAP[[#This Row],[Harga Satuan]]*REKAP[[#This Row],[Stok Akhir]]</f>
        <v>0</v>
      </c>
      <c r="R826" s="61">
        <f>IF(REKAP[[#This Row],[Stok Aktual]]&lt;&gt;"",REKAP[[#This Row],[Stok Aktual]]-REKAP[[#This Row],[Stok Akhir]],0)</f>
        <v>0</v>
      </c>
      <c r="S826" s="132"/>
      <c r="T826" s="137">
        <f>IF(REKAP[[#This Row],[Selisih]]&lt;=-1,REKAP[[#This Row],[Harga Satuan]]*REKAP[[#This Row],[Selisih]],0)</f>
        <v>0</v>
      </c>
    </row>
    <row r="827" spans="1:20" x14ac:dyDescent="0.25">
      <c r="A827" s="55" t="s">
        <v>1153</v>
      </c>
      <c r="B827" s="55" t="s">
        <v>861</v>
      </c>
      <c r="C827" s="55" t="s">
        <v>861</v>
      </c>
      <c r="D827" s="56" t="s">
        <v>1689</v>
      </c>
      <c r="E827" s="57"/>
      <c r="F827" s="75" t="s">
        <v>898</v>
      </c>
      <c r="G827" s="55"/>
      <c r="H827" s="58">
        <v>30000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0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0</v>
      </c>
      <c r="P827" s="55"/>
      <c r="Q827" s="62">
        <f>REKAP[[#This Row],[Harga Satuan]]*REKAP[[#This Row],[Stok Akhir]]</f>
        <v>0</v>
      </c>
      <c r="R827" s="61">
        <f>IF(REKAP[[#This Row],[Stok Aktual]]&lt;&gt;"",REKAP[[#This Row],[Stok Aktual]]-REKAP[[#This Row],[Stok Akhir]],0)</f>
        <v>0</v>
      </c>
      <c r="S827" s="132"/>
      <c r="T827" s="137">
        <f>IF(REKAP[[#This Row],[Selisih]]&lt;=-1,REKAP[[#This Row],[Harga Satuan]]*REKAP[[#This Row],[Selisih]],0)</f>
        <v>0</v>
      </c>
    </row>
    <row r="828" spans="1:20" x14ac:dyDescent="0.25">
      <c r="A828" s="55" t="s">
        <v>1154</v>
      </c>
      <c r="B828" s="55" t="s">
        <v>861</v>
      </c>
      <c r="C828" s="55" t="s">
        <v>861</v>
      </c>
      <c r="D828" s="56" t="s">
        <v>1690</v>
      </c>
      <c r="E828" s="57"/>
      <c r="F828" s="75" t="s">
        <v>898</v>
      </c>
      <c r="G828" s="55"/>
      <c r="H828" s="58">
        <v>39000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0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0</v>
      </c>
      <c r="P828" s="55"/>
      <c r="Q828" s="62">
        <f>REKAP[[#This Row],[Harga Satuan]]*REKAP[[#This Row],[Stok Akhir]]</f>
        <v>0</v>
      </c>
      <c r="R828" s="61">
        <f>IF(REKAP[[#This Row],[Stok Aktual]]&lt;&gt;"",REKAP[[#This Row],[Stok Aktual]]-REKAP[[#This Row],[Stok Akhir]],0)</f>
        <v>0</v>
      </c>
      <c r="S828" s="132"/>
      <c r="T828" s="137">
        <f>IF(REKAP[[#This Row],[Selisih]]&lt;=-1,REKAP[[#This Row],[Harga Satuan]]*REKAP[[#This Row],[Selisih]],0)</f>
        <v>0</v>
      </c>
    </row>
    <row r="829" spans="1:20" x14ac:dyDescent="0.25">
      <c r="A829" s="55" t="s">
        <v>1155</v>
      </c>
      <c r="B829" s="55" t="s">
        <v>861</v>
      </c>
      <c r="C829" s="55" t="s">
        <v>861</v>
      </c>
      <c r="D829" s="56" t="s">
        <v>1691</v>
      </c>
      <c r="E829" s="57"/>
      <c r="F829" s="75" t="s">
        <v>898</v>
      </c>
      <c r="G829" s="55"/>
      <c r="H829" s="58">
        <v>47000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0</v>
      </c>
      <c r="K829" s="60">
        <f>REKAP[[#This Row],[Trx In]]+REKAP[[#This Row],[Trx Out]]</f>
        <v>0</v>
      </c>
      <c r="L829" s="55">
        <v>0</v>
      </c>
      <c r="M829" s="74">
        <f>SUMIF(MASUK!$C:$C,REKAP[[#This Row],[ID]],MASUK!$H:$H)</f>
        <v>0</v>
      </c>
      <c r="N829" s="74">
        <f>SUMIF(KELUAR!$C:$C,REKAP[[#This Row],[ID]],KELUAR!$H:$H)</f>
        <v>0</v>
      </c>
      <c r="O829" s="74">
        <f>REKAP[[#This Row],[Stok Awal]]+REKAP[[#This Row],[Masuk]]-REKAP[[#This Row],[Keluar]]</f>
        <v>0</v>
      </c>
      <c r="P829" s="55"/>
      <c r="Q829" s="62">
        <f>REKAP[[#This Row],[Harga Satuan]]*REKAP[[#This Row],[Stok Akhir]]</f>
        <v>0</v>
      </c>
      <c r="R829" s="61">
        <f>IF(REKAP[[#This Row],[Stok Aktual]]&lt;&gt;"",REKAP[[#This Row],[Stok Aktual]]-REKAP[[#This Row],[Stok Akhir]],0)</f>
        <v>0</v>
      </c>
      <c r="S829" s="132"/>
      <c r="T829" s="137">
        <f>IF(REKAP[[#This Row],[Selisih]]&lt;=-1,REKAP[[#This Row],[Harga Satuan]]*REKAP[[#This Row],[Selisih]],0)</f>
        <v>0</v>
      </c>
    </row>
    <row r="830" spans="1:20" x14ac:dyDescent="0.25">
      <c r="A830" s="55" t="s">
        <v>1156</v>
      </c>
      <c r="B830" s="55" t="s">
        <v>861</v>
      </c>
      <c r="C830" s="55" t="s">
        <v>861</v>
      </c>
      <c r="D830" s="56" t="s">
        <v>1692</v>
      </c>
      <c r="E830" s="57"/>
      <c r="F830" s="75" t="s">
        <v>898</v>
      </c>
      <c r="G830" s="55"/>
      <c r="H830" s="58">
        <v>55549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0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0</v>
      </c>
      <c r="P830" s="55"/>
      <c r="Q830" s="62">
        <f>REKAP[[#This Row],[Harga Satuan]]*REKAP[[#This Row],[Stok Akhir]]</f>
        <v>0</v>
      </c>
      <c r="R830" s="61">
        <f>IF(REKAP[[#This Row],[Stok Aktual]]&lt;&gt;"",REKAP[[#This Row],[Stok Aktual]]-REKAP[[#This Row],[Stok Akhir]],0)</f>
        <v>0</v>
      </c>
      <c r="S830" s="132"/>
      <c r="T830" s="137">
        <f>IF(REKAP[[#This Row],[Selisih]]&lt;=-1,REKAP[[#This Row],[Harga Satuan]]*REKAP[[#This Row],[Selisih]],0)</f>
        <v>0</v>
      </c>
    </row>
    <row r="831" spans="1:20" x14ac:dyDescent="0.25">
      <c r="A831" s="55" t="s">
        <v>1157</v>
      </c>
      <c r="B831" s="55" t="s">
        <v>861</v>
      </c>
      <c r="C831" s="55" t="s">
        <v>861</v>
      </c>
      <c r="D831" s="56" t="s">
        <v>1693</v>
      </c>
      <c r="E831" s="57"/>
      <c r="F831" s="75" t="s">
        <v>898</v>
      </c>
      <c r="G831" s="55"/>
      <c r="H831" s="58">
        <v>59898</v>
      </c>
      <c r="I831" s="59">
        <f>IF(COUNTIF(MASUK[Kode Barang],REKAP[[#This Row],[ID]])=0,0,COUNTIF(MASUK[Kode Barang],REKAP[[#This Row],[ID]]))</f>
        <v>0</v>
      </c>
      <c r="J831" s="59">
        <f>IF(COUNTIF(MASUK8[Kode Barang],REKAP[[#This Row],[ID]])=0,0,COUNTIF(MASUK8[Kode Barang],REKAP[[#This Row],[ID]]))</f>
        <v>0</v>
      </c>
      <c r="K831" s="60">
        <f>REKAP[[#This Row],[Trx In]]+REKAP[[#This Row],[Trx Out]]</f>
        <v>0</v>
      </c>
      <c r="L831" s="55">
        <v>0</v>
      </c>
      <c r="M831" s="74">
        <f>SUMIF(MASUK!$C:$C,REKAP[[#This Row],[ID]],MASUK!$H:$H)</f>
        <v>0</v>
      </c>
      <c r="N831" s="74">
        <f>SUMIF(KELUAR!$C:$C,REKAP[[#This Row],[ID]],KELUAR!$H:$H)</f>
        <v>0</v>
      </c>
      <c r="O831" s="74">
        <f>REKAP[[#This Row],[Stok Awal]]+REKAP[[#This Row],[Masuk]]-REKAP[[#This Row],[Keluar]]</f>
        <v>0</v>
      </c>
      <c r="P831" s="55"/>
      <c r="Q831" s="62">
        <f>REKAP[[#This Row],[Harga Satuan]]*REKAP[[#This Row],[Stok Akhir]]</f>
        <v>0</v>
      </c>
      <c r="R831" s="61">
        <f>IF(REKAP[[#This Row],[Stok Aktual]]&lt;&gt;"",REKAP[[#This Row],[Stok Aktual]]-REKAP[[#This Row],[Stok Akhir]],0)</f>
        <v>0</v>
      </c>
      <c r="S831" s="132"/>
      <c r="T831" s="137">
        <f>IF(REKAP[[#This Row],[Selisih]]&lt;=-1,REKAP[[#This Row],[Harga Satuan]]*REKAP[[#This Row],[Selisih]],0)</f>
        <v>0</v>
      </c>
    </row>
    <row r="832" spans="1:20" x14ac:dyDescent="0.25">
      <c r="A832" s="55" t="s">
        <v>1158</v>
      </c>
      <c r="B832" s="55" t="s">
        <v>861</v>
      </c>
      <c r="C832" s="55" t="s">
        <v>861</v>
      </c>
      <c r="D832" s="56" t="s">
        <v>1694</v>
      </c>
      <c r="E832" s="57"/>
      <c r="F832" s="75" t="s">
        <v>898</v>
      </c>
      <c r="G832" s="55"/>
      <c r="H832" s="58">
        <v>39768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0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0</v>
      </c>
      <c r="P832" s="55"/>
      <c r="Q832" s="62">
        <f>REKAP[[#This Row],[Harga Satuan]]*REKAP[[#This Row],[Stok Akhir]]</f>
        <v>0</v>
      </c>
      <c r="R832" s="61">
        <f>IF(REKAP[[#This Row],[Stok Aktual]]&lt;&gt;"",REKAP[[#This Row],[Stok Aktual]]-REKAP[[#This Row],[Stok Akhir]],0)</f>
        <v>0</v>
      </c>
      <c r="S832" s="132"/>
      <c r="T832" s="137">
        <f>IF(REKAP[[#This Row],[Selisih]]&lt;=-1,REKAP[[#This Row],[Harga Satuan]]*REKAP[[#This Row],[Selisih]],0)</f>
        <v>0</v>
      </c>
    </row>
    <row r="833" spans="1:20" x14ac:dyDescent="0.25">
      <c r="A833" s="55" t="s">
        <v>1159</v>
      </c>
      <c r="B833" s="55" t="s">
        <v>861</v>
      </c>
      <c r="C833" s="55" t="s">
        <v>861</v>
      </c>
      <c r="D833" s="56" t="s">
        <v>1695</v>
      </c>
      <c r="E833" s="57"/>
      <c r="F833" s="75" t="s">
        <v>898</v>
      </c>
      <c r="G833" s="55"/>
      <c r="H833" s="58">
        <v>131612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20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20</v>
      </c>
      <c r="P833" s="55"/>
      <c r="Q833" s="62">
        <f>REKAP[[#This Row],[Harga Satuan]]*REKAP[[#This Row],[Stok Akhir]]</f>
        <v>2632240</v>
      </c>
      <c r="R833" s="61">
        <f>IF(REKAP[[#This Row],[Stok Aktual]]&lt;&gt;"",REKAP[[#This Row],[Stok Aktual]]-REKAP[[#This Row],[Stok Akhir]],0)</f>
        <v>0</v>
      </c>
      <c r="S833" s="132"/>
      <c r="T833" s="137">
        <f>IF(REKAP[[#This Row],[Selisih]]&lt;=-1,REKAP[[#This Row],[Harga Satuan]]*REKAP[[#This Row],[Selisih]],0)</f>
        <v>0</v>
      </c>
    </row>
    <row r="834" spans="1:20" x14ac:dyDescent="0.25">
      <c r="A834" s="55" t="s">
        <v>1160</v>
      </c>
      <c r="B834" s="55" t="s">
        <v>861</v>
      </c>
      <c r="C834" s="55" t="s">
        <v>861</v>
      </c>
      <c r="D834" s="56" t="s">
        <v>1696</v>
      </c>
      <c r="E834" s="57"/>
      <c r="F834" s="75" t="s">
        <v>898</v>
      </c>
      <c r="G834" s="55"/>
      <c r="H834" s="58">
        <v>34791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0</v>
      </c>
      <c r="K834" s="60">
        <f>REKAP[[#This Row],[Trx In]]+REKAP[[#This Row],[Trx Out]]</f>
        <v>0</v>
      </c>
      <c r="L834" s="55">
        <v>0</v>
      </c>
      <c r="M834" s="74">
        <f>SUMIF(MASUK!$C:$C,REKAP[[#This Row],[ID]],MASUK!$H:$H)</f>
        <v>0</v>
      </c>
      <c r="N834" s="74">
        <f>SUMIF(KELUAR!$C:$C,REKAP[[#This Row],[ID]],KELUAR!$H:$H)</f>
        <v>0</v>
      </c>
      <c r="O834" s="74">
        <f>REKAP[[#This Row],[Stok Awal]]+REKAP[[#This Row],[Masuk]]-REKAP[[#This Row],[Keluar]]</f>
        <v>0</v>
      </c>
      <c r="P834" s="55"/>
      <c r="Q834" s="62">
        <f>REKAP[[#This Row],[Harga Satuan]]*REKAP[[#This Row],[Stok Akhir]]</f>
        <v>0</v>
      </c>
      <c r="R834" s="61">
        <f>IF(REKAP[[#This Row],[Stok Aktual]]&lt;&gt;"",REKAP[[#This Row],[Stok Aktual]]-REKAP[[#This Row],[Stok Akhir]],0)</f>
        <v>0</v>
      </c>
      <c r="S834" s="132"/>
      <c r="T834" s="137">
        <f>IF(REKAP[[#This Row],[Selisih]]&lt;=-1,REKAP[[#This Row],[Harga Satuan]]*REKAP[[#This Row],[Selisih]],0)</f>
        <v>0</v>
      </c>
    </row>
    <row r="835" spans="1:20" x14ac:dyDescent="0.25">
      <c r="A835" s="55" t="s">
        <v>1161</v>
      </c>
      <c r="B835" s="55" t="s">
        <v>861</v>
      </c>
      <c r="C835" s="55" t="s">
        <v>861</v>
      </c>
      <c r="D835" s="56" t="s">
        <v>1697</v>
      </c>
      <c r="E835" s="57"/>
      <c r="F835" s="75" t="s">
        <v>898</v>
      </c>
      <c r="G835" s="55"/>
      <c r="H835" s="58">
        <v>54000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0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0</v>
      </c>
      <c r="P835" s="55"/>
      <c r="Q835" s="62">
        <f>REKAP[[#This Row],[Harga Satuan]]*REKAP[[#This Row],[Stok Akhir]]</f>
        <v>0</v>
      </c>
      <c r="R835" s="61">
        <f>IF(REKAP[[#This Row],[Stok Aktual]]&lt;&gt;"",REKAP[[#This Row],[Stok Aktual]]-REKAP[[#This Row],[Stok Akhir]],0)</f>
        <v>0</v>
      </c>
      <c r="S835" s="132"/>
      <c r="T835" s="137">
        <f>IF(REKAP[[#This Row],[Selisih]]&lt;=-1,REKAP[[#This Row],[Harga Satuan]]*REKAP[[#This Row],[Selisih]],0)</f>
        <v>0</v>
      </c>
    </row>
    <row r="836" spans="1:20" x14ac:dyDescent="0.25">
      <c r="A836" s="55" t="s">
        <v>1162</v>
      </c>
      <c r="B836" s="55" t="s">
        <v>861</v>
      </c>
      <c r="C836" s="55" t="s">
        <v>861</v>
      </c>
      <c r="D836" s="56" t="s">
        <v>1698</v>
      </c>
      <c r="E836" s="57"/>
      <c r="F836" s="75" t="s">
        <v>898</v>
      </c>
      <c r="G836" s="55"/>
      <c r="H836" s="58">
        <v>32000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0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0</v>
      </c>
      <c r="P836" s="55"/>
      <c r="Q836" s="62">
        <f>REKAP[[#This Row],[Harga Satuan]]*REKAP[[#This Row],[Stok Akhir]]</f>
        <v>0</v>
      </c>
      <c r="R836" s="61">
        <f>IF(REKAP[[#This Row],[Stok Aktual]]&lt;&gt;"",REKAP[[#This Row],[Stok Aktual]]-REKAP[[#This Row],[Stok Akhir]],0)</f>
        <v>0</v>
      </c>
      <c r="S836" s="132"/>
      <c r="T836" s="137">
        <f>IF(REKAP[[#This Row],[Selisih]]&lt;=-1,REKAP[[#This Row],[Harga Satuan]]*REKAP[[#This Row],[Selisih]],0)</f>
        <v>0</v>
      </c>
    </row>
    <row r="837" spans="1:20" x14ac:dyDescent="0.25">
      <c r="A837" s="55" t="s">
        <v>1163</v>
      </c>
      <c r="B837" s="55" t="s">
        <v>861</v>
      </c>
      <c r="C837" s="55" t="s">
        <v>861</v>
      </c>
      <c r="D837" s="56" t="s">
        <v>1699</v>
      </c>
      <c r="E837" s="57"/>
      <c r="F837" s="75" t="s">
        <v>898</v>
      </c>
      <c r="G837" s="55"/>
      <c r="H837" s="58">
        <v>40000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0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0</v>
      </c>
      <c r="P837" s="55"/>
      <c r="Q837" s="62">
        <f>REKAP[[#This Row],[Harga Satuan]]*REKAP[[#This Row],[Stok Akhir]]</f>
        <v>0</v>
      </c>
      <c r="R837" s="61">
        <f>IF(REKAP[[#This Row],[Stok Aktual]]&lt;&gt;"",REKAP[[#This Row],[Stok Aktual]]-REKAP[[#This Row],[Stok Akhir]],0)</f>
        <v>0</v>
      </c>
      <c r="S837" s="132"/>
      <c r="T837" s="137">
        <f>IF(REKAP[[#This Row],[Selisih]]&lt;=-1,REKAP[[#This Row],[Harga Satuan]]*REKAP[[#This Row],[Selisih]],0)</f>
        <v>0</v>
      </c>
    </row>
    <row r="838" spans="1:20" x14ac:dyDescent="0.25">
      <c r="A838" s="55" t="s">
        <v>1164</v>
      </c>
      <c r="B838" s="55" t="s">
        <v>861</v>
      </c>
      <c r="C838" s="55" t="s">
        <v>861</v>
      </c>
      <c r="D838" s="56" t="s">
        <v>1700</v>
      </c>
      <c r="E838" s="57"/>
      <c r="F838" s="75" t="s">
        <v>898</v>
      </c>
      <c r="G838" s="55"/>
      <c r="H838" s="58">
        <v>54000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>
        <f>IF(REKAP[[#This Row],[Stok Aktual]]&lt;&gt;"",REKAP[[#This Row],[Stok Aktual]]-REKAP[[#This Row],[Stok Akhir]],0)</f>
        <v>0</v>
      </c>
      <c r="S838" s="132"/>
      <c r="T838" s="137">
        <f>IF(REKAP[[#This Row],[Selisih]]&lt;=-1,REKAP[[#This Row],[Harga Satuan]]*REKAP[[#This Row],[Selisih]],0)</f>
        <v>0</v>
      </c>
    </row>
    <row r="839" spans="1:20" x14ac:dyDescent="0.25">
      <c r="A839" s="55" t="s">
        <v>1165</v>
      </c>
      <c r="B839" s="55" t="s">
        <v>861</v>
      </c>
      <c r="C839" s="55" t="s">
        <v>861</v>
      </c>
      <c r="D839" s="56" t="s">
        <v>1701</v>
      </c>
      <c r="E839" s="57"/>
      <c r="F839" s="75" t="s">
        <v>898</v>
      </c>
      <c r="G839" s="55"/>
      <c r="H839" s="58">
        <v>68855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0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0</v>
      </c>
      <c r="P839" s="55"/>
      <c r="Q839" s="62">
        <f>REKAP[[#This Row],[Harga Satuan]]*REKAP[[#This Row],[Stok Akhir]]</f>
        <v>0</v>
      </c>
      <c r="R839" s="61">
        <f>IF(REKAP[[#This Row],[Stok Aktual]]&lt;&gt;"",REKAP[[#This Row],[Stok Aktual]]-REKAP[[#This Row],[Stok Akhir]],0)</f>
        <v>0</v>
      </c>
      <c r="S839" s="132"/>
      <c r="T839" s="137">
        <f>IF(REKAP[[#This Row],[Selisih]]&lt;=-1,REKAP[[#This Row],[Harga Satuan]]*REKAP[[#This Row],[Selisih]],0)</f>
        <v>0</v>
      </c>
    </row>
    <row r="840" spans="1:20" x14ac:dyDescent="0.25">
      <c r="A840" s="55" t="s">
        <v>1166</v>
      </c>
      <c r="B840" s="55" t="s">
        <v>861</v>
      </c>
      <c r="C840" s="55" t="s">
        <v>861</v>
      </c>
      <c r="D840" s="56" t="s">
        <v>1702</v>
      </c>
      <c r="E840" s="57"/>
      <c r="F840" s="75" t="s">
        <v>898</v>
      </c>
      <c r="G840" s="55"/>
      <c r="H840" s="58">
        <v>23877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0</v>
      </c>
      <c r="P840" s="55"/>
      <c r="Q840" s="62">
        <f>REKAP[[#This Row],[Harga Satuan]]*REKAP[[#This Row],[Stok Akhir]]</f>
        <v>0</v>
      </c>
      <c r="R840" s="61">
        <f>IF(REKAP[[#This Row],[Stok Aktual]]&lt;&gt;"",REKAP[[#This Row],[Stok Aktual]]-REKAP[[#This Row],[Stok Akhir]],0)</f>
        <v>0</v>
      </c>
      <c r="S840" s="132"/>
      <c r="T840" s="137">
        <f>IF(REKAP[[#This Row],[Selisih]]&lt;=-1,REKAP[[#This Row],[Harga Satuan]]*REKAP[[#This Row],[Selisih]],0)</f>
        <v>0</v>
      </c>
    </row>
    <row r="841" spans="1:20" x14ac:dyDescent="0.25">
      <c r="A841" s="55" t="s">
        <v>1167</v>
      </c>
      <c r="B841" s="55" t="s">
        <v>861</v>
      </c>
      <c r="C841" s="55" t="s">
        <v>861</v>
      </c>
      <c r="D841" s="56" t="s">
        <v>1703</v>
      </c>
      <c r="E841" s="57"/>
      <c r="F841" s="75" t="s">
        <v>898</v>
      </c>
      <c r="G841" s="55"/>
      <c r="H841" s="58">
        <v>185868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20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20</v>
      </c>
      <c r="P841" s="55"/>
      <c r="Q841" s="62">
        <f>REKAP[[#This Row],[Harga Satuan]]*REKAP[[#This Row],[Stok Akhir]]</f>
        <v>3717360</v>
      </c>
      <c r="R841" s="61">
        <f>IF(REKAP[[#This Row],[Stok Aktual]]&lt;&gt;"",REKAP[[#This Row],[Stok Aktual]]-REKAP[[#This Row],[Stok Akhir]],0)</f>
        <v>0</v>
      </c>
      <c r="S841" s="132"/>
      <c r="T841" s="137">
        <f>IF(REKAP[[#This Row],[Selisih]]&lt;=-1,REKAP[[#This Row],[Harga Satuan]]*REKAP[[#This Row],[Selisih]],0)</f>
        <v>0</v>
      </c>
    </row>
    <row r="842" spans="1:20" x14ac:dyDescent="0.25">
      <c r="A842" s="55" t="s">
        <v>1168</v>
      </c>
      <c r="B842" s="55" t="s">
        <v>861</v>
      </c>
      <c r="C842" s="55" t="s">
        <v>861</v>
      </c>
      <c r="D842" s="56" t="s">
        <v>1704</v>
      </c>
      <c r="E842" s="57"/>
      <c r="F842" s="75" t="s">
        <v>898</v>
      </c>
      <c r="G842" s="55"/>
      <c r="H842" s="58">
        <v>45438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0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0</v>
      </c>
      <c r="P842" s="55"/>
      <c r="Q842" s="62">
        <f>REKAP[[#This Row],[Harga Satuan]]*REKAP[[#This Row],[Stok Akhir]]</f>
        <v>0</v>
      </c>
      <c r="R842" s="61">
        <f>IF(REKAP[[#This Row],[Stok Aktual]]&lt;&gt;"",REKAP[[#This Row],[Stok Aktual]]-REKAP[[#This Row],[Stok Akhir]],0)</f>
        <v>0</v>
      </c>
      <c r="S842" s="132"/>
      <c r="T842" s="137">
        <f>IF(REKAP[[#This Row],[Selisih]]&lt;=-1,REKAP[[#This Row],[Harga Satuan]]*REKAP[[#This Row],[Selisih]],0)</f>
        <v>0</v>
      </c>
    </row>
    <row r="843" spans="1:20" x14ac:dyDescent="0.25">
      <c r="A843" s="55" t="s">
        <v>1169</v>
      </c>
      <c r="B843" s="55" t="s">
        <v>861</v>
      </c>
      <c r="C843" s="55" t="s">
        <v>861</v>
      </c>
      <c r="D843" s="56" t="s">
        <v>1705</v>
      </c>
      <c r="E843" s="57"/>
      <c r="F843" s="75" t="s">
        <v>898</v>
      </c>
      <c r="G843" s="55"/>
      <c r="H843" s="58">
        <v>42000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21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21</v>
      </c>
      <c r="P843" s="55"/>
      <c r="Q843" s="62">
        <f>REKAP[[#This Row],[Harga Satuan]]*REKAP[[#This Row],[Stok Akhir]]</f>
        <v>882000</v>
      </c>
      <c r="R843" s="61">
        <f>IF(REKAP[[#This Row],[Stok Aktual]]&lt;&gt;"",REKAP[[#This Row],[Stok Aktual]]-REKAP[[#This Row],[Stok Akhir]],0)</f>
        <v>0</v>
      </c>
      <c r="S843" s="132"/>
      <c r="T843" s="137">
        <f>IF(REKAP[[#This Row],[Selisih]]&lt;=-1,REKAP[[#This Row],[Harga Satuan]]*REKAP[[#This Row],[Selisih]],0)</f>
        <v>0</v>
      </c>
    </row>
    <row r="844" spans="1:20" x14ac:dyDescent="0.25">
      <c r="A844" s="55" t="s">
        <v>1170</v>
      </c>
      <c r="B844" s="55" t="s">
        <v>861</v>
      </c>
      <c r="C844" s="55" t="s">
        <v>861</v>
      </c>
      <c r="D844" s="56" t="s">
        <v>1706</v>
      </c>
      <c r="E844" s="57"/>
      <c r="F844" s="75" t="s">
        <v>898</v>
      </c>
      <c r="G844" s="55"/>
      <c r="H844" s="58">
        <v>47398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0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0</v>
      </c>
      <c r="P844" s="55"/>
      <c r="Q844" s="62">
        <f>REKAP[[#This Row],[Harga Satuan]]*REKAP[[#This Row],[Stok Akhir]]</f>
        <v>0</v>
      </c>
      <c r="R844" s="61">
        <f>IF(REKAP[[#This Row],[Stok Aktual]]&lt;&gt;"",REKAP[[#This Row],[Stok Aktual]]-REKAP[[#This Row],[Stok Akhir]],0)</f>
        <v>0</v>
      </c>
      <c r="S844" s="132"/>
      <c r="T844" s="137">
        <f>IF(REKAP[[#This Row],[Selisih]]&lt;=-1,REKAP[[#This Row],[Harga Satuan]]*REKAP[[#This Row],[Selisih]],0)</f>
        <v>0</v>
      </c>
    </row>
    <row r="845" spans="1:20" x14ac:dyDescent="0.25">
      <c r="A845" s="55" t="s">
        <v>1171</v>
      </c>
      <c r="B845" s="55" t="s">
        <v>861</v>
      </c>
      <c r="C845" s="55" t="s">
        <v>861</v>
      </c>
      <c r="D845" s="56" t="s">
        <v>1707</v>
      </c>
      <c r="E845" s="57"/>
      <c r="F845" s="75" t="s">
        <v>898</v>
      </c>
      <c r="G845" s="55"/>
      <c r="H845" s="58">
        <v>125000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0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0</v>
      </c>
      <c r="P845" s="55"/>
      <c r="Q845" s="62">
        <f>REKAP[[#This Row],[Harga Satuan]]*REKAP[[#This Row],[Stok Akhir]]</f>
        <v>0</v>
      </c>
      <c r="R845" s="61">
        <f>IF(REKAP[[#This Row],[Stok Aktual]]&lt;&gt;"",REKAP[[#This Row],[Stok Aktual]]-REKAP[[#This Row],[Stok Akhir]],0)</f>
        <v>0</v>
      </c>
      <c r="S845" s="132"/>
      <c r="T845" s="137">
        <f>IF(REKAP[[#This Row],[Selisih]]&lt;=-1,REKAP[[#This Row],[Harga Satuan]]*REKAP[[#This Row],[Selisih]],0)</f>
        <v>0</v>
      </c>
    </row>
    <row r="846" spans="1:20" x14ac:dyDescent="0.25">
      <c r="A846" s="55" t="s">
        <v>1172</v>
      </c>
      <c r="B846" s="55" t="s">
        <v>861</v>
      </c>
      <c r="C846" s="55" t="s">
        <v>861</v>
      </c>
      <c r="D846" s="56" t="s">
        <v>1708</v>
      </c>
      <c r="E846" s="57"/>
      <c r="F846" s="75" t="s">
        <v>898</v>
      </c>
      <c r="G846" s="55"/>
      <c r="H846" s="58">
        <v>244023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9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9</v>
      </c>
      <c r="P846" s="55"/>
      <c r="Q846" s="62">
        <f>REKAP[[#This Row],[Harga Satuan]]*REKAP[[#This Row],[Stok Akhir]]</f>
        <v>2196207</v>
      </c>
      <c r="R846" s="61">
        <f>IF(REKAP[[#This Row],[Stok Aktual]]&lt;&gt;"",REKAP[[#This Row],[Stok Aktual]]-REKAP[[#This Row],[Stok Akhir]],0)</f>
        <v>0</v>
      </c>
      <c r="S846" s="132"/>
      <c r="T846" s="137">
        <f>IF(REKAP[[#This Row],[Selisih]]&lt;=-1,REKAP[[#This Row],[Harga Satuan]]*REKAP[[#This Row],[Selisih]],0)</f>
        <v>0</v>
      </c>
    </row>
    <row r="847" spans="1:20" x14ac:dyDescent="0.25">
      <c r="A847" s="55" t="s">
        <v>1173</v>
      </c>
      <c r="B847" s="55" t="s">
        <v>861</v>
      </c>
      <c r="C847" s="55" t="s">
        <v>861</v>
      </c>
      <c r="D847" s="56" t="s">
        <v>1709</v>
      </c>
      <c r="E847" s="57"/>
      <c r="F847" s="75" t="s">
        <v>898</v>
      </c>
      <c r="G847" s="55"/>
      <c r="H847" s="58">
        <v>70000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0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0</v>
      </c>
      <c r="P847" s="55"/>
      <c r="Q847" s="62">
        <f>REKAP[[#This Row],[Harga Satuan]]*REKAP[[#This Row],[Stok Akhir]]</f>
        <v>0</v>
      </c>
      <c r="R847" s="61">
        <f>IF(REKAP[[#This Row],[Stok Aktual]]&lt;&gt;"",REKAP[[#This Row],[Stok Aktual]]-REKAP[[#This Row],[Stok Akhir]],0)</f>
        <v>0</v>
      </c>
      <c r="S847" s="132"/>
      <c r="T847" s="137">
        <f>IF(REKAP[[#This Row],[Selisih]]&lt;=-1,REKAP[[#This Row],[Harga Satuan]]*REKAP[[#This Row],[Selisih]],0)</f>
        <v>0</v>
      </c>
    </row>
    <row r="848" spans="1:20" x14ac:dyDescent="0.25">
      <c r="A848" s="55" t="s">
        <v>1174</v>
      </c>
      <c r="B848" s="55" t="s">
        <v>861</v>
      </c>
      <c r="C848" s="55" t="s">
        <v>861</v>
      </c>
      <c r="D848" s="56" t="s">
        <v>1710</v>
      </c>
      <c r="E848" s="57"/>
      <c r="F848" s="75" t="s">
        <v>898</v>
      </c>
      <c r="G848" s="55"/>
      <c r="H848" s="58"/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0</v>
      </c>
      <c r="P848" s="55"/>
      <c r="Q848" s="62">
        <f>REKAP[[#This Row],[Harga Satuan]]*REKAP[[#This Row],[Stok Akhir]]</f>
        <v>0</v>
      </c>
      <c r="R848" s="61">
        <f>IF(REKAP[[#This Row],[Stok Aktual]]&lt;&gt;"",REKAP[[#This Row],[Stok Aktual]]-REKAP[[#This Row],[Stok Akhir]],0)</f>
        <v>0</v>
      </c>
      <c r="S848" s="132"/>
      <c r="T848" s="137">
        <f>IF(REKAP[[#This Row],[Selisih]]&lt;=-1,REKAP[[#This Row],[Harga Satuan]]*REKAP[[#This Row],[Selisih]],0)</f>
        <v>0</v>
      </c>
    </row>
    <row r="849" spans="1:20" x14ac:dyDescent="0.25">
      <c r="A849" s="55" t="s">
        <v>1175</v>
      </c>
      <c r="B849" s="55" t="s">
        <v>861</v>
      </c>
      <c r="C849" s="55" t="s">
        <v>861</v>
      </c>
      <c r="D849" s="56" t="s">
        <v>1711</v>
      </c>
      <c r="E849" s="57"/>
      <c r="F849" s="75" t="s">
        <v>898</v>
      </c>
      <c r="G849" s="55"/>
      <c r="H849" s="58">
        <v>77000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0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0</v>
      </c>
      <c r="P849" s="55"/>
      <c r="Q849" s="62">
        <f>REKAP[[#This Row],[Harga Satuan]]*REKAP[[#This Row],[Stok Akhir]]</f>
        <v>0</v>
      </c>
      <c r="R849" s="61">
        <f>IF(REKAP[[#This Row],[Stok Aktual]]&lt;&gt;"",REKAP[[#This Row],[Stok Aktual]]-REKAP[[#This Row],[Stok Akhir]],0)</f>
        <v>0</v>
      </c>
      <c r="S849" s="132"/>
      <c r="T849" s="137">
        <f>IF(REKAP[[#This Row],[Selisih]]&lt;=-1,REKAP[[#This Row],[Harga Satuan]]*REKAP[[#This Row],[Selisih]],0)</f>
        <v>0</v>
      </c>
    </row>
    <row r="850" spans="1:20" x14ac:dyDescent="0.25">
      <c r="A850" s="55" t="s">
        <v>1176</v>
      </c>
      <c r="B850" s="55" t="s">
        <v>861</v>
      </c>
      <c r="C850" s="55" t="s">
        <v>861</v>
      </c>
      <c r="D850" s="56" t="s">
        <v>1712</v>
      </c>
      <c r="E850" s="57"/>
      <c r="F850" s="75" t="s">
        <v>898</v>
      </c>
      <c r="G850" s="55"/>
      <c r="H850" s="58">
        <v>68000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0</v>
      </c>
      <c r="K850" s="60">
        <f>REKAP[[#This Row],[Trx In]]+REKAP[[#This Row],[Trx Out]]</f>
        <v>0</v>
      </c>
      <c r="L850" s="55">
        <v>10</v>
      </c>
      <c r="M850" s="74">
        <f>SUMIF(MASUK!$C:$C,REKAP[[#This Row],[ID]],MASUK!$H:$H)</f>
        <v>0</v>
      </c>
      <c r="N850" s="74">
        <f>SUMIF(KELUAR!$C:$C,REKAP[[#This Row],[ID]],KELUAR!$H:$H)</f>
        <v>0</v>
      </c>
      <c r="O850" s="74">
        <f>REKAP[[#This Row],[Stok Awal]]+REKAP[[#This Row],[Masuk]]-REKAP[[#This Row],[Keluar]]</f>
        <v>10</v>
      </c>
      <c r="P850" s="55"/>
      <c r="Q850" s="62">
        <f>REKAP[[#This Row],[Harga Satuan]]*REKAP[[#This Row],[Stok Akhir]]</f>
        <v>680000</v>
      </c>
      <c r="R850" s="61">
        <f>IF(REKAP[[#This Row],[Stok Aktual]]&lt;&gt;"",REKAP[[#This Row],[Stok Aktual]]-REKAP[[#This Row],[Stok Akhir]],0)</f>
        <v>0</v>
      </c>
      <c r="S850" s="132"/>
      <c r="T850" s="137">
        <f>IF(REKAP[[#This Row],[Selisih]]&lt;=-1,REKAP[[#This Row],[Harga Satuan]]*REKAP[[#This Row],[Selisih]],0)</f>
        <v>0</v>
      </c>
    </row>
    <row r="851" spans="1:20" x14ac:dyDescent="0.25">
      <c r="A851" s="55" t="s">
        <v>1177</v>
      </c>
      <c r="B851" s="55" t="s">
        <v>861</v>
      </c>
      <c r="C851" s="55" t="s">
        <v>861</v>
      </c>
      <c r="D851" s="56" t="s">
        <v>1713</v>
      </c>
      <c r="E851" s="57"/>
      <c r="F851" s="75" t="s">
        <v>898</v>
      </c>
      <c r="G851" s="55"/>
      <c r="H851" s="58">
        <v>68000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0</v>
      </c>
      <c r="K851" s="60">
        <f>REKAP[[#This Row],[Trx In]]+REKAP[[#This Row],[Trx Out]]</f>
        <v>0</v>
      </c>
      <c r="L851" s="55">
        <v>1</v>
      </c>
      <c r="M851" s="74">
        <f>SUMIF(MASUK!$C:$C,REKAP[[#This Row],[ID]],MASUK!$H:$H)</f>
        <v>0</v>
      </c>
      <c r="N851" s="74">
        <f>SUMIF(KELUAR!$C:$C,REKAP[[#This Row],[ID]],KELUAR!$H:$H)</f>
        <v>0</v>
      </c>
      <c r="O851" s="74">
        <f>REKAP[[#This Row],[Stok Awal]]+REKAP[[#This Row],[Masuk]]-REKAP[[#This Row],[Keluar]]</f>
        <v>1</v>
      </c>
      <c r="P851" s="55"/>
      <c r="Q851" s="62">
        <f>REKAP[[#This Row],[Harga Satuan]]*REKAP[[#This Row],[Stok Akhir]]</f>
        <v>68000</v>
      </c>
      <c r="R851" s="61">
        <f>IF(REKAP[[#This Row],[Stok Aktual]]&lt;&gt;"",REKAP[[#This Row],[Stok Aktual]]-REKAP[[#This Row],[Stok Akhir]],0)</f>
        <v>0</v>
      </c>
      <c r="S851" s="132"/>
      <c r="T851" s="137">
        <f>IF(REKAP[[#This Row],[Selisih]]&lt;=-1,REKAP[[#This Row],[Harga Satuan]]*REKAP[[#This Row],[Selisih]],0)</f>
        <v>0</v>
      </c>
    </row>
    <row r="852" spans="1:20" x14ac:dyDescent="0.25">
      <c r="A852" s="55" t="s">
        <v>1178</v>
      </c>
      <c r="B852" s="55" t="s">
        <v>862</v>
      </c>
      <c r="C852" s="55" t="s">
        <v>862</v>
      </c>
      <c r="D852" s="56" t="s">
        <v>1714</v>
      </c>
      <c r="E852" s="57"/>
      <c r="F852" s="75" t="s">
        <v>898</v>
      </c>
      <c r="G852" s="55"/>
      <c r="H852" s="58">
        <v>180000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1</v>
      </c>
      <c r="K852" s="60">
        <f>REKAP[[#This Row],[Trx In]]+REKAP[[#This Row],[Trx Out]]</f>
        <v>2</v>
      </c>
      <c r="L852" s="55">
        <v>6</v>
      </c>
      <c r="M852" s="74">
        <f>SUMIF(MASUK!$C:$C,REKAP[[#This Row],[ID]],MASUK!$H:$H)</f>
        <v>7</v>
      </c>
      <c r="N852" s="74">
        <f>SUMIF(KELUAR!$C:$C,REKAP[[#This Row],[ID]],KELUAR!$H:$H)</f>
        <v>7</v>
      </c>
      <c r="O852" s="74">
        <f>REKAP[[#This Row],[Stok Awal]]+REKAP[[#This Row],[Masuk]]-REKAP[[#This Row],[Keluar]]</f>
        <v>6</v>
      </c>
      <c r="P852" s="55">
        <v>6</v>
      </c>
      <c r="Q852" s="62">
        <f>REKAP[[#This Row],[Harga Satuan]]*REKAP[[#This Row],[Stok Akhir]]</f>
        <v>1080000</v>
      </c>
      <c r="R852" s="61">
        <f>IF(REKAP[[#This Row],[Stok Aktual]]&lt;&gt;"",REKAP[[#This Row],[Stok Aktual]]-REKAP[[#This Row],[Stok Akhir]],0)</f>
        <v>0</v>
      </c>
      <c r="S852" s="132"/>
      <c r="T852" s="137">
        <f>IF(REKAP[[#This Row],[Selisih]]&lt;=-1,REKAP[[#This Row],[Harga Satuan]]*REKAP[[#This Row],[Selisih]],0)</f>
        <v>0</v>
      </c>
    </row>
    <row r="853" spans="1:20" x14ac:dyDescent="0.25">
      <c r="A853" s="55" t="s">
        <v>1179</v>
      </c>
      <c r="B853" s="55" t="s">
        <v>862</v>
      </c>
      <c r="C853" s="55" t="s">
        <v>862</v>
      </c>
      <c r="D853" s="56" t="s">
        <v>1715</v>
      </c>
      <c r="E853" s="57"/>
      <c r="F853" s="75" t="s">
        <v>898</v>
      </c>
      <c r="G853" s="55"/>
      <c r="H853" s="58">
        <v>315936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0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0</v>
      </c>
      <c r="P853" s="55"/>
      <c r="Q853" s="62">
        <f>REKAP[[#This Row],[Harga Satuan]]*REKAP[[#This Row],[Stok Akhir]]</f>
        <v>0</v>
      </c>
      <c r="R853" s="61">
        <f>IF(REKAP[[#This Row],[Stok Aktual]]&lt;&gt;"",REKAP[[#This Row],[Stok Aktual]]-REKAP[[#This Row],[Stok Akhir]],0)</f>
        <v>0</v>
      </c>
      <c r="S853" s="132"/>
      <c r="T853" s="137">
        <f>IF(REKAP[[#This Row],[Selisih]]&lt;=-1,REKAP[[#This Row],[Harga Satuan]]*REKAP[[#This Row],[Selisih]],0)</f>
        <v>0</v>
      </c>
    </row>
    <row r="854" spans="1:20" x14ac:dyDescent="0.25">
      <c r="A854" s="55" t="s">
        <v>1180</v>
      </c>
      <c r="B854" s="55" t="s">
        <v>862</v>
      </c>
      <c r="C854" s="55" t="s">
        <v>862</v>
      </c>
      <c r="D854" s="56" t="s">
        <v>1716</v>
      </c>
      <c r="E854" s="57"/>
      <c r="F854" s="75" t="s">
        <v>898</v>
      </c>
      <c r="G854" s="55"/>
      <c r="H854" s="58">
        <v>207526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</v>
      </c>
      <c r="P854" s="55"/>
      <c r="Q854" s="62">
        <f>REKAP[[#This Row],[Harga Satuan]]*REKAP[[#This Row],[Stok Akhir]]</f>
        <v>415052</v>
      </c>
      <c r="R854" s="61">
        <f>IF(REKAP[[#This Row],[Stok Aktual]]&lt;&gt;"",REKAP[[#This Row],[Stok Aktual]]-REKAP[[#This Row],[Stok Akhir]],0)</f>
        <v>0</v>
      </c>
      <c r="S854" s="132"/>
      <c r="T854" s="137">
        <f>IF(REKAP[[#This Row],[Selisih]]&lt;=-1,REKAP[[#This Row],[Harga Satuan]]*REKAP[[#This Row],[Selisih]],0)</f>
        <v>0</v>
      </c>
    </row>
    <row r="855" spans="1:20" x14ac:dyDescent="0.25">
      <c r="A855" s="55" t="s">
        <v>1181</v>
      </c>
      <c r="B855" s="55" t="s">
        <v>862</v>
      </c>
      <c r="C855" s="55" t="s">
        <v>862</v>
      </c>
      <c r="D855" s="56" t="s">
        <v>1717</v>
      </c>
      <c r="E855" s="57"/>
      <c r="F855" s="75" t="s">
        <v>898</v>
      </c>
      <c r="G855" s="55"/>
      <c r="H855" s="58">
        <v>174000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6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6</v>
      </c>
      <c r="P855" s="55"/>
      <c r="Q855" s="62">
        <f>REKAP[[#This Row],[Harga Satuan]]*REKAP[[#This Row],[Stok Akhir]]</f>
        <v>1044000</v>
      </c>
      <c r="R855" s="61">
        <f>IF(REKAP[[#This Row],[Stok Aktual]]&lt;&gt;"",REKAP[[#This Row],[Stok Aktual]]-REKAP[[#This Row],[Stok Akhir]],0)</f>
        <v>0</v>
      </c>
      <c r="S855" s="132"/>
      <c r="T855" s="137">
        <f>IF(REKAP[[#This Row],[Selisih]]&lt;=-1,REKAP[[#This Row],[Harga Satuan]]*REKAP[[#This Row],[Selisih]],0)</f>
        <v>0</v>
      </c>
    </row>
    <row r="856" spans="1:20" x14ac:dyDescent="0.25">
      <c r="A856" s="55" t="s">
        <v>1182</v>
      </c>
      <c r="B856" s="55" t="s">
        <v>862</v>
      </c>
      <c r="C856" s="55" t="s">
        <v>862</v>
      </c>
      <c r="D856" s="56" t="s">
        <v>1718</v>
      </c>
      <c r="E856" s="57"/>
      <c r="F856" s="75" t="s">
        <v>898</v>
      </c>
      <c r="G856" s="55"/>
      <c r="H856" s="58"/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0</v>
      </c>
      <c r="K856" s="60">
        <f>REKAP[[#This Row],[Trx In]]+REKAP[[#This Row],[Trx Out]]</f>
        <v>0</v>
      </c>
      <c r="L856" s="55">
        <v>2</v>
      </c>
      <c r="M856" s="74">
        <f>SUMIF(MASUK!$C:$C,REKAP[[#This Row],[ID]],MASUK!$H:$H)</f>
        <v>0</v>
      </c>
      <c r="N856" s="74">
        <f>SUMIF(KELUAR!$C:$C,REKAP[[#This Row],[ID]],KELUAR!$H:$H)</f>
        <v>0</v>
      </c>
      <c r="O856" s="74">
        <f>REKAP[[#This Row],[Stok Awal]]+REKAP[[#This Row],[Masuk]]-REKAP[[#This Row],[Keluar]]</f>
        <v>2</v>
      </c>
      <c r="P856" s="55"/>
      <c r="Q856" s="62">
        <f>REKAP[[#This Row],[Harga Satuan]]*REKAP[[#This Row],[Stok Akhir]]</f>
        <v>0</v>
      </c>
      <c r="R856" s="61">
        <f>IF(REKAP[[#This Row],[Stok Aktual]]&lt;&gt;"",REKAP[[#This Row],[Stok Aktual]]-REKAP[[#This Row],[Stok Akhir]],0)</f>
        <v>0</v>
      </c>
      <c r="S856" s="132"/>
      <c r="T856" s="137">
        <f>IF(REKAP[[#This Row],[Selisih]]&lt;=-1,REKAP[[#This Row],[Harga Satuan]]*REKAP[[#This Row],[Selisih]],0)</f>
        <v>0</v>
      </c>
    </row>
    <row r="857" spans="1:20" x14ac:dyDescent="0.25">
      <c r="A857" s="55" t="s">
        <v>1183</v>
      </c>
      <c r="B857" s="55" t="s">
        <v>862</v>
      </c>
      <c r="C857" s="55" t="s">
        <v>862</v>
      </c>
      <c r="D857" s="56" t="s">
        <v>1719</v>
      </c>
      <c r="E857" s="57"/>
      <c r="F857" s="75" t="s">
        <v>898</v>
      </c>
      <c r="G857" s="55"/>
      <c r="H857" s="58">
        <v>325410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0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0</v>
      </c>
      <c r="P857" s="55"/>
      <c r="Q857" s="62">
        <f>REKAP[[#This Row],[Harga Satuan]]*REKAP[[#This Row],[Stok Akhir]]</f>
        <v>0</v>
      </c>
      <c r="R857" s="61">
        <f>IF(REKAP[[#This Row],[Stok Aktual]]&lt;&gt;"",REKAP[[#This Row],[Stok Aktual]]-REKAP[[#This Row],[Stok Akhir]],0)</f>
        <v>0</v>
      </c>
      <c r="S857" s="132"/>
      <c r="T857" s="137">
        <f>IF(REKAP[[#This Row],[Selisih]]&lt;=-1,REKAP[[#This Row],[Harga Satuan]]*REKAP[[#This Row],[Selisih]],0)</f>
        <v>0</v>
      </c>
    </row>
    <row r="858" spans="1:20" x14ac:dyDescent="0.25">
      <c r="A858" s="55" t="s">
        <v>1184</v>
      </c>
      <c r="B858" s="55" t="s">
        <v>862</v>
      </c>
      <c r="C858" s="55" t="s">
        <v>862</v>
      </c>
      <c r="D858" s="56" t="s">
        <v>1720</v>
      </c>
      <c r="E858" s="57"/>
      <c r="F858" s="75" t="s">
        <v>898</v>
      </c>
      <c r="G858" s="55"/>
      <c r="H858" s="58">
        <v>164268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</v>
      </c>
      <c r="P858" s="55"/>
      <c r="Q858" s="62">
        <f>REKAP[[#This Row],[Harga Satuan]]*REKAP[[#This Row],[Stok Akhir]]</f>
        <v>328536</v>
      </c>
      <c r="R858" s="61">
        <f>IF(REKAP[[#This Row],[Stok Aktual]]&lt;&gt;"",REKAP[[#This Row],[Stok Aktual]]-REKAP[[#This Row],[Stok Akhir]],0)</f>
        <v>0</v>
      </c>
      <c r="S858" s="132"/>
      <c r="T858" s="137">
        <f>IF(REKAP[[#This Row],[Selisih]]&lt;=-1,REKAP[[#This Row],[Harga Satuan]]*REKAP[[#This Row],[Selisih]],0)</f>
        <v>0</v>
      </c>
    </row>
    <row r="859" spans="1:20" x14ac:dyDescent="0.25">
      <c r="A859" s="55" t="s">
        <v>1185</v>
      </c>
      <c r="B859" s="55" t="s">
        <v>862</v>
      </c>
      <c r="C859" s="55" t="s">
        <v>862</v>
      </c>
      <c r="D859" s="56" t="s">
        <v>1721</v>
      </c>
      <c r="E859" s="57"/>
      <c r="F859" s="75" t="s">
        <v>898</v>
      </c>
      <c r="G859" s="55"/>
      <c r="H859" s="58">
        <v>145000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0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0</v>
      </c>
      <c r="P859" s="55"/>
      <c r="Q859" s="62">
        <f>REKAP[[#This Row],[Harga Satuan]]*REKAP[[#This Row],[Stok Akhir]]</f>
        <v>0</v>
      </c>
      <c r="R859" s="61">
        <f>IF(REKAP[[#This Row],[Stok Aktual]]&lt;&gt;"",REKAP[[#This Row],[Stok Aktual]]-REKAP[[#This Row],[Stok Akhir]],0)</f>
        <v>0</v>
      </c>
      <c r="S859" s="132"/>
      <c r="T859" s="137">
        <f>IF(REKAP[[#This Row],[Selisih]]&lt;=-1,REKAP[[#This Row],[Harga Satuan]]*REKAP[[#This Row],[Selisih]],0)</f>
        <v>0</v>
      </c>
    </row>
    <row r="860" spans="1:20" x14ac:dyDescent="0.25">
      <c r="A860" s="55" t="s">
        <v>1186</v>
      </c>
      <c r="B860" s="55" t="s">
        <v>862</v>
      </c>
      <c r="C860" s="55" t="s">
        <v>862</v>
      </c>
      <c r="D860" s="56" t="s">
        <v>1722</v>
      </c>
      <c r="E860" s="57"/>
      <c r="F860" s="75" t="s">
        <v>898</v>
      </c>
      <c r="G860" s="55"/>
      <c r="H860" s="58">
        <v>210000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2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2</v>
      </c>
      <c r="P860" s="55"/>
      <c r="Q860" s="62">
        <f>REKAP[[#This Row],[Harga Satuan]]*REKAP[[#This Row],[Stok Akhir]]</f>
        <v>420000</v>
      </c>
      <c r="R860" s="61">
        <f>IF(REKAP[[#This Row],[Stok Aktual]]&lt;&gt;"",REKAP[[#This Row],[Stok Aktual]]-REKAP[[#This Row],[Stok Akhir]],0)</f>
        <v>0</v>
      </c>
      <c r="S860" s="132"/>
      <c r="T860" s="137">
        <f>IF(REKAP[[#This Row],[Selisih]]&lt;=-1,REKAP[[#This Row],[Harga Satuan]]*REKAP[[#This Row],[Selisih]],0)</f>
        <v>0</v>
      </c>
    </row>
    <row r="861" spans="1:20" x14ac:dyDescent="0.25">
      <c r="A861" s="55" t="s">
        <v>1187</v>
      </c>
      <c r="B861" s="55" t="s">
        <v>862</v>
      </c>
      <c r="C861" s="55" t="s">
        <v>862</v>
      </c>
      <c r="D861" s="56" t="s">
        <v>1723</v>
      </c>
      <c r="E861" s="57"/>
      <c r="F861" s="75" t="s">
        <v>898</v>
      </c>
      <c r="G861" s="55"/>
      <c r="H861" s="58"/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0</v>
      </c>
      <c r="K861" s="60">
        <f>REKAP[[#This Row],[Trx In]]+REKAP[[#This Row],[Trx Out]]</f>
        <v>0</v>
      </c>
      <c r="L861" s="55">
        <v>2</v>
      </c>
      <c r="M861" s="74">
        <f>SUMIF(MASUK!$C:$C,REKAP[[#This Row],[ID]],MASUK!$H:$H)</f>
        <v>0</v>
      </c>
      <c r="N861" s="74">
        <f>SUMIF(KELUAR!$C:$C,REKAP[[#This Row],[ID]],KELUAR!$H:$H)</f>
        <v>0</v>
      </c>
      <c r="O861" s="74">
        <f>REKAP[[#This Row],[Stok Awal]]+REKAP[[#This Row],[Masuk]]-REKAP[[#This Row],[Keluar]]</f>
        <v>2</v>
      </c>
      <c r="P861" s="55"/>
      <c r="Q861" s="62">
        <f>REKAP[[#This Row],[Harga Satuan]]*REKAP[[#This Row],[Stok Akhir]]</f>
        <v>0</v>
      </c>
      <c r="R861" s="61">
        <f>IF(REKAP[[#This Row],[Stok Aktual]]&lt;&gt;"",REKAP[[#This Row],[Stok Aktual]]-REKAP[[#This Row],[Stok Akhir]],0)</f>
        <v>0</v>
      </c>
      <c r="S861" s="132"/>
      <c r="T861" s="137">
        <f>IF(REKAP[[#This Row],[Selisih]]&lt;=-1,REKAP[[#This Row],[Harga Satuan]]*REKAP[[#This Row],[Selisih]],0)</f>
        <v>0</v>
      </c>
    </row>
    <row r="862" spans="1:20" x14ac:dyDescent="0.25">
      <c r="A862" s="55" t="s">
        <v>1188</v>
      </c>
      <c r="B862" s="55" t="s">
        <v>862</v>
      </c>
      <c r="C862" s="55" t="s">
        <v>862</v>
      </c>
      <c r="D862" s="56" t="s">
        <v>1724</v>
      </c>
      <c r="E862" s="57"/>
      <c r="F862" s="75" t="s">
        <v>898</v>
      </c>
      <c r="G862" s="55"/>
      <c r="H862" s="58">
        <v>270000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0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0</v>
      </c>
      <c r="P862" s="55"/>
      <c r="Q862" s="62">
        <f>REKAP[[#This Row],[Harga Satuan]]*REKAP[[#This Row],[Stok Akhir]]</f>
        <v>0</v>
      </c>
      <c r="R862" s="61">
        <f>IF(REKAP[[#This Row],[Stok Aktual]]&lt;&gt;"",REKAP[[#This Row],[Stok Aktual]]-REKAP[[#This Row],[Stok Akhir]],0)</f>
        <v>0</v>
      </c>
      <c r="S862" s="132"/>
      <c r="T862" s="137">
        <f>IF(REKAP[[#This Row],[Selisih]]&lt;=-1,REKAP[[#This Row],[Harga Satuan]]*REKAP[[#This Row],[Selisih]],0)</f>
        <v>0</v>
      </c>
    </row>
    <row r="863" spans="1:20" x14ac:dyDescent="0.25">
      <c r="A863" s="55" t="s">
        <v>1189</v>
      </c>
      <c r="B863" s="55" t="s">
        <v>862</v>
      </c>
      <c r="C863" s="55" t="s">
        <v>862</v>
      </c>
      <c r="D863" s="56" t="s">
        <v>1725</v>
      </c>
      <c r="E863" s="57"/>
      <c r="F863" s="75" t="s">
        <v>898</v>
      </c>
      <c r="G863" s="55"/>
      <c r="H863" s="58">
        <v>590910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0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0</v>
      </c>
      <c r="P863" s="55"/>
      <c r="Q863" s="62">
        <f>REKAP[[#This Row],[Harga Satuan]]*REKAP[[#This Row],[Stok Akhir]]</f>
        <v>0</v>
      </c>
      <c r="R863" s="61">
        <f>IF(REKAP[[#This Row],[Stok Aktual]]&lt;&gt;"",REKAP[[#This Row],[Stok Aktual]]-REKAP[[#This Row],[Stok Akhir]],0)</f>
        <v>0</v>
      </c>
      <c r="S863" s="132"/>
      <c r="T863" s="137">
        <f>IF(REKAP[[#This Row],[Selisih]]&lt;=-1,REKAP[[#This Row],[Harga Satuan]]*REKAP[[#This Row],[Selisih]],0)</f>
        <v>0</v>
      </c>
    </row>
    <row r="864" spans="1:20" x14ac:dyDescent="0.25">
      <c r="A864" s="55" t="s">
        <v>1190</v>
      </c>
      <c r="B864" s="55" t="s">
        <v>862</v>
      </c>
      <c r="C864" s="55" t="s">
        <v>862</v>
      </c>
      <c r="D864" s="56" t="s">
        <v>1726</v>
      </c>
      <c r="E864" s="57"/>
      <c r="F864" s="75" t="s">
        <v>898</v>
      </c>
      <c r="G864" s="55"/>
      <c r="H864" s="58">
        <v>318480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0</v>
      </c>
      <c r="K864" s="60">
        <f>REKAP[[#This Row],[Trx In]]+REKAP[[#This Row],[Trx Out]]</f>
        <v>0</v>
      </c>
      <c r="L864" s="55">
        <v>1</v>
      </c>
      <c r="M864" s="74">
        <f>SUMIF(MASUK!$C:$C,REKAP[[#This Row],[ID]],MASUK!$H:$H)</f>
        <v>0</v>
      </c>
      <c r="N864" s="74">
        <f>SUMIF(KELUAR!$C:$C,REKAP[[#This Row],[ID]],KELUAR!$H:$H)</f>
        <v>0</v>
      </c>
      <c r="O864" s="74">
        <f>REKAP[[#This Row],[Stok Awal]]+REKAP[[#This Row],[Masuk]]-REKAP[[#This Row],[Keluar]]</f>
        <v>1</v>
      </c>
      <c r="P864" s="55"/>
      <c r="Q864" s="62">
        <f>REKAP[[#This Row],[Harga Satuan]]*REKAP[[#This Row],[Stok Akhir]]</f>
        <v>318480</v>
      </c>
      <c r="R864" s="61">
        <f>IF(REKAP[[#This Row],[Stok Aktual]]&lt;&gt;"",REKAP[[#This Row],[Stok Aktual]]-REKAP[[#This Row],[Stok Akhir]],0)</f>
        <v>0</v>
      </c>
      <c r="S864" s="132"/>
      <c r="T864" s="137">
        <f>IF(REKAP[[#This Row],[Selisih]]&lt;=-1,REKAP[[#This Row],[Harga Satuan]]*REKAP[[#This Row],[Selisih]],0)</f>
        <v>0</v>
      </c>
    </row>
    <row r="865" spans="1:20" x14ac:dyDescent="0.25">
      <c r="A865" s="55" t="s">
        <v>1191</v>
      </c>
      <c r="B865" s="55" t="s">
        <v>862</v>
      </c>
      <c r="C865" s="55" t="s">
        <v>862</v>
      </c>
      <c r="D865" s="56" t="s">
        <v>1727</v>
      </c>
      <c r="E865" s="57"/>
      <c r="F865" s="75" t="s">
        <v>898</v>
      </c>
      <c r="G865" s="55"/>
      <c r="H865" s="58">
        <v>540000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0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0</v>
      </c>
      <c r="P865" s="55"/>
      <c r="Q865" s="62">
        <f>REKAP[[#This Row],[Harga Satuan]]*REKAP[[#This Row],[Stok Akhir]]</f>
        <v>0</v>
      </c>
      <c r="R865" s="61">
        <f>IF(REKAP[[#This Row],[Stok Aktual]]&lt;&gt;"",REKAP[[#This Row],[Stok Aktual]]-REKAP[[#This Row],[Stok Akhir]],0)</f>
        <v>0</v>
      </c>
      <c r="S865" s="132"/>
      <c r="T865" s="137">
        <f>IF(REKAP[[#This Row],[Selisih]]&lt;=-1,REKAP[[#This Row],[Harga Satuan]]*REKAP[[#This Row],[Selisih]],0)</f>
        <v>0</v>
      </c>
    </row>
    <row r="866" spans="1:20" x14ac:dyDescent="0.25">
      <c r="A866" s="55" t="s">
        <v>1192</v>
      </c>
      <c r="B866" s="55" t="s">
        <v>862</v>
      </c>
      <c r="C866" s="55" t="s">
        <v>862</v>
      </c>
      <c r="D866" s="56" t="s">
        <v>1728</v>
      </c>
      <c r="E866" s="57"/>
      <c r="F866" s="75" t="s">
        <v>898</v>
      </c>
      <c r="G866" s="55"/>
      <c r="H866" s="58">
        <v>1344474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0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0</v>
      </c>
      <c r="P866" s="55"/>
      <c r="Q866" s="62">
        <f>REKAP[[#This Row],[Harga Satuan]]*REKAP[[#This Row],[Stok Akhir]]</f>
        <v>0</v>
      </c>
      <c r="R866" s="61">
        <f>IF(REKAP[[#This Row],[Stok Aktual]]&lt;&gt;"",REKAP[[#This Row],[Stok Aktual]]-REKAP[[#This Row],[Stok Akhir]],0)</f>
        <v>0</v>
      </c>
      <c r="S866" s="132"/>
      <c r="T866" s="137">
        <f>IF(REKAP[[#This Row],[Selisih]]&lt;=-1,REKAP[[#This Row],[Harga Satuan]]*REKAP[[#This Row],[Selisih]],0)</f>
        <v>0</v>
      </c>
    </row>
    <row r="867" spans="1:20" x14ac:dyDescent="0.25">
      <c r="A867" s="55" t="s">
        <v>1193</v>
      </c>
      <c r="B867" s="55" t="s">
        <v>863</v>
      </c>
      <c r="C867" s="55" t="s">
        <v>863</v>
      </c>
      <c r="D867" s="56" t="s">
        <v>1729</v>
      </c>
      <c r="E867" s="57"/>
      <c r="F867" s="75" t="s">
        <v>898</v>
      </c>
      <c r="G867" s="55"/>
      <c r="H867" s="58">
        <v>21872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2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2</v>
      </c>
      <c r="P867" s="55"/>
      <c r="Q867" s="62">
        <f>REKAP[[#This Row],[Harga Satuan]]*REKAP[[#This Row],[Stok Akhir]]</f>
        <v>43744</v>
      </c>
      <c r="R867" s="61">
        <f>IF(REKAP[[#This Row],[Stok Aktual]]&lt;&gt;"",REKAP[[#This Row],[Stok Aktual]]-REKAP[[#This Row],[Stok Akhir]],0)</f>
        <v>0</v>
      </c>
      <c r="S867" s="132"/>
      <c r="T867" s="137">
        <f>IF(REKAP[[#This Row],[Selisih]]&lt;=-1,REKAP[[#This Row],[Harga Satuan]]*REKAP[[#This Row],[Selisih]],0)</f>
        <v>0</v>
      </c>
    </row>
    <row r="868" spans="1:20" x14ac:dyDescent="0.25">
      <c r="A868" s="55" t="s">
        <v>1194</v>
      </c>
      <c r="B868" s="55" t="s">
        <v>863</v>
      </c>
      <c r="C868" s="55" t="s">
        <v>863</v>
      </c>
      <c r="D868" s="56" t="s">
        <v>1730</v>
      </c>
      <c r="E868" s="57"/>
      <c r="F868" s="75" t="s">
        <v>898</v>
      </c>
      <c r="G868" s="55"/>
      <c r="H868" s="58">
        <v>40000</v>
      </c>
      <c r="I868" s="59">
        <f>IF(COUNTIF(MASUK[Kode Barang],REKAP[[#This Row],[ID]])=0,0,COUNTIF(MASUK[Kode Barang],REKAP[[#This Row],[ID]]))</f>
        <v>1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2</v>
      </c>
      <c r="L868" s="55">
        <v>0</v>
      </c>
      <c r="M868" s="74">
        <f>SUMIF(MASUK!$C:$C,REKAP[[#This Row],[ID]],MASUK!$H:$H)</f>
        <v>2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0</v>
      </c>
      <c r="P868" s="55">
        <v>0</v>
      </c>
      <c r="Q868" s="62">
        <f>REKAP[[#This Row],[Harga Satuan]]*REKAP[[#This Row],[Stok Akhir]]</f>
        <v>0</v>
      </c>
      <c r="R868" s="61">
        <f>IF(REKAP[[#This Row],[Stok Aktual]]&lt;&gt;"",REKAP[[#This Row],[Stok Aktual]]-REKAP[[#This Row],[Stok Akhir]],0)</f>
        <v>0</v>
      </c>
      <c r="S868" s="132"/>
      <c r="T868" s="137">
        <f>IF(REKAP[[#This Row],[Selisih]]&lt;=-1,REKAP[[#This Row],[Harga Satuan]]*REKAP[[#This Row],[Selisih]],0)</f>
        <v>0</v>
      </c>
    </row>
    <row r="869" spans="1:20" x14ac:dyDescent="0.25">
      <c r="A869" s="55" t="s">
        <v>1195</v>
      </c>
      <c r="B869" s="55" t="s">
        <v>863</v>
      </c>
      <c r="C869" s="55" t="s">
        <v>863</v>
      </c>
      <c r="D869" s="56" t="s">
        <v>1731</v>
      </c>
      <c r="E869" s="57"/>
      <c r="F869" s="75" t="s">
        <v>898</v>
      </c>
      <c r="G869" s="55"/>
      <c r="H869" s="58">
        <v>43000</v>
      </c>
      <c r="I869" s="59">
        <f>IF(COUNTIF(MASUK[Kode Barang],REKAP[[#This Row],[ID]])=0,0,COUNTIF(MASUK[Kode Barang],REKAP[[#This Row],[ID]]))</f>
        <v>2</v>
      </c>
      <c r="J869" s="59">
        <f>IF(COUNTIF(MASUK8[Kode Barang],REKAP[[#This Row],[ID]])=0,0,COUNTIF(MASUK8[Kode Barang],REKAP[[#This Row],[ID]]))</f>
        <v>2</v>
      </c>
      <c r="K869" s="60">
        <f>REKAP[[#This Row],[Trx In]]+REKAP[[#This Row],[Trx Out]]</f>
        <v>4</v>
      </c>
      <c r="L869" s="55">
        <v>0</v>
      </c>
      <c r="M869" s="74">
        <f>SUMIF(MASUK!$C:$C,REKAP[[#This Row],[ID]],MASUK!$H:$H)</f>
        <v>4</v>
      </c>
      <c r="N869" s="74">
        <f>SUMIF(KELUAR!$C:$C,REKAP[[#This Row],[ID]],KELUAR!$H:$H)</f>
        <v>4</v>
      </c>
      <c r="O869" s="74">
        <f>REKAP[[#This Row],[Stok Awal]]+REKAP[[#This Row],[Masuk]]-REKAP[[#This Row],[Keluar]]</f>
        <v>0</v>
      </c>
      <c r="P869" s="55">
        <v>0</v>
      </c>
      <c r="Q869" s="62">
        <f>REKAP[[#This Row],[Harga Satuan]]*REKAP[[#This Row],[Stok Akhir]]</f>
        <v>0</v>
      </c>
      <c r="R869" s="61">
        <f>IF(REKAP[[#This Row],[Stok Aktual]]&lt;&gt;"",REKAP[[#This Row],[Stok Aktual]]-REKAP[[#This Row],[Stok Akhir]],0)</f>
        <v>0</v>
      </c>
      <c r="S869" s="132"/>
      <c r="T869" s="137">
        <f>IF(REKAP[[#This Row],[Selisih]]&lt;=-1,REKAP[[#This Row],[Harga Satuan]]*REKAP[[#This Row],[Selisih]],0)</f>
        <v>0</v>
      </c>
    </row>
    <row r="870" spans="1:20" x14ac:dyDescent="0.25">
      <c r="A870" s="55" t="s">
        <v>1196</v>
      </c>
      <c r="B870" s="55" t="s">
        <v>863</v>
      </c>
      <c r="C870" s="55" t="s">
        <v>863</v>
      </c>
      <c r="D870" s="56" t="s">
        <v>1732</v>
      </c>
      <c r="E870" s="57"/>
      <c r="F870" s="75" t="s">
        <v>898</v>
      </c>
      <c r="G870" s="55"/>
      <c r="H870" s="58">
        <v>65000</v>
      </c>
      <c r="I870" s="59">
        <f>IF(COUNTIF(MASUK[Kode Barang],REKAP[[#This Row],[ID]])=0,0,COUNTIF(MASUK[Kode Barang],REKAP[[#This Row],[ID]]))</f>
        <v>1</v>
      </c>
      <c r="J870" s="59">
        <f>IF(COUNTIF(MASUK8[Kode Barang],REKAP[[#This Row],[ID]])=0,0,COUNTIF(MASUK8[Kode Barang],REKAP[[#This Row],[ID]]))</f>
        <v>2</v>
      </c>
      <c r="K870" s="60">
        <f>REKAP[[#This Row],[Trx In]]+REKAP[[#This Row],[Trx Out]]</f>
        <v>3</v>
      </c>
      <c r="L870" s="55">
        <v>1</v>
      </c>
      <c r="M870" s="74">
        <f>SUMIF(MASUK!$C:$C,REKAP[[#This Row],[ID]],MASUK!$H:$H)</f>
        <v>18</v>
      </c>
      <c r="N870" s="74">
        <f>SUMIF(KELUAR!$C:$C,REKAP[[#This Row],[ID]],KELUAR!$H:$H)</f>
        <v>18</v>
      </c>
      <c r="O870" s="74">
        <f>REKAP[[#This Row],[Stok Awal]]+REKAP[[#This Row],[Masuk]]-REKAP[[#This Row],[Keluar]]</f>
        <v>1</v>
      </c>
      <c r="P870" s="55">
        <v>1</v>
      </c>
      <c r="Q870" s="62">
        <f>REKAP[[#This Row],[Harga Satuan]]*REKAP[[#This Row],[Stok Akhir]]</f>
        <v>65000</v>
      </c>
      <c r="R870" s="61">
        <f>IF(REKAP[[#This Row],[Stok Aktual]]&lt;&gt;"",REKAP[[#This Row],[Stok Aktual]]-REKAP[[#This Row],[Stok Akhir]],0)</f>
        <v>0</v>
      </c>
      <c r="S870" s="132"/>
      <c r="T870" s="137">
        <f>IF(REKAP[[#This Row],[Selisih]]&lt;=-1,REKAP[[#This Row],[Harga Satuan]]*REKAP[[#This Row],[Selisih]],0)</f>
        <v>0</v>
      </c>
    </row>
    <row r="871" spans="1:20" x14ac:dyDescent="0.25">
      <c r="A871" s="55" t="s">
        <v>1197</v>
      </c>
      <c r="B871" s="55" t="s">
        <v>863</v>
      </c>
      <c r="C871" s="55" t="s">
        <v>863</v>
      </c>
      <c r="D871" s="56" t="s">
        <v>1733</v>
      </c>
      <c r="E871" s="57"/>
      <c r="F871" s="75" t="s">
        <v>898</v>
      </c>
      <c r="G871" s="55"/>
      <c r="H871" s="58">
        <v>170000</v>
      </c>
      <c r="I871" s="59">
        <f>IF(COUNTIF(MASUK[Kode Barang],REKAP[[#This Row],[ID]])=0,0,COUNTIF(MASUK[Kode Barang],REKAP[[#This Row],[ID]]))</f>
        <v>2</v>
      </c>
      <c r="J871" s="59">
        <f>IF(COUNTIF(MASUK8[Kode Barang],REKAP[[#This Row],[ID]])=0,0,COUNTIF(MASUK8[Kode Barang],REKAP[[#This Row],[ID]]))</f>
        <v>2</v>
      </c>
      <c r="K871" s="60">
        <f>REKAP[[#This Row],[Trx In]]+REKAP[[#This Row],[Trx Out]]</f>
        <v>4</v>
      </c>
      <c r="L871" s="55">
        <v>0</v>
      </c>
      <c r="M871" s="74">
        <f>SUMIF(MASUK!$C:$C,REKAP[[#This Row],[ID]],MASUK!$H:$H)</f>
        <v>4</v>
      </c>
      <c r="N871" s="74">
        <f>SUMIF(KELUAR!$C:$C,REKAP[[#This Row],[ID]],KELUAR!$H:$H)</f>
        <v>4</v>
      </c>
      <c r="O871" s="74">
        <f>REKAP[[#This Row],[Stok Awal]]+REKAP[[#This Row],[Masuk]]-REKAP[[#This Row],[Keluar]]</f>
        <v>0</v>
      </c>
      <c r="P871" s="55">
        <v>0</v>
      </c>
      <c r="Q871" s="62">
        <f>REKAP[[#This Row],[Harga Satuan]]*REKAP[[#This Row],[Stok Akhir]]</f>
        <v>0</v>
      </c>
      <c r="R871" s="61">
        <f>IF(REKAP[[#This Row],[Stok Aktual]]&lt;&gt;"",REKAP[[#This Row],[Stok Aktual]]-REKAP[[#This Row],[Stok Akhir]],0)</f>
        <v>0</v>
      </c>
      <c r="S871" s="132"/>
      <c r="T871" s="137">
        <f>IF(REKAP[[#This Row],[Selisih]]&lt;=-1,REKAP[[#This Row],[Harga Satuan]]*REKAP[[#This Row],[Selisih]],0)</f>
        <v>0</v>
      </c>
    </row>
    <row r="872" spans="1:20" x14ac:dyDescent="0.25">
      <c r="A872" s="55" t="s">
        <v>1198</v>
      </c>
      <c r="B872" s="55" t="s">
        <v>863</v>
      </c>
      <c r="C872" s="55" t="s">
        <v>863</v>
      </c>
      <c r="D872" s="56" t="s">
        <v>1734</v>
      </c>
      <c r="E872" s="57"/>
      <c r="F872" s="75" t="s">
        <v>898</v>
      </c>
      <c r="G872" s="55"/>
      <c r="H872" s="58">
        <v>350000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0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0</v>
      </c>
      <c r="P872" s="55"/>
      <c r="Q872" s="62">
        <f>REKAP[[#This Row],[Harga Satuan]]*REKAP[[#This Row],[Stok Akhir]]</f>
        <v>0</v>
      </c>
      <c r="R872" s="61">
        <f>IF(REKAP[[#This Row],[Stok Aktual]]&lt;&gt;"",REKAP[[#This Row],[Stok Aktual]]-REKAP[[#This Row],[Stok Akhir]],0)</f>
        <v>0</v>
      </c>
      <c r="S872" s="132"/>
      <c r="T872" s="137">
        <f>IF(REKAP[[#This Row],[Selisih]]&lt;=-1,REKAP[[#This Row],[Harga Satuan]]*REKAP[[#This Row],[Selisih]],0)</f>
        <v>0</v>
      </c>
    </row>
    <row r="873" spans="1:20" x14ac:dyDescent="0.25">
      <c r="A873" s="55" t="s">
        <v>1199</v>
      </c>
      <c r="B873" s="55" t="s">
        <v>863</v>
      </c>
      <c r="C873" s="55" t="s">
        <v>863</v>
      </c>
      <c r="D873" s="56" t="s">
        <v>1735</v>
      </c>
      <c r="E873" s="57"/>
      <c r="F873" s="75" t="s">
        <v>898</v>
      </c>
      <c r="G873" s="55"/>
      <c r="H873" s="58">
        <v>420000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4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4</v>
      </c>
      <c r="P873" s="55"/>
      <c r="Q873" s="62">
        <f>REKAP[[#This Row],[Harga Satuan]]*REKAP[[#This Row],[Stok Akhir]]</f>
        <v>1680000</v>
      </c>
      <c r="R873" s="61">
        <f>IF(REKAP[[#This Row],[Stok Aktual]]&lt;&gt;"",REKAP[[#This Row],[Stok Aktual]]-REKAP[[#This Row],[Stok Akhir]],0)</f>
        <v>0</v>
      </c>
      <c r="S873" s="132"/>
      <c r="T873" s="137">
        <f>IF(REKAP[[#This Row],[Selisih]]&lt;=-1,REKAP[[#This Row],[Harga Satuan]]*REKAP[[#This Row],[Selisih]],0)</f>
        <v>0</v>
      </c>
    </row>
    <row r="874" spans="1:20" x14ac:dyDescent="0.25">
      <c r="A874" s="55" t="s">
        <v>1200</v>
      </c>
      <c r="B874" s="55" t="s">
        <v>864</v>
      </c>
      <c r="C874" s="55" t="s">
        <v>864</v>
      </c>
      <c r="D874" s="56" t="s">
        <v>1736</v>
      </c>
      <c r="E874" s="57"/>
      <c r="F874" s="75" t="s">
        <v>898</v>
      </c>
      <c r="G874" s="55" t="s">
        <v>1973</v>
      </c>
      <c r="H874" s="58">
        <v>15900</v>
      </c>
      <c r="I874" s="59">
        <f>IF(COUNTIF(MASUK[Kode Barang],REKAP[[#This Row],[ID]])=0,0,COUNTIF(MASUK[Kode Barang],REKAP[[#This Row],[ID]]))</f>
        <v>1</v>
      </c>
      <c r="J874" s="59">
        <f>IF(COUNTIF(MASUK8[Kode Barang],REKAP[[#This Row],[ID]])=0,0,COUNTIF(MASUK8[Kode Barang],REKAP[[#This Row],[ID]]))</f>
        <v>1</v>
      </c>
      <c r="K874" s="60">
        <f>REKAP[[#This Row],[Trx In]]+REKAP[[#This Row],[Trx Out]]</f>
        <v>2</v>
      </c>
      <c r="L874" s="55">
        <v>0</v>
      </c>
      <c r="M874" s="74">
        <f>SUMIF(MASUK!$C:$C,REKAP[[#This Row],[ID]],MASUK!$H:$H)</f>
        <v>19</v>
      </c>
      <c r="N874" s="74">
        <f>SUMIF(KELUAR!$C:$C,REKAP[[#This Row],[ID]],KELUAR!$H:$H)</f>
        <v>19</v>
      </c>
      <c r="O874" s="74">
        <f>REKAP[[#This Row],[Stok Awal]]+REKAP[[#This Row],[Masuk]]-REKAP[[#This Row],[Keluar]]</f>
        <v>0</v>
      </c>
      <c r="P874" s="55">
        <v>0</v>
      </c>
      <c r="Q874" s="62">
        <f>REKAP[[#This Row],[Harga Satuan]]*REKAP[[#This Row],[Stok Akhir]]</f>
        <v>0</v>
      </c>
      <c r="R874" s="61">
        <f>IF(REKAP[[#This Row],[Stok Aktual]]&lt;&gt;"",REKAP[[#This Row],[Stok Aktual]]-REKAP[[#This Row],[Stok Akhir]],0)</f>
        <v>0</v>
      </c>
      <c r="S874" s="132"/>
      <c r="T874" s="137">
        <f>IF(REKAP[[#This Row],[Selisih]]&lt;=-1,REKAP[[#This Row],[Harga Satuan]]*REKAP[[#This Row],[Selisih]],0)</f>
        <v>0</v>
      </c>
    </row>
    <row r="875" spans="1:20" x14ac:dyDescent="0.25">
      <c r="A875" s="55" t="s">
        <v>1201</v>
      </c>
      <c r="B875" s="55" t="s">
        <v>865</v>
      </c>
      <c r="C875" s="55" t="s">
        <v>865</v>
      </c>
      <c r="D875" s="56" t="s">
        <v>1737</v>
      </c>
      <c r="E875" s="57"/>
      <c r="F875" s="75" t="s">
        <v>898</v>
      </c>
      <c r="G875" s="55"/>
      <c r="H875" s="58">
        <v>106112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0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0</v>
      </c>
      <c r="P875" s="55"/>
      <c r="Q875" s="62">
        <f>REKAP[[#This Row],[Harga Satuan]]*REKAP[[#This Row],[Stok Akhir]]</f>
        <v>0</v>
      </c>
      <c r="R875" s="61">
        <f>IF(REKAP[[#This Row],[Stok Aktual]]&lt;&gt;"",REKAP[[#This Row],[Stok Aktual]]-REKAP[[#This Row],[Stok Akhir]],0)</f>
        <v>0</v>
      </c>
      <c r="S875" s="132"/>
      <c r="T875" s="137">
        <f>IF(REKAP[[#This Row],[Selisih]]&lt;=-1,REKAP[[#This Row],[Harga Satuan]]*REKAP[[#This Row],[Selisih]],0)</f>
        <v>0</v>
      </c>
    </row>
    <row r="876" spans="1:20" x14ac:dyDescent="0.25">
      <c r="A876" s="55" t="s">
        <v>1202</v>
      </c>
      <c r="B876" s="55" t="s">
        <v>865</v>
      </c>
      <c r="C876" s="55" t="s">
        <v>865</v>
      </c>
      <c r="D876" s="56" t="s">
        <v>1738</v>
      </c>
      <c r="E876" s="57"/>
      <c r="F876" s="75" t="s">
        <v>898</v>
      </c>
      <c r="G876" s="55"/>
      <c r="H876" s="58">
        <v>93000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0</v>
      </c>
      <c r="P876" s="55"/>
      <c r="Q876" s="62">
        <f>REKAP[[#This Row],[Harga Satuan]]*REKAP[[#This Row],[Stok Akhir]]</f>
        <v>0</v>
      </c>
      <c r="R876" s="61">
        <f>IF(REKAP[[#This Row],[Stok Aktual]]&lt;&gt;"",REKAP[[#This Row],[Stok Aktual]]-REKAP[[#This Row],[Stok Akhir]],0)</f>
        <v>0</v>
      </c>
      <c r="S876" s="132"/>
      <c r="T876" s="137">
        <f>IF(REKAP[[#This Row],[Selisih]]&lt;=-1,REKAP[[#This Row],[Harga Satuan]]*REKAP[[#This Row],[Selisih]],0)</f>
        <v>0</v>
      </c>
    </row>
    <row r="877" spans="1:20" x14ac:dyDescent="0.25">
      <c r="A877" s="55" t="s">
        <v>1203</v>
      </c>
      <c r="B877" s="55" t="s">
        <v>865</v>
      </c>
      <c r="C877" s="55" t="s">
        <v>865</v>
      </c>
      <c r="D877" s="56" t="s">
        <v>1739</v>
      </c>
      <c r="E877" s="57"/>
      <c r="F877" s="75" t="s">
        <v>898</v>
      </c>
      <c r="G877" s="55"/>
      <c r="H877" s="58">
        <v>94000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0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0</v>
      </c>
      <c r="P877" s="55"/>
      <c r="Q877" s="62">
        <f>REKAP[[#This Row],[Harga Satuan]]*REKAP[[#This Row],[Stok Akhir]]</f>
        <v>0</v>
      </c>
      <c r="R877" s="61">
        <f>IF(REKAP[[#This Row],[Stok Aktual]]&lt;&gt;"",REKAP[[#This Row],[Stok Aktual]]-REKAP[[#This Row],[Stok Akhir]],0)</f>
        <v>0</v>
      </c>
      <c r="S877" s="132"/>
      <c r="T877" s="137">
        <f>IF(REKAP[[#This Row],[Selisih]]&lt;=-1,REKAP[[#This Row],[Harga Satuan]]*REKAP[[#This Row],[Selisih]],0)</f>
        <v>0</v>
      </c>
    </row>
    <row r="878" spans="1:20" x14ac:dyDescent="0.25">
      <c r="A878" s="55" t="s">
        <v>1204</v>
      </c>
      <c r="B878" s="55" t="s">
        <v>865</v>
      </c>
      <c r="C878" s="55" t="s">
        <v>865</v>
      </c>
      <c r="D878" s="56" t="s">
        <v>1740</v>
      </c>
      <c r="E878" s="57"/>
      <c r="F878" s="75" t="s">
        <v>898</v>
      </c>
      <c r="G878" s="55"/>
      <c r="H878" s="58">
        <v>110000</v>
      </c>
      <c r="I878" s="59">
        <f>IF(COUNTIF(MASUK[Kode Barang],REKAP[[#This Row],[ID]])=0,0,COUNTIF(MASUK[Kode Barang],REKAP[[#This Row],[ID]]))</f>
        <v>1</v>
      </c>
      <c r="J878" s="59">
        <f>IF(COUNTIF(MASUK8[Kode Barang],REKAP[[#This Row],[ID]])=0,0,COUNTIF(MASUK8[Kode Barang],REKAP[[#This Row],[ID]]))</f>
        <v>1</v>
      </c>
      <c r="K878" s="60">
        <f>REKAP[[#This Row],[Trx In]]+REKAP[[#This Row],[Trx Out]]</f>
        <v>2</v>
      </c>
      <c r="L878" s="55">
        <v>0</v>
      </c>
      <c r="M878" s="74">
        <f>SUMIF(MASUK!$C:$C,REKAP[[#This Row],[ID]],MASUK!$H:$H)</f>
        <v>2</v>
      </c>
      <c r="N878" s="74">
        <f>SUMIF(KELUAR!$C:$C,REKAP[[#This Row],[ID]],KELUAR!$H:$H)</f>
        <v>2</v>
      </c>
      <c r="O878" s="74">
        <f>REKAP[[#This Row],[Stok Awal]]+REKAP[[#This Row],[Masuk]]-REKAP[[#This Row],[Keluar]]</f>
        <v>0</v>
      </c>
      <c r="P878" s="55">
        <v>0</v>
      </c>
      <c r="Q878" s="62">
        <f>REKAP[[#This Row],[Harga Satuan]]*REKAP[[#This Row],[Stok Akhir]]</f>
        <v>0</v>
      </c>
      <c r="R878" s="61">
        <f>IF(REKAP[[#This Row],[Stok Aktual]]&lt;&gt;"",REKAP[[#This Row],[Stok Aktual]]-REKAP[[#This Row],[Stok Akhir]],0)</f>
        <v>0</v>
      </c>
      <c r="S878" s="132"/>
      <c r="T878" s="137">
        <f>IF(REKAP[[#This Row],[Selisih]]&lt;=-1,REKAP[[#This Row],[Harga Satuan]]*REKAP[[#This Row],[Selisih]],0)</f>
        <v>0</v>
      </c>
    </row>
    <row r="879" spans="1:20" x14ac:dyDescent="0.25">
      <c r="A879" s="55" t="s">
        <v>1205</v>
      </c>
      <c r="B879" s="55" t="s">
        <v>865</v>
      </c>
      <c r="C879" s="55" t="s">
        <v>865</v>
      </c>
      <c r="D879" s="56" t="s">
        <v>1741</v>
      </c>
      <c r="E879" s="57"/>
      <c r="F879" s="75" t="s">
        <v>898</v>
      </c>
      <c r="G879" s="55"/>
      <c r="H879" s="58">
        <v>126000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</v>
      </c>
      <c r="P879" s="55"/>
      <c r="Q879" s="62">
        <f>REKAP[[#This Row],[Harga Satuan]]*REKAP[[#This Row],[Stok Akhir]]</f>
        <v>252000</v>
      </c>
      <c r="R879" s="61">
        <f>IF(REKAP[[#This Row],[Stok Aktual]]&lt;&gt;"",REKAP[[#This Row],[Stok Aktual]]-REKAP[[#This Row],[Stok Akhir]],0)</f>
        <v>0</v>
      </c>
      <c r="S879" s="132"/>
      <c r="T879" s="137">
        <f>IF(REKAP[[#This Row],[Selisih]]&lt;=-1,REKAP[[#This Row],[Harga Satuan]]*REKAP[[#This Row],[Selisih]],0)</f>
        <v>0</v>
      </c>
    </row>
    <row r="880" spans="1:20" x14ac:dyDescent="0.25">
      <c r="A880" s="55" t="s">
        <v>1206</v>
      </c>
      <c r="B880" s="55" t="s">
        <v>865</v>
      </c>
      <c r="C880" s="55" t="s">
        <v>865</v>
      </c>
      <c r="D880" s="56" t="s">
        <v>1742</v>
      </c>
      <c r="E880" s="57"/>
      <c r="F880" s="75" t="s">
        <v>898</v>
      </c>
      <c r="G880" s="55"/>
      <c r="H880" s="58">
        <v>105872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0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0</v>
      </c>
      <c r="P880" s="55"/>
      <c r="Q880" s="62">
        <f>REKAP[[#This Row],[Harga Satuan]]*REKAP[[#This Row],[Stok Akhir]]</f>
        <v>0</v>
      </c>
      <c r="R880" s="61">
        <f>IF(REKAP[[#This Row],[Stok Aktual]]&lt;&gt;"",REKAP[[#This Row],[Stok Aktual]]-REKAP[[#This Row],[Stok Akhir]],0)</f>
        <v>0</v>
      </c>
      <c r="S880" s="132"/>
      <c r="T880" s="137">
        <f>IF(REKAP[[#This Row],[Selisih]]&lt;=-1,REKAP[[#This Row],[Harga Satuan]]*REKAP[[#This Row],[Selisih]],0)</f>
        <v>0</v>
      </c>
    </row>
    <row r="881" spans="1:20" x14ac:dyDescent="0.25">
      <c r="A881" s="55" t="s">
        <v>1207</v>
      </c>
      <c r="B881" s="55" t="s">
        <v>865</v>
      </c>
      <c r="C881" s="55" t="s">
        <v>865</v>
      </c>
      <c r="D881" s="56" t="s">
        <v>1743</v>
      </c>
      <c r="E881" s="57"/>
      <c r="F881" s="75" t="s">
        <v>898</v>
      </c>
      <c r="G881" s="55"/>
      <c r="H881" s="58">
        <v>114000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0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0</v>
      </c>
      <c r="P881" s="55"/>
      <c r="Q881" s="62">
        <f>REKAP[[#This Row],[Harga Satuan]]*REKAP[[#This Row],[Stok Akhir]]</f>
        <v>0</v>
      </c>
      <c r="R881" s="61">
        <f>IF(REKAP[[#This Row],[Stok Aktual]]&lt;&gt;"",REKAP[[#This Row],[Stok Aktual]]-REKAP[[#This Row],[Stok Akhir]],0)</f>
        <v>0</v>
      </c>
      <c r="S881" s="132"/>
      <c r="T881" s="137">
        <f>IF(REKAP[[#This Row],[Selisih]]&lt;=-1,REKAP[[#This Row],[Harga Satuan]]*REKAP[[#This Row],[Selisih]],0)</f>
        <v>0</v>
      </c>
    </row>
    <row r="882" spans="1:20" x14ac:dyDescent="0.25">
      <c r="A882" s="55" t="s">
        <v>1208</v>
      </c>
      <c r="B882" s="55" t="s">
        <v>865</v>
      </c>
      <c r="C882" s="55" t="s">
        <v>865</v>
      </c>
      <c r="D882" s="56" t="s">
        <v>1744</v>
      </c>
      <c r="E882" s="57"/>
      <c r="F882" s="75" t="s">
        <v>898</v>
      </c>
      <c r="G882" s="55"/>
      <c r="H882" s="58">
        <v>107580</v>
      </c>
      <c r="I882" s="59">
        <f>IF(COUNTIF(MASUK[Kode Barang],REKAP[[#This Row],[ID]])=0,0,COUNTIF(MASUK[Kode Barang],REKAP[[#This Row],[ID]]))</f>
        <v>1</v>
      </c>
      <c r="J882" s="59">
        <f>IF(COUNTIF(MASUK8[Kode Barang],REKAP[[#This Row],[ID]])=0,0,COUNTIF(MASUK8[Kode Barang],REKAP[[#This Row],[ID]]))</f>
        <v>1</v>
      </c>
      <c r="K882" s="60">
        <f>REKAP[[#This Row],[Trx In]]+REKAP[[#This Row],[Trx Out]]</f>
        <v>2</v>
      </c>
      <c r="L882" s="55">
        <v>0</v>
      </c>
      <c r="M882" s="74">
        <f>SUMIF(MASUK!$C:$C,REKAP[[#This Row],[ID]],MASUK!$H:$H)</f>
        <v>4</v>
      </c>
      <c r="N882" s="74">
        <f>SUMIF(KELUAR!$C:$C,REKAP[[#This Row],[ID]],KELUAR!$H:$H)</f>
        <v>4</v>
      </c>
      <c r="O882" s="74">
        <f>REKAP[[#This Row],[Stok Awal]]+REKAP[[#This Row],[Masuk]]-REKAP[[#This Row],[Keluar]]</f>
        <v>0</v>
      </c>
      <c r="P882" s="55">
        <v>0</v>
      </c>
      <c r="Q882" s="62">
        <f>REKAP[[#This Row],[Harga Satuan]]*REKAP[[#This Row],[Stok Akhir]]</f>
        <v>0</v>
      </c>
      <c r="R882" s="61">
        <f>IF(REKAP[[#This Row],[Stok Aktual]]&lt;&gt;"",REKAP[[#This Row],[Stok Aktual]]-REKAP[[#This Row],[Stok Akhir]],0)</f>
        <v>0</v>
      </c>
      <c r="S882" s="132"/>
      <c r="T882" s="137">
        <f>IF(REKAP[[#This Row],[Selisih]]&lt;=-1,REKAP[[#This Row],[Harga Satuan]]*REKAP[[#This Row],[Selisih]],0)</f>
        <v>0</v>
      </c>
    </row>
    <row r="883" spans="1:20" x14ac:dyDescent="0.25">
      <c r="A883" s="55" t="s">
        <v>1209</v>
      </c>
      <c r="B883" s="55" t="s">
        <v>865</v>
      </c>
      <c r="C883" s="55" t="s">
        <v>865</v>
      </c>
      <c r="D883" s="56" t="s">
        <v>1745</v>
      </c>
      <c r="E883" s="57"/>
      <c r="F883" s="75" t="s">
        <v>898</v>
      </c>
      <c r="G883" s="55"/>
      <c r="H883" s="58">
        <v>205000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2</v>
      </c>
      <c r="P883" s="55"/>
      <c r="Q883" s="62">
        <f>REKAP[[#This Row],[Harga Satuan]]*REKAP[[#This Row],[Stok Akhir]]</f>
        <v>410000</v>
      </c>
      <c r="R883" s="61">
        <f>IF(REKAP[[#This Row],[Stok Aktual]]&lt;&gt;"",REKAP[[#This Row],[Stok Aktual]]-REKAP[[#This Row],[Stok Akhir]],0)</f>
        <v>0</v>
      </c>
      <c r="S883" s="132"/>
      <c r="T883" s="137">
        <f>IF(REKAP[[#This Row],[Selisih]]&lt;=-1,REKAP[[#This Row],[Harga Satuan]]*REKAP[[#This Row],[Selisih]],0)</f>
        <v>0</v>
      </c>
    </row>
    <row r="884" spans="1:20" x14ac:dyDescent="0.25">
      <c r="A884" s="55" t="s">
        <v>1210</v>
      </c>
      <c r="B884" s="55" t="s">
        <v>865</v>
      </c>
      <c r="C884" s="55" t="s">
        <v>865</v>
      </c>
      <c r="D884" s="56" t="s">
        <v>1746</v>
      </c>
      <c r="E884" s="57"/>
      <c r="F884" s="75" t="s">
        <v>898</v>
      </c>
      <c r="G884" s="55"/>
      <c r="H884" s="58">
        <v>47476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4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4</v>
      </c>
      <c r="P884" s="55"/>
      <c r="Q884" s="62">
        <f>REKAP[[#This Row],[Harga Satuan]]*REKAP[[#This Row],[Stok Akhir]]</f>
        <v>189904</v>
      </c>
      <c r="R884" s="61">
        <f>IF(REKAP[[#This Row],[Stok Aktual]]&lt;&gt;"",REKAP[[#This Row],[Stok Aktual]]-REKAP[[#This Row],[Stok Akhir]],0)</f>
        <v>0</v>
      </c>
      <c r="S884" s="132"/>
      <c r="T884" s="137">
        <f>IF(REKAP[[#This Row],[Selisih]]&lt;=-1,REKAP[[#This Row],[Harga Satuan]]*REKAP[[#This Row],[Selisih]],0)</f>
        <v>0</v>
      </c>
    </row>
    <row r="885" spans="1:20" x14ac:dyDescent="0.25">
      <c r="A885" s="55" t="s">
        <v>1211</v>
      </c>
      <c r="B885" s="55" t="s">
        <v>865</v>
      </c>
      <c r="C885" s="55" t="s">
        <v>865</v>
      </c>
      <c r="D885" s="56" t="s">
        <v>1747</v>
      </c>
      <c r="E885" s="57"/>
      <c r="F885" s="75" t="s">
        <v>898</v>
      </c>
      <c r="G885" s="55"/>
      <c r="H885" s="58">
        <v>67635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0</v>
      </c>
      <c r="P885" s="55"/>
      <c r="Q885" s="62">
        <f>REKAP[[#This Row],[Harga Satuan]]*REKAP[[#This Row],[Stok Akhir]]</f>
        <v>0</v>
      </c>
      <c r="R885" s="61">
        <f>IF(REKAP[[#This Row],[Stok Aktual]]&lt;&gt;"",REKAP[[#This Row],[Stok Aktual]]-REKAP[[#This Row],[Stok Akhir]],0)</f>
        <v>0</v>
      </c>
      <c r="S885" s="132"/>
      <c r="T885" s="137">
        <f>IF(REKAP[[#This Row],[Selisih]]&lt;=-1,REKAP[[#This Row],[Harga Satuan]]*REKAP[[#This Row],[Selisih]],0)</f>
        <v>0</v>
      </c>
    </row>
    <row r="886" spans="1:20" x14ac:dyDescent="0.25">
      <c r="A886" s="55" t="s">
        <v>1212</v>
      </c>
      <c r="B886" s="55" t="s">
        <v>865</v>
      </c>
      <c r="C886" s="55" t="s">
        <v>865</v>
      </c>
      <c r="D886" s="56" t="s">
        <v>1748</v>
      </c>
      <c r="E886" s="57"/>
      <c r="F886" s="75" t="s">
        <v>898</v>
      </c>
      <c r="G886" s="55"/>
      <c r="H886" s="58">
        <v>73060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0</v>
      </c>
      <c r="K886" s="60">
        <f>REKAP[[#This Row],[Trx In]]+REKAP[[#This Row],[Trx Out]]</f>
        <v>0</v>
      </c>
      <c r="L886" s="55">
        <v>1</v>
      </c>
      <c r="M886" s="74">
        <f>SUMIF(MASUK!$C:$C,REKAP[[#This Row],[ID]],MASUK!$H:$H)</f>
        <v>0</v>
      </c>
      <c r="N886" s="74">
        <f>SUMIF(KELUAR!$C:$C,REKAP[[#This Row],[ID]],KELUAR!$H:$H)</f>
        <v>0</v>
      </c>
      <c r="O886" s="74">
        <f>REKAP[[#This Row],[Stok Awal]]+REKAP[[#This Row],[Masuk]]-REKAP[[#This Row],[Keluar]]</f>
        <v>1</v>
      </c>
      <c r="P886" s="55"/>
      <c r="Q886" s="62">
        <f>REKAP[[#This Row],[Harga Satuan]]*REKAP[[#This Row],[Stok Akhir]]</f>
        <v>73060</v>
      </c>
      <c r="R886" s="61">
        <f>IF(REKAP[[#This Row],[Stok Aktual]]&lt;&gt;"",REKAP[[#This Row],[Stok Aktual]]-REKAP[[#This Row],[Stok Akhir]],0)</f>
        <v>0</v>
      </c>
      <c r="S886" s="132"/>
      <c r="T886" s="137">
        <f>IF(REKAP[[#This Row],[Selisih]]&lt;=-1,REKAP[[#This Row],[Harga Satuan]]*REKAP[[#This Row],[Selisih]],0)</f>
        <v>0</v>
      </c>
    </row>
    <row r="887" spans="1:20" x14ac:dyDescent="0.25">
      <c r="A887" s="55" t="s">
        <v>1213</v>
      </c>
      <c r="B887" s="55" t="s">
        <v>865</v>
      </c>
      <c r="C887" s="55" t="s">
        <v>865</v>
      </c>
      <c r="D887" s="56" t="s">
        <v>1749</v>
      </c>
      <c r="E887" s="57"/>
      <c r="F887" s="75" t="s">
        <v>898</v>
      </c>
      <c r="G887" s="55"/>
      <c r="H887" s="58">
        <v>75000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0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0</v>
      </c>
      <c r="P887" s="55"/>
      <c r="Q887" s="62">
        <f>REKAP[[#This Row],[Harga Satuan]]*REKAP[[#This Row],[Stok Akhir]]</f>
        <v>0</v>
      </c>
      <c r="R887" s="61">
        <f>IF(REKAP[[#This Row],[Stok Aktual]]&lt;&gt;"",REKAP[[#This Row],[Stok Aktual]]-REKAP[[#This Row],[Stok Akhir]],0)</f>
        <v>0</v>
      </c>
      <c r="S887" s="132"/>
      <c r="T887" s="137">
        <f>IF(REKAP[[#This Row],[Selisih]]&lt;=-1,REKAP[[#This Row],[Harga Satuan]]*REKAP[[#This Row],[Selisih]],0)</f>
        <v>0</v>
      </c>
    </row>
    <row r="888" spans="1:20" x14ac:dyDescent="0.25">
      <c r="A888" s="55" t="s">
        <v>1214</v>
      </c>
      <c r="B888" s="55" t="s">
        <v>865</v>
      </c>
      <c r="C888" s="55" t="s">
        <v>865</v>
      </c>
      <c r="D888" s="56" t="s">
        <v>1750</v>
      </c>
      <c r="E888" s="57"/>
      <c r="F888" s="75" t="s">
        <v>898</v>
      </c>
      <c r="G888" s="55"/>
      <c r="H888" s="58"/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0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0</v>
      </c>
      <c r="P888" s="55"/>
      <c r="Q888" s="62">
        <f>REKAP[[#This Row],[Harga Satuan]]*REKAP[[#This Row],[Stok Akhir]]</f>
        <v>0</v>
      </c>
      <c r="R888" s="61">
        <f>IF(REKAP[[#This Row],[Stok Aktual]]&lt;&gt;"",REKAP[[#This Row],[Stok Aktual]]-REKAP[[#This Row],[Stok Akhir]],0)</f>
        <v>0</v>
      </c>
      <c r="S888" s="132"/>
      <c r="T888" s="137">
        <f>IF(REKAP[[#This Row],[Selisih]]&lt;=-1,REKAP[[#This Row],[Harga Satuan]]*REKAP[[#This Row],[Selisih]],0)</f>
        <v>0</v>
      </c>
    </row>
    <row r="889" spans="1:20" x14ac:dyDescent="0.25">
      <c r="A889" s="55" t="s">
        <v>1215</v>
      </c>
      <c r="B889" s="55" t="s">
        <v>865</v>
      </c>
      <c r="C889" s="55" t="s">
        <v>865</v>
      </c>
      <c r="D889" s="56" t="s">
        <v>1751</v>
      </c>
      <c r="E889" s="57"/>
      <c r="F889" s="75" t="s">
        <v>898</v>
      </c>
      <c r="G889" s="55"/>
      <c r="H889" s="58">
        <v>64500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4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4</v>
      </c>
      <c r="P889" s="55"/>
      <c r="Q889" s="62">
        <f>REKAP[[#This Row],[Harga Satuan]]*REKAP[[#This Row],[Stok Akhir]]</f>
        <v>258000</v>
      </c>
      <c r="R889" s="61">
        <f>IF(REKAP[[#This Row],[Stok Aktual]]&lt;&gt;"",REKAP[[#This Row],[Stok Aktual]]-REKAP[[#This Row],[Stok Akhir]],0)</f>
        <v>0</v>
      </c>
      <c r="S889" s="132"/>
      <c r="T889" s="137">
        <f>IF(REKAP[[#This Row],[Selisih]]&lt;=-1,REKAP[[#This Row],[Harga Satuan]]*REKAP[[#This Row],[Selisih]],0)</f>
        <v>0</v>
      </c>
    </row>
    <row r="890" spans="1:20" x14ac:dyDescent="0.25">
      <c r="A890" s="55" t="s">
        <v>1216</v>
      </c>
      <c r="B890" s="55" t="s">
        <v>865</v>
      </c>
      <c r="C890" s="55" t="s">
        <v>865</v>
      </c>
      <c r="D890" s="56" t="s">
        <v>1752</v>
      </c>
      <c r="E890" s="57"/>
      <c r="F890" s="75" t="s">
        <v>898</v>
      </c>
      <c r="G890" s="55"/>
      <c r="H890" s="58">
        <v>107751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0</v>
      </c>
      <c r="P890" s="55"/>
      <c r="Q890" s="62">
        <f>REKAP[[#This Row],[Harga Satuan]]*REKAP[[#This Row],[Stok Akhir]]</f>
        <v>0</v>
      </c>
      <c r="R890" s="61">
        <f>IF(REKAP[[#This Row],[Stok Aktual]]&lt;&gt;"",REKAP[[#This Row],[Stok Aktual]]-REKAP[[#This Row],[Stok Akhir]],0)</f>
        <v>0</v>
      </c>
      <c r="S890" s="132"/>
      <c r="T890" s="137">
        <f>IF(REKAP[[#This Row],[Selisih]]&lt;=-1,REKAP[[#This Row],[Harga Satuan]]*REKAP[[#This Row],[Selisih]],0)</f>
        <v>0</v>
      </c>
    </row>
    <row r="891" spans="1:20" x14ac:dyDescent="0.25">
      <c r="A891" s="55" t="s">
        <v>1217</v>
      </c>
      <c r="B891" s="55" t="s">
        <v>865</v>
      </c>
      <c r="C891" s="55" t="s">
        <v>865</v>
      </c>
      <c r="D891" s="56" t="s">
        <v>1753</v>
      </c>
      <c r="E891" s="57"/>
      <c r="F891" s="75" t="s">
        <v>898</v>
      </c>
      <c r="G891" s="55"/>
      <c r="H891" s="58"/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0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0</v>
      </c>
      <c r="P891" s="55"/>
      <c r="Q891" s="62">
        <f>REKAP[[#This Row],[Harga Satuan]]*REKAP[[#This Row],[Stok Akhir]]</f>
        <v>0</v>
      </c>
      <c r="R891" s="61">
        <f>IF(REKAP[[#This Row],[Stok Aktual]]&lt;&gt;"",REKAP[[#This Row],[Stok Aktual]]-REKAP[[#This Row],[Stok Akhir]],0)</f>
        <v>0</v>
      </c>
      <c r="S891" s="132"/>
      <c r="T891" s="137">
        <f>IF(REKAP[[#This Row],[Selisih]]&lt;=-1,REKAP[[#This Row],[Harga Satuan]]*REKAP[[#This Row],[Selisih]],0)</f>
        <v>0</v>
      </c>
    </row>
    <row r="892" spans="1:20" x14ac:dyDescent="0.25">
      <c r="A892" s="55" t="s">
        <v>1218</v>
      </c>
      <c r="B892" s="55" t="s">
        <v>865</v>
      </c>
      <c r="C892" s="55" t="s">
        <v>865</v>
      </c>
      <c r="D892" s="56" t="s">
        <v>1754</v>
      </c>
      <c r="E892" s="57"/>
      <c r="F892" s="75" t="s">
        <v>898</v>
      </c>
      <c r="G892" s="55"/>
      <c r="H892" s="58"/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0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0</v>
      </c>
      <c r="P892" s="55"/>
      <c r="Q892" s="62">
        <f>REKAP[[#This Row],[Harga Satuan]]*REKAP[[#This Row],[Stok Akhir]]</f>
        <v>0</v>
      </c>
      <c r="R892" s="61">
        <f>IF(REKAP[[#This Row],[Stok Aktual]]&lt;&gt;"",REKAP[[#This Row],[Stok Aktual]]-REKAP[[#This Row],[Stok Akhir]],0)</f>
        <v>0</v>
      </c>
      <c r="S892" s="132"/>
      <c r="T892" s="137">
        <f>IF(REKAP[[#This Row],[Selisih]]&lt;=-1,REKAP[[#This Row],[Harga Satuan]]*REKAP[[#This Row],[Selisih]],0)</f>
        <v>0</v>
      </c>
    </row>
    <row r="893" spans="1:20" x14ac:dyDescent="0.25">
      <c r="A893" s="55" t="s">
        <v>1219</v>
      </c>
      <c r="B893" s="55" t="s">
        <v>865</v>
      </c>
      <c r="C893" s="55" t="s">
        <v>865</v>
      </c>
      <c r="D893" s="56" t="s">
        <v>1755</v>
      </c>
      <c r="E893" s="57"/>
      <c r="F893" s="75" t="s">
        <v>898</v>
      </c>
      <c r="G893" s="55"/>
      <c r="H893" s="58"/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>
        <f>IF(REKAP[[#This Row],[Stok Aktual]]&lt;&gt;"",REKAP[[#This Row],[Stok Aktual]]-REKAP[[#This Row],[Stok Akhir]],0)</f>
        <v>0</v>
      </c>
      <c r="S893" s="132"/>
      <c r="T893" s="137">
        <f>IF(REKAP[[#This Row],[Selisih]]&lt;=-1,REKAP[[#This Row],[Harga Satuan]]*REKAP[[#This Row],[Selisih]],0)</f>
        <v>0</v>
      </c>
    </row>
    <row r="894" spans="1:20" x14ac:dyDescent="0.25">
      <c r="A894" s="55" t="s">
        <v>1220</v>
      </c>
      <c r="B894" s="55" t="s">
        <v>865</v>
      </c>
      <c r="C894" s="55" t="s">
        <v>865</v>
      </c>
      <c r="D894" s="56" t="s">
        <v>1756</v>
      </c>
      <c r="E894" s="57"/>
      <c r="F894" s="75" t="s">
        <v>898</v>
      </c>
      <c r="G894" s="55"/>
      <c r="H894" s="58"/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4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4</v>
      </c>
      <c r="P894" s="55"/>
      <c r="Q894" s="62">
        <f>REKAP[[#This Row],[Harga Satuan]]*REKAP[[#This Row],[Stok Akhir]]</f>
        <v>0</v>
      </c>
      <c r="R894" s="61">
        <f>IF(REKAP[[#This Row],[Stok Aktual]]&lt;&gt;"",REKAP[[#This Row],[Stok Aktual]]-REKAP[[#This Row],[Stok Akhir]],0)</f>
        <v>0</v>
      </c>
      <c r="S894" s="132"/>
      <c r="T894" s="137">
        <f>IF(REKAP[[#This Row],[Selisih]]&lt;=-1,REKAP[[#This Row],[Harga Satuan]]*REKAP[[#This Row],[Selisih]],0)</f>
        <v>0</v>
      </c>
    </row>
    <row r="895" spans="1:20" x14ac:dyDescent="0.25">
      <c r="A895" s="55" t="s">
        <v>1221</v>
      </c>
      <c r="B895" s="55" t="s">
        <v>865</v>
      </c>
      <c r="C895" s="55" t="s">
        <v>865</v>
      </c>
      <c r="D895" s="56" t="s">
        <v>1757</v>
      </c>
      <c r="E895" s="57"/>
      <c r="F895" s="75" t="s">
        <v>898</v>
      </c>
      <c r="G895" s="55"/>
      <c r="H895" s="58"/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>
        <f>IF(REKAP[[#This Row],[Stok Aktual]]&lt;&gt;"",REKAP[[#This Row],[Stok Aktual]]-REKAP[[#This Row],[Stok Akhir]],0)</f>
        <v>0</v>
      </c>
      <c r="S895" s="132"/>
      <c r="T895" s="137">
        <f>IF(REKAP[[#This Row],[Selisih]]&lt;=-1,REKAP[[#This Row],[Harga Satuan]]*REKAP[[#This Row],[Selisih]],0)</f>
        <v>0</v>
      </c>
    </row>
    <row r="896" spans="1:20" x14ac:dyDescent="0.25">
      <c r="A896" s="55" t="s">
        <v>1222</v>
      </c>
      <c r="B896" s="55" t="s">
        <v>865</v>
      </c>
      <c r="C896" s="55" t="s">
        <v>865</v>
      </c>
      <c r="D896" s="56" t="s">
        <v>1758</v>
      </c>
      <c r="E896" s="57"/>
      <c r="F896" s="75" t="s">
        <v>898</v>
      </c>
      <c r="G896" s="55"/>
      <c r="H896" s="58">
        <v>135000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0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0</v>
      </c>
      <c r="P896" s="55"/>
      <c r="Q896" s="62">
        <f>REKAP[[#This Row],[Harga Satuan]]*REKAP[[#This Row],[Stok Akhir]]</f>
        <v>0</v>
      </c>
      <c r="R896" s="61">
        <f>IF(REKAP[[#This Row],[Stok Aktual]]&lt;&gt;"",REKAP[[#This Row],[Stok Aktual]]-REKAP[[#This Row],[Stok Akhir]],0)</f>
        <v>0</v>
      </c>
      <c r="S896" s="132"/>
      <c r="T896" s="137">
        <f>IF(REKAP[[#This Row],[Selisih]]&lt;=-1,REKAP[[#This Row],[Harga Satuan]]*REKAP[[#This Row],[Selisih]],0)</f>
        <v>0</v>
      </c>
    </row>
    <row r="897" spans="1:20" x14ac:dyDescent="0.25">
      <c r="A897" s="55" t="s">
        <v>1223</v>
      </c>
      <c r="B897" s="55" t="s">
        <v>865</v>
      </c>
      <c r="C897" s="55" t="s">
        <v>865</v>
      </c>
      <c r="D897" s="56" t="s">
        <v>1759</v>
      </c>
      <c r="E897" s="57"/>
      <c r="F897" s="75" t="s">
        <v>898</v>
      </c>
      <c r="G897" s="55"/>
      <c r="H897" s="58">
        <v>66000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1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1</v>
      </c>
      <c r="P897" s="55"/>
      <c r="Q897" s="62">
        <f>REKAP[[#This Row],[Harga Satuan]]*REKAP[[#This Row],[Stok Akhir]]</f>
        <v>66000</v>
      </c>
      <c r="R897" s="61">
        <f>IF(REKAP[[#This Row],[Stok Aktual]]&lt;&gt;"",REKAP[[#This Row],[Stok Aktual]]-REKAP[[#This Row],[Stok Akhir]],0)</f>
        <v>0</v>
      </c>
      <c r="S897" s="132"/>
      <c r="T897" s="137">
        <f>IF(REKAP[[#This Row],[Selisih]]&lt;=-1,REKAP[[#This Row],[Harga Satuan]]*REKAP[[#This Row],[Selisih]],0)</f>
        <v>0</v>
      </c>
    </row>
    <row r="898" spans="1:20" x14ac:dyDescent="0.25">
      <c r="A898" s="55" t="s">
        <v>1224</v>
      </c>
      <c r="B898" s="55" t="s">
        <v>865</v>
      </c>
      <c r="C898" s="55" t="s">
        <v>865</v>
      </c>
      <c r="D898" s="56" t="s">
        <v>1760</v>
      </c>
      <c r="E898" s="57"/>
      <c r="F898" s="75" t="s">
        <v>898</v>
      </c>
      <c r="G898" s="55"/>
      <c r="H898" s="58">
        <v>32643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0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0</v>
      </c>
      <c r="P898" s="55"/>
      <c r="Q898" s="62">
        <f>REKAP[[#This Row],[Harga Satuan]]*REKAP[[#This Row],[Stok Akhir]]</f>
        <v>0</v>
      </c>
      <c r="R898" s="61">
        <f>IF(REKAP[[#This Row],[Stok Aktual]]&lt;&gt;"",REKAP[[#This Row],[Stok Aktual]]-REKAP[[#This Row],[Stok Akhir]],0)</f>
        <v>0</v>
      </c>
      <c r="S898" s="132"/>
      <c r="T898" s="137">
        <f>IF(REKAP[[#This Row],[Selisih]]&lt;=-1,REKAP[[#This Row],[Harga Satuan]]*REKAP[[#This Row],[Selisih]],0)</f>
        <v>0</v>
      </c>
    </row>
    <row r="899" spans="1:20" x14ac:dyDescent="0.25">
      <c r="A899" s="55" t="s">
        <v>1225</v>
      </c>
      <c r="B899" s="55" t="s">
        <v>866</v>
      </c>
      <c r="C899" s="55" t="s">
        <v>866</v>
      </c>
      <c r="D899" s="56" t="s">
        <v>1761</v>
      </c>
      <c r="E899" s="57"/>
      <c r="F899" s="75" t="s">
        <v>898</v>
      </c>
      <c r="G899" s="55"/>
      <c r="H899" s="58">
        <v>32643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0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0</v>
      </c>
      <c r="P899" s="55"/>
      <c r="Q899" s="62">
        <f>REKAP[[#This Row],[Harga Satuan]]*REKAP[[#This Row],[Stok Akhir]]</f>
        <v>0</v>
      </c>
      <c r="R899" s="61">
        <f>IF(REKAP[[#This Row],[Stok Aktual]]&lt;&gt;"",REKAP[[#This Row],[Stok Aktual]]-REKAP[[#This Row],[Stok Akhir]],0)</f>
        <v>0</v>
      </c>
      <c r="S899" s="132"/>
      <c r="T899" s="137">
        <f>IF(REKAP[[#This Row],[Selisih]]&lt;=-1,REKAP[[#This Row],[Harga Satuan]]*REKAP[[#This Row],[Selisih]],0)</f>
        <v>0</v>
      </c>
    </row>
    <row r="900" spans="1:20" x14ac:dyDescent="0.25">
      <c r="A900" s="55" t="s">
        <v>1226</v>
      </c>
      <c r="B900" s="55" t="s">
        <v>865</v>
      </c>
      <c r="C900" s="55" t="s">
        <v>865</v>
      </c>
      <c r="D900" s="56" t="s">
        <v>1762</v>
      </c>
      <c r="E900" s="57"/>
      <c r="F900" s="75" t="s">
        <v>898</v>
      </c>
      <c r="G900" s="55"/>
      <c r="H900" s="58">
        <v>37062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>
        <f>IF(REKAP[[#This Row],[Stok Aktual]]&lt;&gt;"",REKAP[[#This Row],[Stok Aktual]]-REKAP[[#This Row],[Stok Akhir]],0)</f>
        <v>0</v>
      </c>
      <c r="S900" s="132"/>
      <c r="T900" s="137">
        <f>IF(REKAP[[#This Row],[Selisih]]&lt;=-1,REKAP[[#This Row],[Harga Satuan]]*REKAP[[#This Row],[Selisih]],0)</f>
        <v>0</v>
      </c>
    </row>
    <row r="901" spans="1:20" x14ac:dyDescent="0.25">
      <c r="A901" s="55" t="s">
        <v>1227</v>
      </c>
      <c r="B901" s="55" t="s">
        <v>865</v>
      </c>
      <c r="C901" s="55" t="s">
        <v>865</v>
      </c>
      <c r="D901" s="56" t="s">
        <v>1763</v>
      </c>
      <c r="E901" s="57"/>
      <c r="F901" s="75" t="s">
        <v>898</v>
      </c>
      <c r="G901" s="55"/>
      <c r="H901" s="58">
        <v>37329</v>
      </c>
      <c r="I901" s="59">
        <f>IF(COUNTIF(MASUK[Kode Barang],REKAP[[#This Row],[ID]])=0,0,COUNTIF(MASUK[Kode Barang],REKAP[[#This Row],[ID]]))</f>
        <v>1</v>
      </c>
      <c r="J901" s="59">
        <f>IF(COUNTIF(MASUK8[Kode Barang],REKAP[[#This Row],[ID]])=0,0,COUNTIF(MASUK8[Kode Barang],REKAP[[#This Row],[ID]]))</f>
        <v>1</v>
      </c>
      <c r="K901" s="60">
        <f>REKAP[[#This Row],[Trx In]]+REKAP[[#This Row],[Trx Out]]</f>
        <v>2</v>
      </c>
      <c r="L901" s="55">
        <v>5</v>
      </c>
      <c r="M901" s="74">
        <f>SUMIF(MASUK!$C:$C,REKAP[[#This Row],[ID]],MASUK!$H:$H)</f>
        <v>4</v>
      </c>
      <c r="N901" s="74">
        <f>SUMIF(KELUAR!$C:$C,REKAP[[#This Row],[ID]],KELUAR!$H:$H)</f>
        <v>4</v>
      </c>
      <c r="O901" s="74">
        <f>REKAP[[#This Row],[Stok Awal]]+REKAP[[#This Row],[Masuk]]-REKAP[[#This Row],[Keluar]]</f>
        <v>5</v>
      </c>
      <c r="P901" s="55">
        <v>5</v>
      </c>
      <c r="Q901" s="62">
        <f>REKAP[[#This Row],[Harga Satuan]]*REKAP[[#This Row],[Stok Akhir]]</f>
        <v>186645</v>
      </c>
      <c r="R901" s="61">
        <f>IF(REKAP[[#This Row],[Stok Aktual]]&lt;&gt;"",REKAP[[#This Row],[Stok Aktual]]-REKAP[[#This Row],[Stok Akhir]],0)</f>
        <v>0</v>
      </c>
      <c r="S901" s="132"/>
      <c r="T901" s="137">
        <f>IF(REKAP[[#This Row],[Selisih]]&lt;=-1,REKAP[[#This Row],[Harga Satuan]]*REKAP[[#This Row],[Selisih]],0)</f>
        <v>0</v>
      </c>
    </row>
    <row r="902" spans="1:20" x14ac:dyDescent="0.25">
      <c r="A902" s="55" t="s">
        <v>1228</v>
      </c>
      <c r="B902" s="55" t="s">
        <v>866</v>
      </c>
      <c r="C902" s="55" t="s">
        <v>866</v>
      </c>
      <c r="D902" s="56" t="s">
        <v>1764</v>
      </c>
      <c r="E902" s="57"/>
      <c r="F902" s="75" t="s">
        <v>898</v>
      </c>
      <c r="G902" s="55"/>
      <c r="H902" s="58">
        <v>40371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>
        <f>IF(REKAP[[#This Row],[Stok Aktual]]&lt;&gt;"",REKAP[[#This Row],[Stok Aktual]]-REKAP[[#This Row],[Stok Akhir]],0)</f>
        <v>0</v>
      </c>
      <c r="S902" s="132"/>
      <c r="T902" s="137">
        <f>IF(REKAP[[#This Row],[Selisih]]&lt;=-1,REKAP[[#This Row],[Harga Satuan]]*REKAP[[#This Row],[Selisih]],0)</f>
        <v>0</v>
      </c>
    </row>
    <row r="903" spans="1:20" x14ac:dyDescent="0.25">
      <c r="A903" s="55" t="s">
        <v>1229</v>
      </c>
      <c r="B903" s="55" t="s">
        <v>866</v>
      </c>
      <c r="C903" s="55" t="s">
        <v>866</v>
      </c>
      <c r="D903" s="56" t="s">
        <v>1765</v>
      </c>
      <c r="E903" s="57"/>
      <c r="F903" s="75" t="s">
        <v>898</v>
      </c>
      <c r="G903" s="55"/>
      <c r="H903" s="58">
        <v>40000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>
        <f>IF(REKAP[[#This Row],[Stok Aktual]]&lt;&gt;"",REKAP[[#This Row],[Stok Aktual]]-REKAP[[#This Row],[Stok Akhir]],0)</f>
        <v>0</v>
      </c>
      <c r="S903" s="132"/>
      <c r="T903" s="137">
        <f>IF(REKAP[[#This Row],[Selisih]]&lt;=-1,REKAP[[#This Row],[Harga Satuan]]*REKAP[[#This Row],[Selisih]],0)</f>
        <v>0</v>
      </c>
    </row>
    <row r="904" spans="1:20" x14ac:dyDescent="0.25">
      <c r="A904" s="55" t="s">
        <v>1230</v>
      </c>
      <c r="B904" s="55" t="s">
        <v>866</v>
      </c>
      <c r="C904" s="55" t="s">
        <v>866</v>
      </c>
      <c r="D904" s="56" t="s">
        <v>1766</v>
      </c>
      <c r="E904" s="57"/>
      <c r="F904" s="75" t="s">
        <v>898</v>
      </c>
      <c r="G904" s="55"/>
      <c r="H904" s="58">
        <v>49824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3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3</v>
      </c>
      <c r="P904" s="55"/>
      <c r="Q904" s="62">
        <f>REKAP[[#This Row],[Harga Satuan]]*REKAP[[#This Row],[Stok Akhir]]</f>
        <v>149472</v>
      </c>
      <c r="R904" s="61">
        <f>IF(REKAP[[#This Row],[Stok Aktual]]&lt;&gt;"",REKAP[[#This Row],[Stok Aktual]]-REKAP[[#This Row],[Stok Akhir]],0)</f>
        <v>0</v>
      </c>
      <c r="S904" s="132"/>
      <c r="T904" s="137">
        <f>IF(REKAP[[#This Row],[Selisih]]&lt;=-1,REKAP[[#This Row],[Harga Satuan]]*REKAP[[#This Row],[Selisih]],0)</f>
        <v>0</v>
      </c>
    </row>
    <row r="905" spans="1:20" x14ac:dyDescent="0.25">
      <c r="A905" s="55" t="s">
        <v>1231</v>
      </c>
      <c r="B905" s="55" t="s">
        <v>866</v>
      </c>
      <c r="C905" s="55" t="s">
        <v>866</v>
      </c>
      <c r="D905" s="56" t="s">
        <v>1767</v>
      </c>
      <c r="E905" s="57"/>
      <c r="F905" s="75" t="s">
        <v>898</v>
      </c>
      <c r="G905" s="55"/>
      <c r="H905" s="58">
        <v>87909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>
        <f>IF(REKAP[[#This Row],[Stok Aktual]]&lt;&gt;"",REKAP[[#This Row],[Stok Aktual]]-REKAP[[#This Row],[Stok Akhir]],0)</f>
        <v>0</v>
      </c>
      <c r="S905" s="132"/>
      <c r="T905" s="137">
        <f>IF(REKAP[[#This Row],[Selisih]]&lt;=-1,REKAP[[#This Row],[Harga Satuan]]*REKAP[[#This Row],[Selisih]],0)</f>
        <v>0</v>
      </c>
    </row>
    <row r="906" spans="1:20" x14ac:dyDescent="0.25">
      <c r="A906" s="55" t="s">
        <v>1232</v>
      </c>
      <c r="B906" s="55" t="s">
        <v>866</v>
      </c>
      <c r="C906" s="55" t="s">
        <v>866</v>
      </c>
      <c r="D906" s="56" t="s">
        <v>1768</v>
      </c>
      <c r="E906" s="57"/>
      <c r="F906" s="75" t="s">
        <v>898</v>
      </c>
      <c r="G906" s="55"/>
      <c r="H906" s="58">
        <v>137781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4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4</v>
      </c>
      <c r="P906" s="55"/>
      <c r="Q906" s="62">
        <f>REKAP[[#This Row],[Harga Satuan]]*REKAP[[#This Row],[Stok Akhir]]</f>
        <v>551124</v>
      </c>
      <c r="R906" s="61">
        <f>IF(REKAP[[#This Row],[Stok Aktual]]&lt;&gt;"",REKAP[[#This Row],[Stok Aktual]]-REKAP[[#This Row],[Stok Akhir]],0)</f>
        <v>0</v>
      </c>
      <c r="S906" s="132"/>
      <c r="T906" s="137">
        <f>IF(REKAP[[#This Row],[Selisih]]&lt;=-1,REKAP[[#This Row],[Harga Satuan]]*REKAP[[#This Row],[Selisih]],0)</f>
        <v>0</v>
      </c>
    </row>
    <row r="907" spans="1:20" x14ac:dyDescent="0.25">
      <c r="A907" s="55" t="s">
        <v>1233</v>
      </c>
      <c r="B907" s="55" t="s">
        <v>867</v>
      </c>
      <c r="C907" s="55" t="s">
        <v>867</v>
      </c>
      <c r="D907" s="56" t="s">
        <v>1769</v>
      </c>
      <c r="E907" s="57"/>
      <c r="F907" s="75" t="s">
        <v>898</v>
      </c>
      <c r="G907" s="55"/>
      <c r="H907" s="58">
        <v>40000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>
        <f>IF(REKAP[[#This Row],[Stok Aktual]]&lt;&gt;"",REKAP[[#This Row],[Stok Aktual]]-REKAP[[#This Row],[Stok Akhir]],0)</f>
        <v>0</v>
      </c>
      <c r="S907" s="132"/>
      <c r="T907" s="137">
        <f>IF(REKAP[[#This Row],[Selisih]]&lt;=-1,REKAP[[#This Row],[Harga Satuan]]*REKAP[[#This Row],[Selisih]],0)</f>
        <v>0</v>
      </c>
    </row>
    <row r="908" spans="1:20" x14ac:dyDescent="0.25">
      <c r="A908" s="55" t="s">
        <v>1234</v>
      </c>
      <c r="B908" s="55" t="s">
        <v>867</v>
      </c>
      <c r="C908" s="55" t="s">
        <v>867</v>
      </c>
      <c r="D908" s="56" t="s">
        <v>1770</v>
      </c>
      <c r="E908" s="57"/>
      <c r="F908" s="75" t="s">
        <v>898</v>
      </c>
      <c r="G908" s="55"/>
      <c r="H908" s="58">
        <v>75698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>
        <f>IF(REKAP[[#This Row],[Stok Aktual]]&lt;&gt;"",REKAP[[#This Row],[Stok Aktual]]-REKAP[[#This Row],[Stok Akhir]],0)</f>
        <v>0</v>
      </c>
      <c r="S908" s="132"/>
      <c r="T908" s="137">
        <f>IF(REKAP[[#This Row],[Selisih]]&lt;=-1,REKAP[[#This Row],[Harga Satuan]]*REKAP[[#This Row],[Selisih]],0)</f>
        <v>0</v>
      </c>
    </row>
    <row r="909" spans="1:20" x14ac:dyDescent="0.25">
      <c r="A909" s="55" t="s">
        <v>1235</v>
      </c>
      <c r="B909" s="55" t="s">
        <v>867</v>
      </c>
      <c r="C909" s="55" t="s">
        <v>867</v>
      </c>
      <c r="D909" s="56" t="s">
        <v>1771</v>
      </c>
      <c r="E909" s="57"/>
      <c r="F909" s="75" t="s">
        <v>898</v>
      </c>
      <c r="G909" s="55"/>
      <c r="H909" s="58">
        <v>45000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>
        <f>IF(REKAP[[#This Row],[Stok Aktual]]&lt;&gt;"",REKAP[[#This Row],[Stok Aktual]]-REKAP[[#This Row],[Stok Akhir]],0)</f>
        <v>0</v>
      </c>
      <c r="S909" s="132"/>
      <c r="T909" s="137">
        <f>IF(REKAP[[#This Row],[Selisih]]&lt;=-1,REKAP[[#This Row],[Harga Satuan]]*REKAP[[#This Row],[Selisih]],0)</f>
        <v>0</v>
      </c>
    </row>
    <row r="910" spans="1:20" x14ac:dyDescent="0.25">
      <c r="A910" s="55" t="s">
        <v>1236</v>
      </c>
      <c r="B910" s="55" t="s">
        <v>867</v>
      </c>
      <c r="C910" s="55" t="s">
        <v>867</v>
      </c>
      <c r="D910" s="56" t="s">
        <v>1772</v>
      </c>
      <c r="E910" s="57"/>
      <c r="F910" s="75" t="s">
        <v>898</v>
      </c>
      <c r="G910" s="55"/>
      <c r="H910" s="58">
        <v>53439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0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0</v>
      </c>
      <c r="P910" s="55"/>
      <c r="Q910" s="62">
        <f>REKAP[[#This Row],[Harga Satuan]]*REKAP[[#This Row],[Stok Akhir]]</f>
        <v>0</v>
      </c>
      <c r="R910" s="61">
        <f>IF(REKAP[[#This Row],[Stok Aktual]]&lt;&gt;"",REKAP[[#This Row],[Stok Aktual]]-REKAP[[#This Row],[Stok Akhir]],0)</f>
        <v>0</v>
      </c>
      <c r="S910" s="132"/>
      <c r="T910" s="137">
        <f>IF(REKAP[[#This Row],[Selisih]]&lt;=-1,REKAP[[#This Row],[Harga Satuan]]*REKAP[[#This Row],[Selisih]],0)</f>
        <v>0</v>
      </c>
    </row>
    <row r="911" spans="1:20" x14ac:dyDescent="0.25">
      <c r="A911" s="55" t="s">
        <v>1237</v>
      </c>
      <c r="B911" s="55" t="s">
        <v>867</v>
      </c>
      <c r="C911" s="55" t="s">
        <v>867</v>
      </c>
      <c r="D911" s="56" t="s">
        <v>1773</v>
      </c>
      <c r="E911" s="57"/>
      <c r="F911" s="75" t="s">
        <v>898</v>
      </c>
      <c r="G911" s="55"/>
      <c r="H911" s="58">
        <v>55000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0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0</v>
      </c>
      <c r="P911" s="55"/>
      <c r="Q911" s="62">
        <f>REKAP[[#This Row],[Harga Satuan]]*REKAP[[#This Row],[Stok Akhir]]</f>
        <v>0</v>
      </c>
      <c r="R911" s="61">
        <f>IF(REKAP[[#This Row],[Stok Aktual]]&lt;&gt;"",REKAP[[#This Row],[Stok Aktual]]-REKAP[[#This Row],[Stok Akhir]],0)</f>
        <v>0</v>
      </c>
      <c r="S911" s="132"/>
      <c r="T911" s="137">
        <f>IF(REKAP[[#This Row],[Selisih]]&lt;=-1,REKAP[[#This Row],[Harga Satuan]]*REKAP[[#This Row],[Selisih]],0)</f>
        <v>0</v>
      </c>
    </row>
    <row r="912" spans="1:20" x14ac:dyDescent="0.25">
      <c r="A912" s="55" t="s">
        <v>1238</v>
      </c>
      <c r="B912" s="55" t="s">
        <v>867</v>
      </c>
      <c r="C912" s="55" t="s">
        <v>867</v>
      </c>
      <c r="D912" s="56" t="s">
        <v>1774</v>
      </c>
      <c r="E912" s="57"/>
      <c r="F912" s="75" t="s">
        <v>898</v>
      </c>
      <c r="G912" s="55"/>
      <c r="H912" s="58">
        <v>62560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4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4</v>
      </c>
      <c r="P912" s="55"/>
      <c r="Q912" s="62">
        <f>REKAP[[#This Row],[Harga Satuan]]*REKAP[[#This Row],[Stok Akhir]]</f>
        <v>250240</v>
      </c>
      <c r="R912" s="61">
        <f>IF(REKAP[[#This Row],[Stok Aktual]]&lt;&gt;"",REKAP[[#This Row],[Stok Aktual]]-REKAP[[#This Row],[Stok Akhir]],0)</f>
        <v>0</v>
      </c>
      <c r="S912" s="132"/>
      <c r="T912" s="137">
        <f>IF(REKAP[[#This Row],[Selisih]]&lt;=-1,REKAP[[#This Row],[Harga Satuan]]*REKAP[[#This Row],[Selisih]],0)</f>
        <v>0</v>
      </c>
    </row>
    <row r="913" spans="1:20" x14ac:dyDescent="0.25">
      <c r="A913" s="55" t="s">
        <v>1239</v>
      </c>
      <c r="B913" s="55" t="s">
        <v>867</v>
      </c>
      <c r="C913" s="55" t="s">
        <v>867</v>
      </c>
      <c r="D913" s="56" t="s">
        <v>1775</v>
      </c>
      <c r="E913" s="57"/>
      <c r="F913" s="75" t="s">
        <v>898</v>
      </c>
      <c r="G913" s="55"/>
      <c r="H913" s="58"/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4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4</v>
      </c>
      <c r="P913" s="55"/>
      <c r="Q913" s="62">
        <f>REKAP[[#This Row],[Harga Satuan]]*REKAP[[#This Row],[Stok Akhir]]</f>
        <v>0</v>
      </c>
      <c r="R913" s="61">
        <f>IF(REKAP[[#This Row],[Stok Aktual]]&lt;&gt;"",REKAP[[#This Row],[Stok Aktual]]-REKAP[[#This Row],[Stok Akhir]],0)</f>
        <v>0</v>
      </c>
      <c r="S913" s="132"/>
      <c r="T913" s="137">
        <f>IF(REKAP[[#This Row],[Selisih]]&lt;=-1,REKAP[[#This Row],[Harga Satuan]]*REKAP[[#This Row],[Selisih]],0)</f>
        <v>0</v>
      </c>
    </row>
    <row r="914" spans="1:20" x14ac:dyDescent="0.25">
      <c r="A914" s="55" t="s">
        <v>1240</v>
      </c>
      <c r="B914" s="55" t="s">
        <v>867</v>
      </c>
      <c r="C914" s="55" t="s">
        <v>867</v>
      </c>
      <c r="D914" s="56" t="s">
        <v>1776</v>
      </c>
      <c r="E914" s="57"/>
      <c r="F914" s="75" t="s">
        <v>898</v>
      </c>
      <c r="G914" s="55"/>
      <c r="H914" s="58">
        <v>64047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0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0</v>
      </c>
      <c r="P914" s="55"/>
      <c r="Q914" s="62">
        <f>REKAP[[#This Row],[Harga Satuan]]*REKAP[[#This Row],[Stok Akhir]]</f>
        <v>0</v>
      </c>
      <c r="R914" s="61">
        <f>IF(REKAP[[#This Row],[Stok Aktual]]&lt;&gt;"",REKAP[[#This Row],[Stok Aktual]]-REKAP[[#This Row],[Stok Akhir]],0)</f>
        <v>0</v>
      </c>
      <c r="S914" s="132"/>
      <c r="T914" s="137">
        <f>IF(REKAP[[#This Row],[Selisih]]&lt;=-1,REKAP[[#This Row],[Harga Satuan]]*REKAP[[#This Row],[Selisih]],0)</f>
        <v>0</v>
      </c>
    </row>
    <row r="915" spans="1:20" x14ac:dyDescent="0.25">
      <c r="A915" s="55" t="s">
        <v>1241</v>
      </c>
      <c r="B915" s="55" t="s">
        <v>867</v>
      </c>
      <c r="C915" s="55" t="s">
        <v>867</v>
      </c>
      <c r="D915" s="56" t="s">
        <v>1777</v>
      </c>
      <c r="E915" s="57"/>
      <c r="F915" s="75" t="s">
        <v>898</v>
      </c>
      <c r="G915" s="55"/>
      <c r="H915" s="58">
        <v>54000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>
        <f>IF(REKAP[[#This Row],[Stok Aktual]]&lt;&gt;"",REKAP[[#This Row],[Stok Aktual]]-REKAP[[#This Row],[Stok Akhir]],0)</f>
        <v>0</v>
      </c>
      <c r="S915" s="132"/>
      <c r="T915" s="137">
        <f>IF(REKAP[[#This Row],[Selisih]]&lt;=-1,REKAP[[#This Row],[Harga Satuan]]*REKAP[[#This Row],[Selisih]],0)</f>
        <v>0</v>
      </c>
    </row>
    <row r="916" spans="1:20" x14ac:dyDescent="0.25">
      <c r="A916" s="55" t="s">
        <v>1242</v>
      </c>
      <c r="B916" s="55" t="s">
        <v>867</v>
      </c>
      <c r="C916" s="55" t="s">
        <v>867</v>
      </c>
      <c r="D916" s="56" t="s">
        <v>1778</v>
      </c>
      <c r="E916" s="57"/>
      <c r="F916" s="75" t="s">
        <v>898</v>
      </c>
      <c r="G916" s="55"/>
      <c r="H916" s="58">
        <v>69414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1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1</v>
      </c>
      <c r="P916" s="55"/>
      <c r="Q916" s="62">
        <f>REKAP[[#This Row],[Harga Satuan]]*REKAP[[#This Row],[Stok Akhir]]</f>
        <v>69414</v>
      </c>
      <c r="R916" s="61">
        <f>IF(REKAP[[#This Row],[Stok Aktual]]&lt;&gt;"",REKAP[[#This Row],[Stok Aktual]]-REKAP[[#This Row],[Stok Akhir]],0)</f>
        <v>0</v>
      </c>
      <c r="S916" s="132"/>
      <c r="T916" s="137">
        <f>IF(REKAP[[#This Row],[Selisih]]&lt;=-1,REKAP[[#This Row],[Harga Satuan]]*REKAP[[#This Row],[Selisih]],0)</f>
        <v>0</v>
      </c>
    </row>
    <row r="917" spans="1:20" x14ac:dyDescent="0.25">
      <c r="A917" s="55" t="s">
        <v>1243</v>
      </c>
      <c r="B917" s="55" t="s">
        <v>867</v>
      </c>
      <c r="C917" s="55" t="s">
        <v>867</v>
      </c>
      <c r="D917" s="56" t="s">
        <v>1779</v>
      </c>
      <c r="E917" s="57"/>
      <c r="F917" s="75" t="s">
        <v>898</v>
      </c>
      <c r="G917" s="55"/>
      <c r="H917" s="58">
        <v>71159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</v>
      </c>
      <c r="P917" s="55"/>
      <c r="Q917" s="62">
        <f>REKAP[[#This Row],[Harga Satuan]]*REKAP[[#This Row],[Stok Akhir]]</f>
        <v>71159</v>
      </c>
      <c r="R917" s="61">
        <f>IF(REKAP[[#This Row],[Stok Aktual]]&lt;&gt;"",REKAP[[#This Row],[Stok Aktual]]-REKAP[[#This Row],[Stok Akhir]],0)</f>
        <v>0</v>
      </c>
      <c r="S917" s="132"/>
      <c r="T917" s="137">
        <f>IF(REKAP[[#This Row],[Selisih]]&lt;=-1,REKAP[[#This Row],[Harga Satuan]]*REKAP[[#This Row],[Selisih]],0)</f>
        <v>0</v>
      </c>
    </row>
    <row r="918" spans="1:20" x14ac:dyDescent="0.25">
      <c r="A918" s="55" t="s">
        <v>1244</v>
      </c>
      <c r="B918" s="55" t="s">
        <v>867</v>
      </c>
      <c r="C918" s="55" t="s">
        <v>867</v>
      </c>
      <c r="D918" s="56" t="s">
        <v>1780</v>
      </c>
      <c r="E918" s="57"/>
      <c r="F918" s="75" t="s">
        <v>898</v>
      </c>
      <c r="G918" s="55"/>
      <c r="H918" s="58">
        <v>66399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0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0</v>
      </c>
      <c r="P918" s="55"/>
      <c r="Q918" s="62">
        <f>REKAP[[#This Row],[Harga Satuan]]*REKAP[[#This Row],[Stok Akhir]]</f>
        <v>0</v>
      </c>
      <c r="R918" s="61">
        <f>IF(REKAP[[#This Row],[Stok Aktual]]&lt;&gt;"",REKAP[[#This Row],[Stok Aktual]]-REKAP[[#This Row],[Stok Akhir]],0)</f>
        <v>0</v>
      </c>
      <c r="S918" s="132"/>
      <c r="T918" s="137">
        <f>IF(REKAP[[#This Row],[Selisih]]&lt;=-1,REKAP[[#This Row],[Harga Satuan]]*REKAP[[#This Row],[Selisih]],0)</f>
        <v>0</v>
      </c>
    </row>
    <row r="919" spans="1:20" x14ac:dyDescent="0.25">
      <c r="A919" s="55" t="s">
        <v>1245</v>
      </c>
      <c r="B919" s="55" t="s">
        <v>867</v>
      </c>
      <c r="C919" s="55" t="s">
        <v>867</v>
      </c>
      <c r="D919" s="56" t="s">
        <v>1781</v>
      </c>
      <c r="E919" s="57"/>
      <c r="F919" s="75" t="s">
        <v>898</v>
      </c>
      <c r="G919" s="55"/>
      <c r="H919" s="58">
        <v>73410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0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0</v>
      </c>
      <c r="P919" s="55"/>
      <c r="Q919" s="62">
        <f>REKAP[[#This Row],[Harga Satuan]]*REKAP[[#This Row],[Stok Akhir]]</f>
        <v>0</v>
      </c>
      <c r="R919" s="61">
        <f>IF(REKAP[[#This Row],[Stok Aktual]]&lt;&gt;"",REKAP[[#This Row],[Stok Aktual]]-REKAP[[#This Row],[Stok Akhir]],0)</f>
        <v>0</v>
      </c>
      <c r="S919" s="132"/>
      <c r="T919" s="137">
        <f>IF(REKAP[[#This Row],[Selisih]]&lt;=-1,REKAP[[#This Row],[Harga Satuan]]*REKAP[[#This Row],[Selisih]],0)</f>
        <v>0</v>
      </c>
    </row>
    <row r="920" spans="1:20" x14ac:dyDescent="0.25">
      <c r="A920" s="55" t="s">
        <v>1246</v>
      </c>
      <c r="B920" s="55" t="s">
        <v>867</v>
      </c>
      <c r="C920" s="55" t="s">
        <v>867</v>
      </c>
      <c r="D920" s="56" t="s">
        <v>1782</v>
      </c>
      <c r="E920" s="57"/>
      <c r="F920" s="75" t="s">
        <v>898</v>
      </c>
      <c r="G920" s="55"/>
      <c r="H920" s="58">
        <v>70000</v>
      </c>
      <c r="I920" s="59">
        <f>IF(COUNTIF(MASUK[Kode Barang],REKAP[[#This Row],[ID]])=0,0,COUNTIF(MASUK[Kode Barang],REKAP[[#This Row],[ID]]))</f>
        <v>1</v>
      </c>
      <c r="J920" s="59">
        <f>IF(COUNTIF(MASUK8[Kode Barang],REKAP[[#This Row],[ID]])=0,0,COUNTIF(MASUK8[Kode Barang],REKAP[[#This Row],[ID]]))</f>
        <v>1</v>
      </c>
      <c r="K920" s="60">
        <f>REKAP[[#This Row],[Trx In]]+REKAP[[#This Row],[Trx Out]]</f>
        <v>2</v>
      </c>
      <c r="L920" s="55">
        <v>2</v>
      </c>
      <c r="M920" s="74">
        <f>SUMIF(MASUK!$C:$C,REKAP[[#This Row],[ID]],MASUK!$H:$H)</f>
        <v>4</v>
      </c>
      <c r="N920" s="74">
        <f>SUMIF(KELUAR!$C:$C,REKAP[[#This Row],[ID]],KELUAR!$H:$H)</f>
        <v>4</v>
      </c>
      <c r="O920" s="74">
        <f>REKAP[[#This Row],[Stok Awal]]+REKAP[[#This Row],[Masuk]]-REKAP[[#This Row],[Keluar]]</f>
        <v>2</v>
      </c>
      <c r="P920" s="55">
        <v>2</v>
      </c>
      <c r="Q920" s="62">
        <f>REKAP[[#This Row],[Harga Satuan]]*REKAP[[#This Row],[Stok Akhir]]</f>
        <v>140000</v>
      </c>
      <c r="R920" s="61">
        <f>IF(REKAP[[#This Row],[Stok Aktual]]&lt;&gt;"",REKAP[[#This Row],[Stok Aktual]]-REKAP[[#This Row],[Stok Akhir]],0)</f>
        <v>0</v>
      </c>
      <c r="S920" s="132"/>
      <c r="T920" s="137">
        <f>IF(REKAP[[#This Row],[Selisih]]&lt;=-1,REKAP[[#This Row],[Harga Satuan]]*REKAP[[#This Row],[Selisih]],0)</f>
        <v>0</v>
      </c>
    </row>
    <row r="921" spans="1:20" x14ac:dyDescent="0.25">
      <c r="A921" s="55" t="s">
        <v>1247</v>
      </c>
      <c r="B921" s="55" t="s">
        <v>867</v>
      </c>
      <c r="C921" s="55" t="s">
        <v>867</v>
      </c>
      <c r="D921" s="56" t="s">
        <v>1783</v>
      </c>
      <c r="E921" s="57"/>
      <c r="F921" s="75" t="s">
        <v>898</v>
      </c>
      <c r="G921" s="55"/>
      <c r="H921" s="58">
        <v>87330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0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0</v>
      </c>
      <c r="P921" s="55"/>
      <c r="Q921" s="62">
        <f>REKAP[[#This Row],[Harga Satuan]]*REKAP[[#This Row],[Stok Akhir]]</f>
        <v>0</v>
      </c>
      <c r="R921" s="61">
        <f>IF(REKAP[[#This Row],[Stok Aktual]]&lt;&gt;"",REKAP[[#This Row],[Stok Aktual]]-REKAP[[#This Row],[Stok Akhir]],0)</f>
        <v>0</v>
      </c>
      <c r="S921" s="132"/>
      <c r="T921" s="137">
        <f>IF(REKAP[[#This Row],[Selisih]]&lt;=-1,REKAP[[#This Row],[Harga Satuan]]*REKAP[[#This Row],[Selisih]],0)</f>
        <v>0</v>
      </c>
    </row>
    <row r="922" spans="1:20" x14ac:dyDescent="0.25">
      <c r="A922" s="55" t="s">
        <v>1248</v>
      </c>
      <c r="B922" s="55" t="s">
        <v>867</v>
      </c>
      <c r="C922" s="55" t="s">
        <v>867</v>
      </c>
      <c r="D922" s="56" t="s">
        <v>1784</v>
      </c>
      <c r="E922" s="57"/>
      <c r="F922" s="75" t="s">
        <v>898</v>
      </c>
      <c r="G922" s="55"/>
      <c r="H922" s="58">
        <v>90767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0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0</v>
      </c>
      <c r="P922" s="55"/>
      <c r="Q922" s="62">
        <f>REKAP[[#This Row],[Harga Satuan]]*REKAP[[#This Row],[Stok Akhir]]</f>
        <v>0</v>
      </c>
      <c r="R922" s="61">
        <f>IF(REKAP[[#This Row],[Stok Aktual]]&lt;&gt;"",REKAP[[#This Row],[Stok Aktual]]-REKAP[[#This Row],[Stok Akhir]],0)</f>
        <v>0</v>
      </c>
      <c r="S922" s="132"/>
      <c r="T922" s="137">
        <f>IF(REKAP[[#This Row],[Selisih]]&lt;=-1,REKAP[[#This Row],[Harga Satuan]]*REKAP[[#This Row],[Selisih]],0)</f>
        <v>0</v>
      </c>
    </row>
    <row r="923" spans="1:20" x14ac:dyDescent="0.25">
      <c r="A923" s="55" t="s">
        <v>1249</v>
      </c>
      <c r="B923" s="55" t="s">
        <v>867</v>
      </c>
      <c r="C923" s="55" t="s">
        <v>867</v>
      </c>
      <c r="D923" s="56" t="s">
        <v>1785</v>
      </c>
      <c r="E923" s="57"/>
      <c r="F923" s="75" t="s">
        <v>898</v>
      </c>
      <c r="G923" s="55"/>
      <c r="H923" s="58">
        <v>115000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0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0</v>
      </c>
      <c r="P923" s="55"/>
      <c r="Q923" s="62">
        <f>REKAP[[#This Row],[Harga Satuan]]*REKAP[[#This Row],[Stok Akhir]]</f>
        <v>0</v>
      </c>
      <c r="R923" s="61">
        <f>IF(REKAP[[#This Row],[Stok Aktual]]&lt;&gt;"",REKAP[[#This Row],[Stok Aktual]]-REKAP[[#This Row],[Stok Akhir]],0)</f>
        <v>0</v>
      </c>
      <c r="S923" s="132"/>
      <c r="T923" s="137">
        <f>IF(REKAP[[#This Row],[Selisih]]&lt;=-1,REKAP[[#This Row],[Harga Satuan]]*REKAP[[#This Row],[Selisih]],0)</f>
        <v>0</v>
      </c>
    </row>
    <row r="924" spans="1:20" x14ac:dyDescent="0.25">
      <c r="A924" s="55" t="s">
        <v>1250</v>
      </c>
      <c r="B924" s="55" t="s">
        <v>867</v>
      </c>
      <c r="C924" s="55" t="s">
        <v>867</v>
      </c>
      <c r="D924" s="56" t="s">
        <v>1786</v>
      </c>
      <c r="E924" s="57"/>
      <c r="F924" s="75" t="s">
        <v>898</v>
      </c>
      <c r="G924" s="55"/>
      <c r="H924" s="58">
        <v>58994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0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0</v>
      </c>
      <c r="P924" s="55"/>
      <c r="Q924" s="62">
        <f>REKAP[[#This Row],[Harga Satuan]]*REKAP[[#This Row],[Stok Akhir]]</f>
        <v>0</v>
      </c>
      <c r="R924" s="61">
        <f>IF(REKAP[[#This Row],[Stok Aktual]]&lt;&gt;"",REKAP[[#This Row],[Stok Aktual]]-REKAP[[#This Row],[Stok Akhir]],0)</f>
        <v>0</v>
      </c>
      <c r="S924" s="132"/>
      <c r="T924" s="137">
        <f>IF(REKAP[[#This Row],[Selisih]]&lt;=-1,REKAP[[#This Row],[Harga Satuan]]*REKAP[[#This Row],[Selisih]],0)</f>
        <v>0</v>
      </c>
    </row>
    <row r="925" spans="1:20" x14ac:dyDescent="0.25">
      <c r="A925" s="55" t="s">
        <v>1251</v>
      </c>
      <c r="B925" s="55" t="s">
        <v>867</v>
      </c>
      <c r="C925" s="55" t="s">
        <v>867</v>
      </c>
      <c r="D925" s="56" t="s">
        <v>1787</v>
      </c>
      <c r="E925" s="57"/>
      <c r="F925" s="75" t="s">
        <v>898</v>
      </c>
      <c r="G925" s="55"/>
      <c r="H925" s="58">
        <v>58487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1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1</v>
      </c>
      <c r="P925" s="55"/>
      <c r="Q925" s="62">
        <f>REKAP[[#This Row],[Harga Satuan]]*REKAP[[#This Row],[Stok Akhir]]</f>
        <v>58487</v>
      </c>
      <c r="R925" s="61">
        <f>IF(REKAP[[#This Row],[Stok Aktual]]&lt;&gt;"",REKAP[[#This Row],[Stok Aktual]]-REKAP[[#This Row],[Stok Akhir]],0)</f>
        <v>0</v>
      </c>
      <c r="S925" s="132"/>
      <c r="T925" s="137">
        <f>IF(REKAP[[#This Row],[Selisih]]&lt;=-1,REKAP[[#This Row],[Harga Satuan]]*REKAP[[#This Row],[Selisih]],0)</f>
        <v>0</v>
      </c>
    </row>
    <row r="926" spans="1:20" x14ac:dyDescent="0.25">
      <c r="A926" s="55" t="s">
        <v>1252</v>
      </c>
      <c r="B926" s="55" t="s">
        <v>867</v>
      </c>
      <c r="C926" s="55" t="s">
        <v>867</v>
      </c>
      <c r="D926" s="56" t="s">
        <v>1788</v>
      </c>
      <c r="E926" s="57"/>
      <c r="F926" s="75" t="s">
        <v>898</v>
      </c>
      <c r="G926" s="55"/>
      <c r="H926" s="58">
        <v>134622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2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2</v>
      </c>
      <c r="P926" s="55"/>
      <c r="Q926" s="62">
        <f>REKAP[[#This Row],[Harga Satuan]]*REKAP[[#This Row],[Stok Akhir]]</f>
        <v>269244</v>
      </c>
      <c r="R926" s="61">
        <f>IF(REKAP[[#This Row],[Stok Aktual]]&lt;&gt;"",REKAP[[#This Row],[Stok Aktual]]-REKAP[[#This Row],[Stok Akhir]],0)</f>
        <v>0</v>
      </c>
      <c r="S926" s="132"/>
      <c r="T926" s="137">
        <f>IF(REKAP[[#This Row],[Selisih]]&lt;=-1,REKAP[[#This Row],[Harga Satuan]]*REKAP[[#This Row],[Selisih]],0)</f>
        <v>0</v>
      </c>
    </row>
    <row r="927" spans="1:20" x14ac:dyDescent="0.25">
      <c r="A927" s="55" t="s">
        <v>1253</v>
      </c>
      <c r="B927" s="55" t="s">
        <v>867</v>
      </c>
      <c r="C927" s="55" t="s">
        <v>867</v>
      </c>
      <c r="D927" s="56" t="s">
        <v>1789</v>
      </c>
      <c r="E927" s="57"/>
      <c r="F927" s="75" t="s">
        <v>898</v>
      </c>
      <c r="G927" s="55"/>
      <c r="H927" s="58"/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2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2</v>
      </c>
      <c r="P927" s="55"/>
      <c r="Q927" s="62">
        <f>REKAP[[#This Row],[Harga Satuan]]*REKAP[[#This Row],[Stok Akhir]]</f>
        <v>0</v>
      </c>
      <c r="R927" s="61">
        <f>IF(REKAP[[#This Row],[Stok Aktual]]&lt;&gt;"",REKAP[[#This Row],[Stok Aktual]]-REKAP[[#This Row],[Stok Akhir]],0)</f>
        <v>0</v>
      </c>
      <c r="S927" s="132"/>
      <c r="T927" s="137">
        <f>IF(REKAP[[#This Row],[Selisih]]&lt;=-1,REKAP[[#This Row],[Harga Satuan]]*REKAP[[#This Row],[Selisih]],0)</f>
        <v>0</v>
      </c>
    </row>
    <row r="928" spans="1:20" x14ac:dyDescent="0.25">
      <c r="A928" s="55" t="s">
        <v>1254</v>
      </c>
      <c r="B928" s="55" t="s">
        <v>867</v>
      </c>
      <c r="C928" s="55" t="s">
        <v>867</v>
      </c>
      <c r="D928" s="56" t="s">
        <v>1790</v>
      </c>
      <c r="E928" s="57"/>
      <c r="F928" s="75" t="s">
        <v>898</v>
      </c>
      <c r="G928" s="55"/>
      <c r="H928" s="58"/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0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0</v>
      </c>
      <c r="P928" s="55"/>
      <c r="Q928" s="62">
        <f>REKAP[[#This Row],[Harga Satuan]]*REKAP[[#This Row],[Stok Akhir]]</f>
        <v>0</v>
      </c>
      <c r="R928" s="61">
        <f>IF(REKAP[[#This Row],[Stok Aktual]]&lt;&gt;"",REKAP[[#This Row],[Stok Aktual]]-REKAP[[#This Row],[Stok Akhir]],0)</f>
        <v>0</v>
      </c>
      <c r="S928" s="132"/>
      <c r="T928" s="137">
        <f>IF(REKAP[[#This Row],[Selisih]]&lt;=-1,REKAP[[#This Row],[Harga Satuan]]*REKAP[[#This Row],[Selisih]],0)</f>
        <v>0</v>
      </c>
    </row>
    <row r="929" spans="1:20" x14ac:dyDescent="0.25">
      <c r="A929" s="55" t="s">
        <v>1255</v>
      </c>
      <c r="B929" s="55" t="s">
        <v>867</v>
      </c>
      <c r="C929" s="55" t="s">
        <v>867</v>
      </c>
      <c r="D929" s="56" t="s">
        <v>1791</v>
      </c>
      <c r="E929" s="57"/>
      <c r="F929" s="75" t="s">
        <v>898</v>
      </c>
      <c r="G929" s="55"/>
      <c r="H929" s="58">
        <v>120000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0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0</v>
      </c>
      <c r="P929" s="55"/>
      <c r="Q929" s="62">
        <f>REKAP[[#This Row],[Harga Satuan]]*REKAP[[#This Row],[Stok Akhir]]</f>
        <v>0</v>
      </c>
      <c r="R929" s="61">
        <f>IF(REKAP[[#This Row],[Stok Aktual]]&lt;&gt;"",REKAP[[#This Row],[Stok Aktual]]-REKAP[[#This Row],[Stok Akhir]],0)</f>
        <v>0</v>
      </c>
      <c r="S929" s="132"/>
      <c r="T929" s="137">
        <f>IF(REKAP[[#This Row],[Selisih]]&lt;=-1,REKAP[[#This Row],[Harga Satuan]]*REKAP[[#This Row],[Selisih]],0)</f>
        <v>0</v>
      </c>
    </row>
    <row r="930" spans="1:20" x14ac:dyDescent="0.25">
      <c r="A930" s="55" t="s">
        <v>1256</v>
      </c>
      <c r="B930" s="55" t="s">
        <v>867</v>
      </c>
      <c r="C930" s="55" t="s">
        <v>867</v>
      </c>
      <c r="D930" s="56" t="s">
        <v>1792</v>
      </c>
      <c r="E930" s="57"/>
      <c r="F930" s="75" t="s">
        <v>898</v>
      </c>
      <c r="G930" s="55"/>
      <c r="H930" s="58">
        <v>150000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2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2</v>
      </c>
      <c r="P930" s="55"/>
      <c r="Q930" s="62">
        <f>REKAP[[#This Row],[Harga Satuan]]*REKAP[[#This Row],[Stok Akhir]]</f>
        <v>300000</v>
      </c>
      <c r="R930" s="61">
        <f>IF(REKAP[[#This Row],[Stok Aktual]]&lt;&gt;"",REKAP[[#This Row],[Stok Aktual]]-REKAP[[#This Row],[Stok Akhir]],0)</f>
        <v>0</v>
      </c>
      <c r="S930" s="132"/>
      <c r="T930" s="137">
        <f>IF(REKAP[[#This Row],[Selisih]]&lt;=-1,REKAP[[#This Row],[Harga Satuan]]*REKAP[[#This Row],[Selisih]],0)</f>
        <v>0</v>
      </c>
    </row>
    <row r="931" spans="1:20" x14ac:dyDescent="0.25">
      <c r="A931" s="55" t="s">
        <v>1257</v>
      </c>
      <c r="B931" s="55" t="s">
        <v>867</v>
      </c>
      <c r="C931" s="55" t="s">
        <v>867</v>
      </c>
      <c r="D931" s="56" t="s">
        <v>1793</v>
      </c>
      <c r="E931" s="57"/>
      <c r="F931" s="75" t="s">
        <v>898</v>
      </c>
      <c r="G931" s="55"/>
      <c r="H931" s="58"/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4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4</v>
      </c>
      <c r="P931" s="55"/>
      <c r="Q931" s="62">
        <f>REKAP[[#This Row],[Harga Satuan]]*REKAP[[#This Row],[Stok Akhir]]</f>
        <v>0</v>
      </c>
      <c r="R931" s="61">
        <f>IF(REKAP[[#This Row],[Stok Aktual]]&lt;&gt;"",REKAP[[#This Row],[Stok Aktual]]-REKAP[[#This Row],[Stok Akhir]],0)</f>
        <v>0</v>
      </c>
      <c r="S931" s="132"/>
      <c r="T931" s="137">
        <f>IF(REKAP[[#This Row],[Selisih]]&lt;=-1,REKAP[[#This Row],[Harga Satuan]]*REKAP[[#This Row],[Selisih]],0)</f>
        <v>0</v>
      </c>
    </row>
    <row r="932" spans="1:20" x14ac:dyDescent="0.25">
      <c r="A932" s="55" t="s">
        <v>1258</v>
      </c>
      <c r="B932" s="55" t="s">
        <v>867</v>
      </c>
      <c r="C932" s="55" t="s">
        <v>867</v>
      </c>
      <c r="D932" s="56" t="s">
        <v>1794</v>
      </c>
      <c r="E932" s="57"/>
      <c r="F932" s="75" t="s">
        <v>898</v>
      </c>
      <c r="G932" s="55"/>
      <c r="H932" s="58"/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0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0</v>
      </c>
      <c r="P932" s="55"/>
      <c r="Q932" s="62">
        <f>REKAP[[#This Row],[Harga Satuan]]*REKAP[[#This Row],[Stok Akhir]]</f>
        <v>0</v>
      </c>
      <c r="R932" s="61">
        <f>IF(REKAP[[#This Row],[Stok Aktual]]&lt;&gt;"",REKAP[[#This Row],[Stok Aktual]]-REKAP[[#This Row],[Stok Akhir]],0)</f>
        <v>0</v>
      </c>
      <c r="S932" s="132"/>
      <c r="T932" s="137">
        <f>IF(REKAP[[#This Row],[Selisih]]&lt;=-1,REKAP[[#This Row],[Harga Satuan]]*REKAP[[#This Row],[Selisih]],0)</f>
        <v>0</v>
      </c>
    </row>
    <row r="933" spans="1:20" x14ac:dyDescent="0.25">
      <c r="A933" s="55" t="s">
        <v>1259</v>
      </c>
      <c r="B933" s="55" t="s">
        <v>867</v>
      </c>
      <c r="C933" s="55" t="s">
        <v>867</v>
      </c>
      <c r="D933" s="56" t="s">
        <v>1795</v>
      </c>
      <c r="E933" s="57"/>
      <c r="F933" s="75" t="s">
        <v>898</v>
      </c>
      <c r="G933" s="55"/>
      <c r="H933" s="58">
        <v>68000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2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2</v>
      </c>
      <c r="P933" s="55"/>
      <c r="Q933" s="62">
        <f>REKAP[[#This Row],[Harga Satuan]]*REKAP[[#This Row],[Stok Akhir]]</f>
        <v>136000</v>
      </c>
      <c r="R933" s="61">
        <f>IF(REKAP[[#This Row],[Stok Aktual]]&lt;&gt;"",REKAP[[#This Row],[Stok Aktual]]-REKAP[[#This Row],[Stok Akhir]],0)</f>
        <v>0</v>
      </c>
      <c r="S933" s="132"/>
      <c r="T933" s="137">
        <f>IF(REKAP[[#This Row],[Selisih]]&lt;=-1,REKAP[[#This Row],[Harga Satuan]]*REKAP[[#This Row],[Selisih]],0)</f>
        <v>0</v>
      </c>
    </row>
    <row r="934" spans="1:20" x14ac:dyDescent="0.25">
      <c r="A934" s="55" t="s">
        <v>1260</v>
      </c>
      <c r="B934" s="55" t="s">
        <v>868</v>
      </c>
      <c r="C934" s="55" t="s">
        <v>868</v>
      </c>
      <c r="D934" s="56" t="s">
        <v>1796</v>
      </c>
      <c r="E934" s="57"/>
      <c r="F934" s="75" t="s">
        <v>898</v>
      </c>
      <c r="G934" s="55"/>
      <c r="H934" s="58">
        <v>47476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2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2</v>
      </c>
      <c r="P934" s="55"/>
      <c r="Q934" s="62">
        <f>REKAP[[#This Row],[Harga Satuan]]*REKAP[[#This Row],[Stok Akhir]]</f>
        <v>94952</v>
      </c>
      <c r="R934" s="61">
        <f>IF(REKAP[[#This Row],[Stok Aktual]]&lt;&gt;"",REKAP[[#This Row],[Stok Aktual]]-REKAP[[#This Row],[Stok Akhir]],0)</f>
        <v>0</v>
      </c>
      <c r="S934" s="132"/>
      <c r="T934" s="137">
        <f>IF(REKAP[[#This Row],[Selisih]]&lt;=-1,REKAP[[#This Row],[Harga Satuan]]*REKAP[[#This Row],[Selisih]],0)</f>
        <v>0</v>
      </c>
    </row>
    <row r="935" spans="1:20" x14ac:dyDescent="0.25">
      <c r="A935" s="55" t="s">
        <v>1261</v>
      </c>
      <c r="B935" s="55" t="s">
        <v>867</v>
      </c>
      <c r="C935" s="55" t="s">
        <v>867</v>
      </c>
      <c r="D935" s="56" t="s">
        <v>1797</v>
      </c>
      <c r="E935" s="57"/>
      <c r="F935" s="75" t="s">
        <v>898</v>
      </c>
      <c r="G935" s="55"/>
      <c r="H935" s="58">
        <v>257500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0</v>
      </c>
      <c r="P935" s="55"/>
      <c r="Q935" s="62">
        <f>REKAP[[#This Row],[Harga Satuan]]*REKAP[[#This Row],[Stok Akhir]]</f>
        <v>0</v>
      </c>
      <c r="R935" s="61">
        <f>IF(REKAP[[#This Row],[Stok Aktual]]&lt;&gt;"",REKAP[[#This Row],[Stok Aktual]]-REKAP[[#This Row],[Stok Akhir]],0)</f>
        <v>0</v>
      </c>
      <c r="S935" s="132"/>
      <c r="T935" s="137">
        <f>IF(REKAP[[#This Row],[Selisih]]&lt;=-1,REKAP[[#This Row],[Harga Satuan]]*REKAP[[#This Row],[Selisih]],0)</f>
        <v>0</v>
      </c>
    </row>
    <row r="936" spans="1:20" x14ac:dyDescent="0.25">
      <c r="A936" s="55" t="s">
        <v>1262</v>
      </c>
      <c r="B936" s="55" t="s">
        <v>867</v>
      </c>
      <c r="C936" s="55" t="s">
        <v>867</v>
      </c>
      <c r="D936" s="56" t="s">
        <v>1798</v>
      </c>
      <c r="E936" s="57"/>
      <c r="F936" s="75" t="s">
        <v>898</v>
      </c>
      <c r="G936" s="55"/>
      <c r="H936" s="58"/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2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2</v>
      </c>
      <c r="P936" s="55"/>
      <c r="Q936" s="62">
        <f>REKAP[[#This Row],[Harga Satuan]]*REKAP[[#This Row],[Stok Akhir]]</f>
        <v>0</v>
      </c>
      <c r="R936" s="61">
        <f>IF(REKAP[[#This Row],[Stok Aktual]]&lt;&gt;"",REKAP[[#This Row],[Stok Aktual]]-REKAP[[#This Row],[Stok Akhir]],0)</f>
        <v>0</v>
      </c>
      <c r="S936" s="132"/>
      <c r="T936" s="137">
        <f>IF(REKAP[[#This Row],[Selisih]]&lt;=-1,REKAP[[#This Row],[Harga Satuan]]*REKAP[[#This Row],[Selisih]],0)</f>
        <v>0</v>
      </c>
    </row>
    <row r="937" spans="1:20" x14ac:dyDescent="0.25">
      <c r="A937" s="55" t="s">
        <v>1263</v>
      </c>
      <c r="B937" s="55" t="s">
        <v>869</v>
      </c>
      <c r="C937" s="55" t="s">
        <v>869</v>
      </c>
      <c r="D937" s="56" t="s">
        <v>1799</v>
      </c>
      <c r="E937" s="57"/>
      <c r="F937" s="75" t="s">
        <v>898</v>
      </c>
      <c r="G937" s="55"/>
      <c r="H937" s="58">
        <v>81359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0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0</v>
      </c>
      <c r="P937" s="55"/>
      <c r="Q937" s="62">
        <f>REKAP[[#This Row],[Harga Satuan]]*REKAP[[#This Row],[Stok Akhir]]</f>
        <v>0</v>
      </c>
      <c r="R937" s="61">
        <f>IF(REKAP[[#This Row],[Stok Aktual]]&lt;&gt;"",REKAP[[#This Row],[Stok Aktual]]-REKAP[[#This Row],[Stok Akhir]],0)</f>
        <v>0</v>
      </c>
      <c r="S937" s="132"/>
      <c r="T937" s="137">
        <f>IF(REKAP[[#This Row],[Selisih]]&lt;=-1,REKAP[[#This Row],[Harga Satuan]]*REKAP[[#This Row],[Selisih]],0)</f>
        <v>0</v>
      </c>
    </row>
    <row r="938" spans="1:20" x14ac:dyDescent="0.25">
      <c r="A938" s="55" t="s">
        <v>1264</v>
      </c>
      <c r="B938" s="55" t="s">
        <v>870</v>
      </c>
      <c r="C938" s="55" t="s">
        <v>870</v>
      </c>
      <c r="D938" s="56" t="s">
        <v>1800</v>
      </c>
      <c r="E938" s="57"/>
      <c r="F938" s="75" t="s">
        <v>898</v>
      </c>
      <c r="G938" s="55"/>
      <c r="H938" s="58">
        <v>220000</v>
      </c>
      <c r="I938" s="59">
        <f>IF(COUNTIF(MASUK[Kode Barang],REKAP[[#This Row],[ID]])=0,0,COUNTIF(MASUK[Kode Barang],REKAP[[#This Row],[ID]]))</f>
        <v>1</v>
      </c>
      <c r="J938" s="59">
        <f>IF(COUNTIF(MASUK8[Kode Barang],REKAP[[#This Row],[ID]])=0,0,COUNTIF(MASUK8[Kode Barang],REKAP[[#This Row],[ID]]))</f>
        <v>1</v>
      </c>
      <c r="K938" s="60">
        <f>REKAP[[#This Row],[Trx In]]+REKAP[[#This Row],[Trx Out]]</f>
        <v>2</v>
      </c>
      <c r="L938" s="55">
        <v>0</v>
      </c>
      <c r="M938" s="74">
        <f>SUMIF(MASUK!$C:$C,REKAP[[#This Row],[ID]],MASUK!$H:$H)</f>
        <v>2</v>
      </c>
      <c r="N938" s="74">
        <f>SUMIF(KELUAR!$C:$C,REKAP[[#This Row],[ID]],KELUAR!$H:$H)</f>
        <v>2</v>
      </c>
      <c r="O938" s="74">
        <f>REKAP[[#This Row],[Stok Awal]]+REKAP[[#This Row],[Masuk]]-REKAP[[#This Row],[Keluar]]</f>
        <v>0</v>
      </c>
      <c r="P938" s="55">
        <v>0</v>
      </c>
      <c r="Q938" s="62">
        <f>REKAP[[#This Row],[Harga Satuan]]*REKAP[[#This Row],[Stok Akhir]]</f>
        <v>0</v>
      </c>
      <c r="R938" s="61">
        <f>IF(REKAP[[#This Row],[Stok Aktual]]&lt;&gt;"",REKAP[[#This Row],[Stok Aktual]]-REKAP[[#This Row],[Stok Akhir]],0)</f>
        <v>0</v>
      </c>
      <c r="S938" s="132"/>
      <c r="T938" s="137">
        <f>IF(REKAP[[#This Row],[Selisih]]&lt;=-1,REKAP[[#This Row],[Harga Satuan]]*REKAP[[#This Row],[Selisih]],0)</f>
        <v>0</v>
      </c>
    </row>
    <row r="939" spans="1:20" x14ac:dyDescent="0.25">
      <c r="A939" s="55" t="s">
        <v>1265</v>
      </c>
      <c r="B939" s="55" t="s">
        <v>871</v>
      </c>
      <c r="C939" s="55" t="s">
        <v>871</v>
      </c>
      <c r="D939" s="56" t="s">
        <v>1801</v>
      </c>
      <c r="E939" s="57"/>
      <c r="F939" s="75" t="s">
        <v>898</v>
      </c>
      <c r="G939" s="55"/>
      <c r="H939" s="58">
        <v>180000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0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0</v>
      </c>
      <c r="P939" s="55"/>
      <c r="Q939" s="62">
        <f>REKAP[[#This Row],[Harga Satuan]]*REKAP[[#This Row],[Stok Akhir]]</f>
        <v>0</v>
      </c>
      <c r="R939" s="61">
        <f>IF(REKAP[[#This Row],[Stok Aktual]]&lt;&gt;"",REKAP[[#This Row],[Stok Aktual]]-REKAP[[#This Row],[Stok Akhir]],0)</f>
        <v>0</v>
      </c>
      <c r="S939" s="132"/>
      <c r="T939" s="137">
        <f>IF(REKAP[[#This Row],[Selisih]]&lt;=-1,REKAP[[#This Row],[Harga Satuan]]*REKAP[[#This Row],[Selisih]],0)</f>
        <v>0</v>
      </c>
    </row>
    <row r="940" spans="1:20" x14ac:dyDescent="0.25">
      <c r="A940" s="55" t="s">
        <v>1266</v>
      </c>
      <c r="B940" s="55" t="s">
        <v>872</v>
      </c>
      <c r="C940" s="55" t="s">
        <v>872</v>
      </c>
      <c r="D940" s="56" t="s">
        <v>1802</v>
      </c>
      <c r="E940" s="57"/>
      <c r="F940" s="75" t="s">
        <v>898</v>
      </c>
      <c r="G940" s="55" t="s">
        <v>1973</v>
      </c>
      <c r="H940" s="58">
        <v>287400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0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0</v>
      </c>
      <c r="P940" s="55"/>
      <c r="Q940" s="62">
        <f>REKAP[[#This Row],[Harga Satuan]]*REKAP[[#This Row],[Stok Akhir]]</f>
        <v>0</v>
      </c>
      <c r="R940" s="61">
        <f>IF(REKAP[[#This Row],[Stok Aktual]]&lt;&gt;"",REKAP[[#This Row],[Stok Aktual]]-REKAP[[#This Row],[Stok Akhir]],0)</f>
        <v>0</v>
      </c>
      <c r="S940" s="132"/>
      <c r="T940" s="137">
        <f>IF(REKAP[[#This Row],[Selisih]]&lt;=-1,REKAP[[#This Row],[Harga Satuan]]*REKAP[[#This Row],[Selisih]],0)</f>
        <v>0</v>
      </c>
    </row>
    <row r="941" spans="1:20" x14ac:dyDescent="0.25">
      <c r="A941" s="55" t="s">
        <v>1267</v>
      </c>
      <c r="B941" s="55" t="s">
        <v>873</v>
      </c>
      <c r="C941" s="55" t="s">
        <v>873</v>
      </c>
      <c r="D941" s="56" t="s">
        <v>1803</v>
      </c>
      <c r="E941" s="57"/>
      <c r="F941" s="75" t="s">
        <v>898</v>
      </c>
      <c r="G941" s="55"/>
      <c r="H941" s="58">
        <v>12518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8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8</v>
      </c>
      <c r="P941" s="55"/>
      <c r="Q941" s="62">
        <f>REKAP[[#This Row],[Harga Satuan]]*REKAP[[#This Row],[Stok Akhir]]</f>
        <v>100144</v>
      </c>
      <c r="R941" s="61">
        <f>IF(REKAP[[#This Row],[Stok Aktual]]&lt;&gt;"",REKAP[[#This Row],[Stok Aktual]]-REKAP[[#This Row],[Stok Akhir]],0)</f>
        <v>0</v>
      </c>
      <c r="S941" s="132"/>
      <c r="T941" s="137">
        <f>IF(REKAP[[#This Row],[Selisih]]&lt;=-1,REKAP[[#This Row],[Harga Satuan]]*REKAP[[#This Row],[Selisih]],0)</f>
        <v>0</v>
      </c>
    </row>
    <row r="942" spans="1:20" x14ac:dyDescent="0.25">
      <c r="A942" s="55" t="s">
        <v>1268</v>
      </c>
      <c r="B942" s="55" t="s">
        <v>873</v>
      </c>
      <c r="C942" s="55" t="s">
        <v>873</v>
      </c>
      <c r="D942" s="56" t="s">
        <v>1804</v>
      </c>
      <c r="E942" s="57"/>
      <c r="F942" s="75" t="s">
        <v>898</v>
      </c>
      <c r="G942" s="55"/>
      <c r="H942" s="58">
        <v>257500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</v>
      </c>
      <c r="P942" s="55"/>
      <c r="Q942" s="62">
        <f>REKAP[[#This Row],[Harga Satuan]]*REKAP[[#This Row],[Stok Akhir]]</f>
        <v>772500</v>
      </c>
      <c r="R942" s="61">
        <f>IF(REKAP[[#This Row],[Stok Aktual]]&lt;&gt;"",REKAP[[#This Row],[Stok Aktual]]-REKAP[[#This Row],[Stok Akhir]],0)</f>
        <v>0</v>
      </c>
      <c r="S942" s="132"/>
      <c r="T942" s="137">
        <f>IF(REKAP[[#This Row],[Selisih]]&lt;=-1,REKAP[[#This Row],[Harga Satuan]]*REKAP[[#This Row],[Selisih]],0)</f>
        <v>0</v>
      </c>
    </row>
    <row r="943" spans="1:20" x14ac:dyDescent="0.25">
      <c r="A943" s="55" t="s">
        <v>1269</v>
      </c>
      <c r="B943" s="55" t="s">
        <v>873</v>
      </c>
      <c r="C943" s="55" t="s">
        <v>873</v>
      </c>
      <c r="D943" s="56" t="s">
        <v>1805</v>
      </c>
      <c r="E943" s="57"/>
      <c r="F943" s="75" t="s">
        <v>898</v>
      </c>
      <c r="G943" s="55"/>
      <c r="H943" s="58">
        <v>22253</v>
      </c>
      <c r="I943" s="59">
        <f>IF(COUNTIF(MASUK[Kode Barang],REKAP[[#This Row],[ID]])=0,0,COUNTIF(MASUK[Kode Barang],REKAP[[#This Row],[ID]]))</f>
        <v>0</v>
      </c>
      <c r="J943" s="59">
        <f>IF(COUNTIF(MASUK8[Kode Barang],REKAP[[#This Row],[ID]])=0,0,COUNTIF(MASUK8[Kode Barang],REKAP[[#This Row],[ID]]))</f>
        <v>0</v>
      </c>
      <c r="K943" s="60">
        <f>REKAP[[#This Row],[Trx In]]+REKAP[[#This Row],[Trx Out]]</f>
        <v>0</v>
      </c>
      <c r="L943" s="55">
        <v>6</v>
      </c>
      <c r="M943" s="74">
        <f>SUMIF(MASUK!$C:$C,REKAP[[#This Row],[ID]],MASUK!$H:$H)</f>
        <v>0</v>
      </c>
      <c r="N943" s="74">
        <f>SUMIF(KELUAR!$C:$C,REKAP[[#This Row],[ID]],KELUAR!$H:$H)</f>
        <v>0</v>
      </c>
      <c r="O943" s="74">
        <f>REKAP[[#This Row],[Stok Awal]]+REKAP[[#This Row],[Masuk]]-REKAP[[#This Row],[Keluar]]</f>
        <v>6</v>
      </c>
      <c r="P943" s="55"/>
      <c r="Q943" s="62">
        <f>REKAP[[#This Row],[Harga Satuan]]*REKAP[[#This Row],[Stok Akhir]]</f>
        <v>133518</v>
      </c>
      <c r="R943" s="61">
        <f>IF(REKAP[[#This Row],[Stok Aktual]]&lt;&gt;"",REKAP[[#This Row],[Stok Aktual]]-REKAP[[#This Row],[Stok Akhir]],0)</f>
        <v>0</v>
      </c>
      <c r="S943" s="132"/>
      <c r="T943" s="137">
        <f>IF(REKAP[[#This Row],[Selisih]]&lt;=-1,REKAP[[#This Row],[Harga Satuan]]*REKAP[[#This Row],[Selisih]],0)</f>
        <v>0</v>
      </c>
    </row>
    <row r="944" spans="1:20" x14ac:dyDescent="0.25">
      <c r="A944" s="55" t="s">
        <v>1270</v>
      </c>
      <c r="B944" s="55" t="s">
        <v>874</v>
      </c>
      <c r="C944" s="55" t="s">
        <v>874</v>
      </c>
      <c r="D944" s="56" t="s">
        <v>1806</v>
      </c>
      <c r="E944" s="57"/>
      <c r="F944" s="75" t="s">
        <v>898</v>
      </c>
      <c r="G944" s="55"/>
      <c r="H944" s="58">
        <v>220000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1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1</v>
      </c>
      <c r="P944" s="55"/>
      <c r="Q944" s="62">
        <f>REKAP[[#This Row],[Harga Satuan]]*REKAP[[#This Row],[Stok Akhir]]</f>
        <v>220000</v>
      </c>
      <c r="R944" s="61">
        <f>IF(REKAP[[#This Row],[Stok Aktual]]&lt;&gt;"",REKAP[[#This Row],[Stok Aktual]]-REKAP[[#This Row],[Stok Akhir]],0)</f>
        <v>0</v>
      </c>
      <c r="S944" s="132"/>
      <c r="T944" s="137">
        <f>IF(REKAP[[#This Row],[Selisih]]&lt;=-1,REKAP[[#This Row],[Harga Satuan]]*REKAP[[#This Row],[Selisih]],0)</f>
        <v>0</v>
      </c>
    </row>
    <row r="945" spans="1:20" x14ac:dyDescent="0.25">
      <c r="A945" s="55" t="s">
        <v>1271</v>
      </c>
      <c r="B945" s="55" t="s">
        <v>874</v>
      </c>
      <c r="C945" s="55" t="s">
        <v>874</v>
      </c>
      <c r="D945" s="56" t="s">
        <v>1807</v>
      </c>
      <c r="E945" s="57"/>
      <c r="F945" s="75" t="s">
        <v>898</v>
      </c>
      <c r="G945" s="55"/>
      <c r="H945" s="58"/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1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1</v>
      </c>
      <c r="P945" s="55"/>
      <c r="Q945" s="62">
        <f>REKAP[[#This Row],[Harga Satuan]]*REKAP[[#This Row],[Stok Akhir]]</f>
        <v>0</v>
      </c>
      <c r="R945" s="61">
        <f>IF(REKAP[[#This Row],[Stok Aktual]]&lt;&gt;"",REKAP[[#This Row],[Stok Aktual]]-REKAP[[#This Row],[Stok Akhir]],0)</f>
        <v>0</v>
      </c>
      <c r="S945" s="132"/>
      <c r="T945" s="137">
        <f>IF(REKAP[[#This Row],[Selisih]]&lt;=-1,REKAP[[#This Row],[Harga Satuan]]*REKAP[[#This Row],[Selisih]],0)</f>
        <v>0</v>
      </c>
    </row>
    <row r="946" spans="1:20" x14ac:dyDescent="0.25">
      <c r="A946" s="55" t="s">
        <v>1272</v>
      </c>
      <c r="B946" s="55" t="s">
        <v>875</v>
      </c>
      <c r="C946" s="55" t="s">
        <v>875</v>
      </c>
      <c r="D946" s="56"/>
      <c r="E946" s="57"/>
      <c r="F946" s="75" t="s">
        <v>898</v>
      </c>
      <c r="G946" s="55" t="s">
        <v>1975</v>
      </c>
      <c r="H946" s="58">
        <v>20000</v>
      </c>
      <c r="I946" s="59">
        <f>IF(COUNTIF(MASUK[Kode Barang],REKAP[[#This Row],[ID]])=0,0,COUNTIF(MASUK[Kode Barang],REKAP[[#This Row],[ID]]))</f>
        <v>2</v>
      </c>
      <c r="J946" s="59">
        <f>IF(COUNTIF(MASUK8[Kode Barang],REKAP[[#This Row],[ID]])=0,0,COUNTIF(MASUK8[Kode Barang],REKAP[[#This Row],[ID]]))</f>
        <v>3</v>
      </c>
      <c r="K946" s="60">
        <f>REKAP[[#This Row],[Trx In]]+REKAP[[#This Row],[Trx Out]]</f>
        <v>5</v>
      </c>
      <c r="L946" s="55">
        <v>2</v>
      </c>
      <c r="M946" s="74">
        <f>SUMIF(MASUK!$C:$C,REKAP[[#This Row],[ID]],MASUK!$H:$H)</f>
        <v>2</v>
      </c>
      <c r="N946" s="74">
        <f>SUMIF(KELUAR!$C:$C,REKAP[[#This Row],[ID]],KELUAR!$H:$H)</f>
        <v>3</v>
      </c>
      <c r="O946" s="74">
        <f>REKAP[[#This Row],[Stok Awal]]+REKAP[[#This Row],[Masuk]]-REKAP[[#This Row],[Keluar]]</f>
        <v>1</v>
      </c>
      <c r="P946" s="55">
        <v>1</v>
      </c>
      <c r="Q946" s="62">
        <f>REKAP[[#This Row],[Harga Satuan]]*REKAP[[#This Row],[Stok Akhir]]</f>
        <v>20000</v>
      </c>
      <c r="R946" s="61">
        <f>IF(REKAP[[#This Row],[Stok Aktual]]&lt;&gt;"",REKAP[[#This Row],[Stok Aktual]]-REKAP[[#This Row],[Stok Akhir]],0)</f>
        <v>0</v>
      </c>
      <c r="S946" s="132"/>
      <c r="T946" s="137">
        <f>IF(REKAP[[#This Row],[Selisih]]&lt;=-1,REKAP[[#This Row],[Harga Satuan]]*REKAP[[#This Row],[Selisih]],0)</f>
        <v>0</v>
      </c>
    </row>
    <row r="947" spans="1:20" x14ac:dyDescent="0.25">
      <c r="A947" s="55" t="s">
        <v>1273</v>
      </c>
      <c r="B947" s="55" t="s">
        <v>3608</v>
      </c>
      <c r="C947" s="55" t="s">
        <v>3608</v>
      </c>
      <c r="D947" s="56" t="s">
        <v>1808</v>
      </c>
      <c r="E947" s="57"/>
      <c r="F947" s="75" t="s">
        <v>898</v>
      </c>
      <c r="G947" s="55" t="s">
        <v>1973</v>
      </c>
      <c r="H947" s="58">
        <v>142600</v>
      </c>
      <c r="I947" s="59">
        <f>IF(COUNTIF(MASUK[Kode Barang],REKAP[[#This Row],[ID]])=0,0,COUNTIF(MASUK[Kode Barang],REKAP[[#This Row],[ID]]))</f>
        <v>0</v>
      </c>
      <c r="J947" s="59">
        <f>IF(COUNTIF(MASUK8[Kode Barang],REKAP[[#This Row],[ID]])=0,0,COUNTIF(MASUK8[Kode Barang],REKAP[[#This Row],[ID]]))</f>
        <v>0</v>
      </c>
      <c r="K947" s="60">
        <f>REKAP[[#This Row],[Trx In]]+REKAP[[#This Row],[Trx Out]]</f>
        <v>0</v>
      </c>
      <c r="L947" s="55">
        <v>0</v>
      </c>
      <c r="M947" s="74">
        <f>SUMIF(MASUK!$C:$C,REKAP[[#This Row],[ID]],MASUK!$H:$H)</f>
        <v>0</v>
      </c>
      <c r="N947" s="74">
        <f>SUMIF(KELUAR!$C:$C,REKAP[[#This Row],[ID]],KELUAR!$H:$H)</f>
        <v>0</v>
      </c>
      <c r="O947" s="74">
        <f>REKAP[[#This Row],[Stok Awal]]+REKAP[[#This Row],[Masuk]]-REKAP[[#This Row],[Keluar]]</f>
        <v>0</v>
      </c>
      <c r="P947" s="55"/>
      <c r="Q947" s="62">
        <f>REKAP[[#This Row],[Harga Satuan]]*REKAP[[#This Row],[Stok Akhir]]</f>
        <v>0</v>
      </c>
      <c r="R947" s="61">
        <f>IF(REKAP[[#This Row],[Stok Aktual]]&lt;&gt;"",REKAP[[#This Row],[Stok Aktual]]-REKAP[[#This Row],[Stok Akhir]],0)</f>
        <v>0</v>
      </c>
      <c r="S947" s="132"/>
      <c r="T947" s="137">
        <f>IF(REKAP[[#This Row],[Selisih]]&lt;=-1,REKAP[[#This Row],[Harga Satuan]]*REKAP[[#This Row],[Selisih]],0)</f>
        <v>0</v>
      </c>
    </row>
    <row r="948" spans="1:20" x14ac:dyDescent="0.25">
      <c r="A948" s="55" t="s">
        <v>1274</v>
      </c>
      <c r="B948" s="55" t="s">
        <v>3609</v>
      </c>
      <c r="C948" s="55" t="s">
        <v>3609</v>
      </c>
      <c r="D948" s="56" t="s">
        <v>1809</v>
      </c>
      <c r="E948" s="57"/>
      <c r="F948" s="75" t="s">
        <v>898</v>
      </c>
      <c r="G948" s="55"/>
      <c r="H948" s="58">
        <v>136273</v>
      </c>
      <c r="I948" s="59">
        <f>IF(COUNTIF(MASUK[Kode Barang],REKAP[[#This Row],[ID]])=0,0,COUNTIF(MASUK[Kode Barang],REKAP[[#This Row],[ID]]))</f>
        <v>0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0</v>
      </c>
      <c r="L948" s="55">
        <v>0</v>
      </c>
      <c r="M948" s="74">
        <f>SUMIF(MASUK!$C:$C,REKAP[[#This Row],[ID]],MASUK!$H:$H)</f>
        <v>0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0</v>
      </c>
      <c r="P948" s="55"/>
      <c r="Q948" s="62">
        <f>REKAP[[#This Row],[Harga Satuan]]*REKAP[[#This Row],[Stok Akhir]]</f>
        <v>0</v>
      </c>
      <c r="R948" s="61">
        <f>IF(REKAP[[#This Row],[Stok Aktual]]&lt;&gt;"",REKAP[[#This Row],[Stok Aktual]]-REKAP[[#This Row],[Stok Akhir]],0)</f>
        <v>0</v>
      </c>
      <c r="S948" s="132"/>
      <c r="T948" s="137">
        <f>IF(REKAP[[#This Row],[Selisih]]&lt;=-1,REKAP[[#This Row],[Harga Satuan]]*REKAP[[#This Row],[Selisih]],0)</f>
        <v>0</v>
      </c>
    </row>
    <row r="949" spans="1:20" x14ac:dyDescent="0.25">
      <c r="A949" s="55" t="s">
        <v>1275</v>
      </c>
      <c r="B949" s="55" t="s">
        <v>876</v>
      </c>
      <c r="C949" s="55" t="s">
        <v>876</v>
      </c>
      <c r="D949" s="56" t="s">
        <v>1810</v>
      </c>
      <c r="E949" s="57"/>
      <c r="F949" s="75" t="s">
        <v>898</v>
      </c>
      <c r="G949" s="55"/>
      <c r="H949" s="58">
        <v>178876</v>
      </c>
      <c r="I949" s="59">
        <f>IF(COUNTIF(MASUK[Kode Barang],REKAP[[#This Row],[ID]])=0,0,COUNTIF(MASUK[Kode Barang],REKAP[[#This Row],[ID]]))</f>
        <v>0</v>
      </c>
      <c r="J949" s="59">
        <f>IF(COUNTIF(MASUK8[Kode Barang],REKAP[[#This Row],[ID]])=0,0,COUNTIF(MASUK8[Kode Barang],REKAP[[#This Row],[ID]]))</f>
        <v>0</v>
      </c>
      <c r="K949" s="60">
        <f>REKAP[[#This Row],[Trx In]]+REKAP[[#This Row],[Trx Out]]</f>
        <v>0</v>
      </c>
      <c r="L949" s="55">
        <v>4</v>
      </c>
      <c r="M949" s="74">
        <f>SUMIF(MASUK!$C:$C,REKAP[[#This Row],[ID]],MASUK!$H:$H)</f>
        <v>0</v>
      </c>
      <c r="N949" s="74">
        <f>SUMIF(KELUAR!$C:$C,REKAP[[#This Row],[ID]],KELUAR!$H:$H)</f>
        <v>0</v>
      </c>
      <c r="O949" s="74">
        <f>REKAP[[#This Row],[Stok Awal]]+REKAP[[#This Row],[Masuk]]-REKAP[[#This Row],[Keluar]]</f>
        <v>4</v>
      </c>
      <c r="P949" s="55"/>
      <c r="Q949" s="62">
        <f>REKAP[[#This Row],[Harga Satuan]]*REKAP[[#This Row],[Stok Akhir]]</f>
        <v>715504</v>
      </c>
      <c r="R949" s="61">
        <f>IF(REKAP[[#This Row],[Stok Aktual]]&lt;&gt;"",REKAP[[#This Row],[Stok Aktual]]-REKAP[[#This Row],[Stok Akhir]],0)</f>
        <v>0</v>
      </c>
      <c r="S949" s="132"/>
      <c r="T949" s="137">
        <f>IF(REKAP[[#This Row],[Selisih]]&lt;=-1,REKAP[[#This Row],[Harga Satuan]]*REKAP[[#This Row],[Selisih]],0)</f>
        <v>0</v>
      </c>
    </row>
    <row r="950" spans="1:20" x14ac:dyDescent="0.25">
      <c r="A950" s="55" t="s">
        <v>1276</v>
      </c>
      <c r="B950" s="55" t="s">
        <v>877</v>
      </c>
      <c r="C950" s="55" t="s">
        <v>877</v>
      </c>
      <c r="D950" s="56" t="s">
        <v>877</v>
      </c>
      <c r="E950" s="57"/>
      <c r="F950" s="75" t="s">
        <v>898</v>
      </c>
      <c r="G950" s="55"/>
      <c r="H950" s="58"/>
      <c r="I950" s="59">
        <f>IF(COUNTIF(MASUK[Kode Barang],REKAP[[#This Row],[ID]])=0,0,COUNTIF(MASUK[Kode Barang],REKAP[[#This Row],[ID]]))</f>
        <v>0</v>
      </c>
      <c r="J950" s="59">
        <f>IF(COUNTIF(MASUK8[Kode Barang],REKAP[[#This Row],[ID]])=0,0,COUNTIF(MASUK8[Kode Barang],REKAP[[#This Row],[ID]]))</f>
        <v>0</v>
      </c>
      <c r="K950" s="60">
        <f>REKAP[[#This Row],[Trx In]]+REKAP[[#This Row],[Trx Out]]</f>
        <v>0</v>
      </c>
      <c r="L950" s="55">
        <v>2</v>
      </c>
      <c r="M950" s="74">
        <f>SUMIF(MASUK!$C:$C,REKAP[[#This Row],[ID]],MASUK!$H:$H)</f>
        <v>0</v>
      </c>
      <c r="N950" s="74">
        <f>SUMIF(KELUAR!$C:$C,REKAP[[#This Row],[ID]],KELUAR!$H:$H)</f>
        <v>0</v>
      </c>
      <c r="O950" s="74">
        <f>REKAP[[#This Row],[Stok Awal]]+REKAP[[#This Row],[Masuk]]-REKAP[[#This Row],[Keluar]]</f>
        <v>2</v>
      </c>
      <c r="P950" s="55"/>
      <c r="Q950" s="62">
        <f>REKAP[[#This Row],[Harga Satuan]]*REKAP[[#This Row],[Stok Akhir]]</f>
        <v>0</v>
      </c>
      <c r="R950" s="61">
        <f>IF(REKAP[[#This Row],[Stok Aktual]]&lt;&gt;"",REKAP[[#This Row],[Stok Aktual]]-REKAP[[#This Row],[Stok Akhir]],0)</f>
        <v>0</v>
      </c>
      <c r="S950" s="132"/>
      <c r="T950" s="137">
        <f>IF(REKAP[[#This Row],[Selisih]]&lt;=-1,REKAP[[#This Row],[Harga Satuan]]*REKAP[[#This Row],[Selisih]],0)</f>
        <v>0</v>
      </c>
    </row>
    <row r="951" spans="1:20" x14ac:dyDescent="0.25">
      <c r="A951" s="55" t="s">
        <v>1277</v>
      </c>
      <c r="B951" s="55" t="s">
        <v>878</v>
      </c>
      <c r="C951" s="55" t="s">
        <v>878</v>
      </c>
      <c r="D951" s="56" t="s">
        <v>1811</v>
      </c>
      <c r="E951" s="57"/>
      <c r="F951" s="75" t="s">
        <v>898</v>
      </c>
      <c r="G951" s="55" t="s">
        <v>1973</v>
      </c>
      <c r="H951" s="58">
        <v>153100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0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0</v>
      </c>
      <c r="P951" s="55"/>
      <c r="Q951" s="62">
        <f>REKAP[[#This Row],[Harga Satuan]]*REKAP[[#This Row],[Stok Akhir]]</f>
        <v>0</v>
      </c>
      <c r="R951" s="61">
        <f>IF(REKAP[[#This Row],[Stok Aktual]]&lt;&gt;"",REKAP[[#This Row],[Stok Aktual]]-REKAP[[#This Row],[Stok Akhir]],0)</f>
        <v>0</v>
      </c>
      <c r="S951" s="132"/>
      <c r="T951" s="137">
        <f>IF(REKAP[[#This Row],[Selisih]]&lt;=-1,REKAP[[#This Row],[Harga Satuan]]*REKAP[[#This Row],[Selisih]],0)</f>
        <v>0</v>
      </c>
    </row>
    <row r="952" spans="1:20" x14ac:dyDescent="0.25">
      <c r="A952" s="55" t="s">
        <v>1278</v>
      </c>
      <c r="B952" s="55" t="s">
        <v>878</v>
      </c>
      <c r="C952" s="55" t="s">
        <v>878</v>
      </c>
      <c r="D952" s="56" t="s">
        <v>1812</v>
      </c>
      <c r="E952" s="57"/>
      <c r="F952" s="75" t="s">
        <v>898</v>
      </c>
      <c r="G952" s="55"/>
      <c r="H952" s="58">
        <v>45923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0</v>
      </c>
      <c r="K952" s="60">
        <f>REKAP[[#This Row],[Trx In]]+REKAP[[#This Row],[Trx Out]]</f>
        <v>0</v>
      </c>
      <c r="L952" s="55">
        <v>0</v>
      </c>
      <c r="M952" s="74">
        <f>SUMIF(MASUK!$C:$C,REKAP[[#This Row],[ID]],MASUK!$H:$H)</f>
        <v>0</v>
      </c>
      <c r="N952" s="74">
        <f>SUMIF(KELUAR!$C:$C,REKAP[[#This Row],[ID]],KELUAR!$H:$H)</f>
        <v>0</v>
      </c>
      <c r="O952" s="74">
        <f>REKAP[[#This Row],[Stok Awal]]+REKAP[[#This Row],[Masuk]]-REKAP[[#This Row],[Keluar]]</f>
        <v>0</v>
      </c>
      <c r="P952" s="55"/>
      <c r="Q952" s="62">
        <f>REKAP[[#This Row],[Harga Satuan]]*REKAP[[#This Row],[Stok Akhir]]</f>
        <v>0</v>
      </c>
      <c r="R952" s="61">
        <f>IF(REKAP[[#This Row],[Stok Aktual]]&lt;&gt;"",REKAP[[#This Row],[Stok Aktual]]-REKAP[[#This Row],[Stok Akhir]],0)</f>
        <v>0</v>
      </c>
      <c r="S952" s="132"/>
      <c r="T952" s="137">
        <f>IF(REKAP[[#This Row],[Selisih]]&lt;=-1,REKAP[[#This Row],[Harga Satuan]]*REKAP[[#This Row],[Selisih]],0)</f>
        <v>0</v>
      </c>
    </row>
    <row r="953" spans="1:20" x14ac:dyDescent="0.25">
      <c r="A953" s="55" t="s">
        <v>1279</v>
      </c>
      <c r="B953" s="55" t="s">
        <v>878</v>
      </c>
      <c r="C953" s="55" t="s">
        <v>878</v>
      </c>
      <c r="D953" s="56" t="s">
        <v>1813</v>
      </c>
      <c r="E953" s="57"/>
      <c r="F953" s="75" t="s">
        <v>898</v>
      </c>
      <c r="G953" s="55"/>
      <c r="H953" s="58">
        <v>72000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0</v>
      </c>
      <c r="P953" s="55"/>
      <c r="Q953" s="62">
        <f>REKAP[[#This Row],[Harga Satuan]]*REKAP[[#This Row],[Stok Akhir]]</f>
        <v>0</v>
      </c>
      <c r="R953" s="61">
        <f>IF(REKAP[[#This Row],[Stok Aktual]]&lt;&gt;"",REKAP[[#This Row],[Stok Aktual]]-REKAP[[#This Row],[Stok Akhir]],0)</f>
        <v>0</v>
      </c>
      <c r="S953" s="132"/>
      <c r="T953" s="137">
        <f>IF(REKAP[[#This Row],[Selisih]]&lt;=-1,REKAP[[#This Row],[Harga Satuan]]*REKAP[[#This Row],[Selisih]],0)</f>
        <v>0</v>
      </c>
    </row>
    <row r="954" spans="1:20" x14ac:dyDescent="0.25">
      <c r="A954" s="55" t="s">
        <v>1280</v>
      </c>
      <c r="B954" s="55" t="s">
        <v>878</v>
      </c>
      <c r="C954" s="55" t="s">
        <v>878</v>
      </c>
      <c r="D954" s="56" t="s">
        <v>1814</v>
      </c>
      <c r="E954" s="57"/>
      <c r="F954" s="75" t="s">
        <v>898</v>
      </c>
      <c r="G954" s="55"/>
      <c r="H954" s="58">
        <v>54150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</v>
      </c>
      <c r="P954" s="55"/>
      <c r="Q954" s="62">
        <f>REKAP[[#This Row],[Harga Satuan]]*REKAP[[#This Row],[Stok Akhir]]</f>
        <v>54150</v>
      </c>
      <c r="R954" s="61">
        <f>IF(REKAP[[#This Row],[Stok Aktual]]&lt;&gt;"",REKAP[[#This Row],[Stok Aktual]]-REKAP[[#This Row],[Stok Akhir]],0)</f>
        <v>0</v>
      </c>
      <c r="S954" s="132"/>
      <c r="T954" s="137">
        <f>IF(REKAP[[#This Row],[Selisih]]&lt;=-1,REKAP[[#This Row],[Harga Satuan]]*REKAP[[#This Row],[Selisih]],0)</f>
        <v>0</v>
      </c>
    </row>
    <row r="955" spans="1:20" x14ac:dyDescent="0.25">
      <c r="A955" s="55" t="s">
        <v>1281</v>
      </c>
      <c r="B955" s="55" t="s">
        <v>878</v>
      </c>
      <c r="C955" s="55" t="s">
        <v>878</v>
      </c>
      <c r="D955" s="56" t="s">
        <v>1815</v>
      </c>
      <c r="E955" s="57"/>
      <c r="F955" s="75" t="s">
        <v>898</v>
      </c>
      <c r="G955" s="55"/>
      <c r="H955" s="58">
        <v>38376</v>
      </c>
      <c r="I955" s="59">
        <f>IF(COUNTIF(MASUK[Kode Barang],REKAP[[#This Row],[ID]])=0,0,COUNTIF(MASUK[Kode Barang],REKAP[[#This Row],[ID]]))</f>
        <v>0</v>
      </c>
      <c r="J955" s="59">
        <f>IF(COUNTIF(MASUK8[Kode Barang],REKAP[[#This Row],[ID]])=0,0,COUNTIF(MASUK8[Kode Barang],REKAP[[#This Row],[ID]]))</f>
        <v>0</v>
      </c>
      <c r="K955" s="60">
        <f>REKAP[[#This Row],[Trx In]]+REKAP[[#This Row],[Trx Out]]</f>
        <v>0</v>
      </c>
      <c r="L955" s="55">
        <v>1</v>
      </c>
      <c r="M955" s="74">
        <f>SUMIF(MASUK!$C:$C,REKAP[[#This Row],[ID]],MASUK!$H:$H)</f>
        <v>0</v>
      </c>
      <c r="N955" s="74">
        <f>SUMIF(KELUAR!$C:$C,REKAP[[#This Row],[ID]],KELUAR!$H:$H)</f>
        <v>0</v>
      </c>
      <c r="O955" s="74">
        <f>REKAP[[#This Row],[Stok Awal]]+REKAP[[#This Row],[Masuk]]-REKAP[[#This Row],[Keluar]]</f>
        <v>1</v>
      </c>
      <c r="P955" s="55"/>
      <c r="Q955" s="62">
        <f>REKAP[[#This Row],[Harga Satuan]]*REKAP[[#This Row],[Stok Akhir]]</f>
        <v>38376</v>
      </c>
      <c r="R955" s="61">
        <f>IF(REKAP[[#This Row],[Stok Aktual]]&lt;&gt;"",REKAP[[#This Row],[Stok Aktual]]-REKAP[[#This Row],[Stok Akhir]],0)</f>
        <v>0</v>
      </c>
      <c r="S955" s="132"/>
      <c r="T955" s="137">
        <f>IF(REKAP[[#This Row],[Selisih]]&lt;=-1,REKAP[[#This Row],[Harga Satuan]]*REKAP[[#This Row],[Selisih]],0)</f>
        <v>0</v>
      </c>
    </row>
    <row r="956" spans="1:20" x14ac:dyDescent="0.25">
      <c r="A956" s="55" t="s">
        <v>1282</v>
      </c>
      <c r="B956" s="55" t="s">
        <v>878</v>
      </c>
      <c r="C956" s="55" t="s">
        <v>878</v>
      </c>
      <c r="D956" s="56" t="s">
        <v>1816</v>
      </c>
      <c r="E956" s="57"/>
      <c r="F956" s="75" t="s">
        <v>898</v>
      </c>
      <c r="G956" s="55"/>
      <c r="H956" s="58"/>
      <c r="I956" s="59">
        <f>IF(COUNTIF(MASUK[Kode Barang],REKAP[[#This Row],[ID]])=0,0,COUNTIF(MASUK[Kode Barang],REKAP[[#This Row],[ID]]))</f>
        <v>0</v>
      </c>
      <c r="J956" s="59">
        <f>IF(COUNTIF(MASUK8[Kode Barang],REKAP[[#This Row],[ID]])=0,0,COUNTIF(MASUK8[Kode Barang],REKAP[[#This Row],[ID]]))</f>
        <v>0</v>
      </c>
      <c r="K956" s="60">
        <f>REKAP[[#This Row],[Trx In]]+REKAP[[#This Row],[Trx Out]]</f>
        <v>0</v>
      </c>
      <c r="L956" s="55">
        <v>12</v>
      </c>
      <c r="M956" s="74">
        <f>SUMIF(MASUK!$C:$C,REKAP[[#This Row],[ID]],MASUK!$H:$H)</f>
        <v>0</v>
      </c>
      <c r="N956" s="74">
        <f>SUMIF(KELUAR!$C:$C,REKAP[[#This Row],[ID]],KELUAR!$H:$H)</f>
        <v>0</v>
      </c>
      <c r="O956" s="74">
        <f>REKAP[[#This Row],[Stok Awal]]+REKAP[[#This Row],[Masuk]]-REKAP[[#This Row],[Keluar]]</f>
        <v>12</v>
      </c>
      <c r="P956" s="55"/>
      <c r="Q956" s="62">
        <f>REKAP[[#This Row],[Harga Satuan]]*REKAP[[#This Row],[Stok Akhir]]</f>
        <v>0</v>
      </c>
      <c r="R956" s="61">
        <f>IF(REKAP[[#This Row],[Stok Aktual]]&lt;&gt;"",REKAP[[#This Row],[Stok Aktual]]-REKAP[[#This Row],[Stok Akhir]],0)</f>
        <v>0</v>
      </c>
      <c r="S956" s="132"/>
      <c r="T956" s="137">
        <f>IF(REKAP[[#This Row],[Selisih]]&lt;=-1,REKAP[[#This Row],[Harga Satuan]]*REKAP[[#This Row],[Selisih]],0)</f>
        <v>0</v>
      </c>
    </row>
    <row r="957" spans="1:20" x14ac:dyDescent="0.25">
      <c r="A957" s="55" t="s">
        <v>1283</v>
      </c>
      <c r="B957" s="55" t="s">
        <v>878</v>
      </c>
      <c r="C957" s="55" t="s">
        <v>878</v>
      </c>
      <c r="D957" s="56" t="s">
        <v>1817</v>
      </c>
      <c r="E957" s="57"/>
      <c r="F957" s="75" t="s">
        <v>898</v>
      </c>
      <c r="G957" s="55"/>
      <c r="H957" s="58">
        <v>72092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0</v>
      </c>
      <c r="K957" s="60">
        <f>REKAP[[#This Row],[Trx In]]+REKAP[[#This Row],[Trx Out]]</f>
        <v>0</v>
      </c>
      <c r="L957" s="55">
        <v>43</v>
      </c>
      <c r="M957" s="74">
        <f>SUMIF(MASUK!$C:$C,REKAP[[#This Row],[ID]],MASUK!$H:$H)</f>
        <v>0</v>
      </c>
      <c r="N957" s="74">
        <f>SUMIF(KELUAR!$C:$C,REKAP[[#This Row],[ID]],KELUAR!$H:$H)</f>
        <v>0</v>
      </c>
      <c r="O957" s="74">
        <f>REKAP[[#This Row],[Stok Awal]]+REKAP[[#This Row],[Masuk]]-REKAP[[#This Row],[Keluar]]</f>
        <v>43</v>
      </c>
      <c r="P957" s="55"/>
      <c r="Q957" s="62">
        <f>REKAP[[#This Row],[Harga Satuan]]*REKAP[[#This Row],[Stok Akhir]]</f>
        <v>3099956</v>
      </c>
      <c r="R957" s="61">
        <f>IF(REKAP[[#This Row],[Stok Aktual]]&lt;&gt;"",REKAP[[#This Row],[Stok Aktual]]-REKAP[[#This Row],[Stok Akhir]],0)</f>
        <v>0</v>
      </c>
      <c r="S957" s="132"/>
      <c r="T957" s="137">
        <f>IF(REKAP[[#This Row],[Selisih]]&lt;=-1,REKAP[[#This Row],[Harga Satuan]]*REKAP[[#This Row],[Selisih]],0)</f>
        <v>0</v>
      </c>
    </row>
    <row r="958" spans="1:20" x14ac:dyDescent="0.25">
      <c r="A958" s="55" t="s">
        <v>1284</v>
      </c>
      <c r="B958" s="55" t="s">
        <v>878</v>
      </c>
      <c r="C958" s="55" t="s">
        <v>878</v>
      </c>
      <c r="D958" s="56" t="s">
        <v>1818</v>
      </c>
      <c r="E958" s="57"/>
      <c r="F958" s="75" t="s">
        <v>898</v>
      </c>
      <c r="G958" s="55"/>
      <c r="H958" s="58">
        <v>21750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0</v>
      </c>
      <c r="K958" s="60">
        <f>REKAP[[#This Row],[Trx In]]+REKAP[[#This Row],[Trx Out]]</f>
        <v>0</v>
      </c>
      <c r="L958" s="55">
        <v>2</v>
      </c>
      <c r="M958" s="74">
        <f>SUMIF(MASUK!$C:$C,REKAP[[#This Row],[ID]],MASUK!$H:$H)</f>
        <v>0</v>
      </c>
      <c r="N958" s="74">
        <f>SUMIF(KELUAR!$C:$C,REKAP[[#This Row],[ID]],KELUAR!$H:$H)</f>
        <v>0</v>
      </c>
      <c r="O958" s="74">
        <f>REKAP[[#This Row],[Stok Awal]]+REKAP[[#This Row],[Masuk]]-REKAP[[#This Row],[Keluar]]</f>
        <v>2</v>
      </c>
      <c r="P958" s="55"/>
      <c r="Q958" s="62">
        <f>REKAP[[#This Row],[Harga Satuan]]*REKAP[[#This Row],[Stok Akhir]]</f>
        <v>43500</v>
      </c>
      <c r="R958" s="61">
        <f>IF(REKAP[[#This Row],[Stok Aktual]]&lt;&gt;"",REKAP[[#This Row],[Stok Aktual]]-REKAP[[#This Row],[Stok Akhir]],0)</f>
        <v>0</v>
      </c>
      <c r="S958" s="132"/>
      <c r="T958" s="137">
        <f>IF(REKAP[[#This Row],[Selisih]]&lt;=-1,REKAP[[#This Row],[Harga Satuan]]*REKAP[[#This Row],[Selisih]],0)</f>
        <v>0</v>
      </c>
    </row>
    <row r="959" spans="1:20" x14ac:dyDescent="0.25">
      <c r="A959" s="55" t="s">
        <v>1285</v>
      </c>
      <c r="B959" s="55" t="s">
        <v>878</v>
      </c>
      <c r="C959" s="55" t="s">
        <v>878</v>
      </c>
      <c r="D959" s="56" t="s">
        <v>1819</v>
      </c>
      <c r="E959" s="57"/>
      <c r="F959" s="75" t="s">
        <v>898</v>
      </c>
      <c r="G959" s="55"/>
      <c r="H959" s="58">
        <v>65000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0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0</v>
      </c>
      <c r="P959" s="55"/>
      <c r="Q959" s="62">
        <f>REKAP[[#This Row],[Harga Satuan]]*REKAP[[#This Row],[Stok Akhir]]</f>
        <v>0</v>
      </c>
      <c r="R959" s="61">
        <f>IF(REKAP[[#This Row],[Stok Aktual]]&lt;&gt;"",REKAP[[#This Row],[Stok Aktual]]-REKAP[[#This Row],[Stok Akhir]],0)</f>
        <v>0</v>
      </c>
      <c r="S959" s="132"/>
      <c r="T959" s="137">
        <f>IF(REKAP[[#This Row],[Selisih]]&lt;=-1,REKAP[[#This Row],[Harga Satuan]]*REKAP[[#This Row],[Selisih]],0)</f>
        <v>0</v>
      </c>
    </row>
    <row r="960" spans="1:20" x14ac:dyDescent="0.25">
      <c r="A960" s="55" t="s">
        <v>1286</v>
      </c>
      <c r="B960" s="55" t="s">
        <v>878</v>
      </c>
      <c r="C960" s="55" t="s">
        <v>878</v>
      </c>
      <c r="D960" s="56" t="s">
        <v>1820</v>
      </c>
      <c r="E960" s="57"/>
      <c r="F960" s="75" t="s">
        <v>898</v>
      </c>
      <c r="G960" s="55"/>
      <c r="H960" s="58">
        <v>11160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25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25</v>
      </c>
      <c r="P960" s="55"/>
      <c r="Q960" s="62">
        <f>REKAP[[#This Row],[Harga Satuan]]*REKAP[[#This Row],[Stok Akhir]]</f>
        <v>279000</v>
      </c>
      <c r="R960" s="61">
        <f>IF(REKAP[[#This Row],[Stok Aktual]]&lt;&gt;"",REKAP[[#This Row],[Stok Aktual]]-REKAP[[#This Row],[Stok Akhir]],0)</f>
        <v>0</v>
      </c>
      <c r="S960" s="132"/>
      <c r="T960" s="137">
        <f>IF(REKAP[[#This Row],[Selisih]]&lt;=-1,REKAP[[#This Row],[Harga Satuan]]*REKAP[[#This Row],[Selisih]],0)</f>
        <v>0</v>
      </c>
    </row>
    <row r="961" spans="1:20" x14ac:dyDescent="0.25">
      <c r="A961" s="55" t="s">
        <v>1287</v>
      </c>
      <c r="B961" s="55" t="s">
        <v>879</v>
      </c>
      <c r="C961" s="55" t="s">
        <v>879</v>
      </c>
      <c r="D961" s="56" t="s">
        <v>1821</v>
      </c>
      <c r="E961" s="57"/>
      <c r="F961" s="75" t="s">
        <v>898</v>
      </c>
      <c r="G961" s="55"/>
      <c r="H961" s="58">
        <v>6000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0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0</v>
      </c>
      <c r="P961" s="55"/>
      <c r="Q961" s="62">
        <f>REKAP[[#This Row],[Harga Satuan]]*REKAP[[#This Row],[Stok Akhir]]</f>
        <v>0</v>
      </c>
      <c r="R961" s="61">
        <f>IF(REKAP[[#This Row],[Stok Aktual]]&lt;&gt;"",REKAP[[#This Row],[Stok Aktual]]-REKAP[[#This Row],[Stok Akhir]],0)</f>
        <v>0</v>
      </c>
      <c r="S961" s="132"/>
      <c r="T961" s="137">
        <f>IF(REKAP[[#This Row],[Selisih]]&lt;=-1,REKAP[[#This Row],[Harga Satuan]]*REKAP[[#This Row],[Selisih]],0)</f>
        <v>0</v>
      </c>
    </row>
    <row r="962" spans="1:20" x14ac:dyDescent="0.25">
      <c r="A962" s="55" t="s">
        <v>1288</v>
      </c>
      <c r="B962" s="55" t="s">
        <v>879</v>
      </c>
      <c r="C962" s="55" t="s">
        <v>879</v>
      </c>
      <c r="D962" s="56" t="s">
        <v>1822</v>
      </c>
      <c r="E962" s="57"/>
      <c r="F962" s="75" t="s">
        <v>898</v>
      </c>
      <c r="G962" s="55"/>
      <c r="H962" s="58">
        <v>7500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0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0</v>
      </c>
      <c r="P962" s="55"/>
      <c r="Q962" s="62">
        <f>REKAP[[#This Row],[Harga Satuan]]*REKAP[[#This Row],[Stok Akhir]]</f>
        <v>0</v>
      </c>
      <c r="R962" s="61">
        <f>IF(REKAP[[#This Row],[Stok Aktual]]&lt;&gt;"",REKAP[[#This Row],[Stok Aktual]]-REKAP[[#This Row],[Stok Akhir]],0)</f>
        <v>0</v>
      </c>
      <c r="S962" s="132"/>
      <c r="T962" s="137">
        <f>IF(REKAP[[#This Row],[Selisih]]&lt;=-1,REKAP[[#This Row],[Harga Satuan]]*REKAP[[#This Row],[Selisih]],0)</f>
        <v>0</v>
      </c>
    </row>
    <row r="963" spans="1:20" x14ac:dyDescent="0.25">
      <c r="A963" s="55" t="s">
        <v>1289</v>
      </c>
      <c r="B963" s="55" t="s">
        <v>879</v>
      </c>
      <c r="C963" s="55" t="s">
        <v>879</v>
      </c>
      <c r="D963" s="56" t="s">
        <v>1823</v>
      </c>
      <c r="E963" s="57"/>
      <c r="F963" s="75" t="s">
        <v>898</v>
      </c>
      <c r="G963" s="55"/>
      <c r="H963" s="58">
        <v>6000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</v>
      </c>
      <c r="P963" s="55"/>
      <c r="Q963" s="62">
        <f>REKAP[[#This Row],[Harga Satuan]]*REKAP[[#This Row],[Stok Akhir]]</f>
        <v>12000</v>
      </c>
      <c r="R963" s="61">
        <f>IF(REKAP[[#This Row],[Stok Aktual]]&lt;&gt;"",REKAP[[#This Row],[Stok Aktual]]-REKAP[[#This Row],[Stok Akhir]],0)</f>
        <v>0</v>
      </c>
      <c r="S963" s="132"/>
      <c r="T963" s="137">
        <f>IF(REKAP[[#This Row],[Selisih]]&lt;=-1,REKAP[[#This Row],[Harga Satuan]]*REKAP[[#This Row],[Selisih]],0)</f>
        <v>0</v>
      </c>
    </row>
    <row r="964" spans="1:20" x14ac:dyDescent="0.25">
      <c r="A964" s="55" t="s">
        <v>1290</v>
      </c>
      <c r="B964" s="55" t="s">
        <v>3610</v>
      </c>
      <c r="C964" s="55" t="s">
        <v>3610</v>
      </c>
      <c r="D964" s="56" t="s">
        <v>1824</v>
      </c>
      <c r="E964" s="57"/>
      <c r="F964" s="75" t="s">
        <v>898</v>
      </c>
      <c r="G964" s="55"/>
      <c r="H964" s="58">
        <v>18600</v>
      </c>
      <c r="I964" s="59">
        <f>IF(COUNTIF(MASUK[Kode Barang],REKAP[[#This Row],[ID]])=0,0,COUNTIF(MASUK[Kode Barang],REKAP[[#This Row],[ID]]))</f>
        <v>0</v>
      </c>
      <c r="J964" s="59">
        <f>IF(COUNTIF(MASUK8[Kode Barang],REKAP[[#This Row],[ID]])=0,0,COUNTIF(MASUK8[Kode Barang],REKAP[[#This Row],[ID]]))</f>
        <v>0</v>
      </c>
      <c r="K964" s="60">
        <f>REKAP[[#This Row],[Trx In]]+REKAP[[#This Row],[Trx Out]]</f>
        <v>0</v>
      </c>
      <c r="L964" s="55">
        <v>0</v>
      </c>
      <c r="M964" s="74">
        <f>SUMIF(MASUK!$C:$C,REKAP[[#This Row],[ID]],MASUK!$H:$H)</f>
        <v>0</v>
      </c>
      <c r="N964" s="74">
        <f>SUMIF(KELUAR!$C:$C,REKAP[[#This Row],[ID]],KELUAR!$H:$H)</f>
        <v>0</v>
      </c>
      <c r="O964" s="74">
        <f>REKAP[[#This Row],[Stok Awal]]+REKAP[[#This Row],[Masuk]]-REKAP[[#This Row],[Keluar]]</f>
        <v>0</v>
      </c>
      <c r="P964" s="55"/>
      <c r="Q964" s="62">
        <f>REKAP[[#This Row],[Harga Satuan]]*REKAP[[#This Row],[Stok Akhir]]</f>
        <v>0</v>
      </c>
      <c r="R964" s="61">
        <f>IF(REKAP[[#This Row],[Stok Aktual]]&lt;&gt;"",REKAP[[#This Row],[Stok Aktual]]-REKAP[[#This Row],[Stok Akhir]],0)</f>
        <v>0</v>
      </c>
      <c r="S964" s="132"/>
      <c r="T964" s="137">
        <f>IF(REKAP[[#This Row],[Selisih]]&lt;=-1,REKAP[[#This Row],[Harga Satuan]]*REKAP[[#This Row],[Selisih]],0)</f>
        <v>0</v>
      </c>
    </row>
    <row r="965" spans="1:20" x14ac:dyDescent="0.25">
      <c r="A965" s="55" t="s">
        <v>1291</v>
      </c>
      <c r="B965" s="55" t="s">
        <v>3610</v>
      </c>
      <c r="C965" s="55" t="s">
        <v>3610</v>
      </c>
      <c r="D965" s="56" t="s">
        <v>1825</v>
      </c>
      <c r="E965" s="57"/>
      <c r="F965" s="75" t="s">
        <v>898</v>
      </c>
      <c r="G965" s="55"/>
      <c r="H965" s="58">
        <v>20700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0</v>
      </c>
      <c r="K965" s="60">
        <f>REKAP[[#This Row],[Trx In]]+REKAP[[#This Row],[Trx Out]]</f>
        <v>0</v>
      </c>
      <c r="L965" s="55">
        <v>0</v>
      </c>
      <c r="M965" s="74">
        <f>SUMIF(MASUK!$C:$C,REKAP[[#This Row],[ID]],MASUK!$H:$H)</f>
        <v>0</v>
      </c>
      <c r="N965" s="74">
        <f>SUMIF(KELUAR!$C:$C,REKAP[[#This Row],[ID]],KELUAR!$H:$H)</f>
        <v>0</v>
      </c>
      <c r="O965" s="74">
        <f>REKAP[[#This Row],[Stok Awal]]+REKAP[[#This Row],[Masuk]]-REKAP[[#This Row],[Keluar]]</f>
        <v>0</v>
      </c>
      <c r="P965" s="55"/>
      <c r="Q965" s="62">
        <f>REKAP[[#This Row],[Harga Satuan]]*REKAP[[#This Row],[Stok Akhir]]</f>
        <v>0</v>
      </c>
      <c r="R965" s="61">
        <f>IF(REKAP[[#This Row],[Stok Aktual]]&lt;&gt;"",REKAP[[#This Row],[Stok Aktual]]-REKAP[[#This Row],[Stok Akhir]],0)</f>
        <v>0</v>
      </c>
      <c r="S965" s="132"/>
      <c r="T965" s="137">
        <f>IF(REKAP[[#This Row],[Selisih]]&lt;=-1,REKAP[[#This Row],[Harga Satuan]]*REKAP[[#This Row],[Selisih]],0)</f>
        <v>0</v>
      </c>
    </row>
    <row r="966" spans="1:20" x14ac:dyDescent="0.25">
      <c r="A966" s="55" t="s">
        <v>1292</v>
      </c>
      <c r="B966" s="55" t="s">
        <v>880</v>
      </c>
      <c r="C966" s="55" t="s">
        <v>880</v>
      </c>
      <c r="D966" s="56" t="s">
        <v>1826</v>
      </c>
      <c r="E966" s="57"/>
      <c r="F966" s="75" t="s">
        <v>898</v>
      </c>
      <c r="G966" s="55"/>
      <c r="H966" s="58">
        <v>53400</v>
      </c>
      <c r="I966" s="59">
        <f>IF(COUNTIF(MASUK[Kode Barang],REKAP[[#This Row],[ID]])=0,0,COUNTIF(MASUK[Kode Barang],REKAP[[#This Row],[ID]]))</f>
        <v>1</v>
      </c>
      <c r="J966" s="59">
        <f>IF(COUNTIF(MASUK8[Kode Barang],REKAP[[#This Row],[ID]])=0,0,COUNTIF(MASUK8[Kode Barang],REKAP[[#This Row],[ID]]))</f>
        <v>1</v>
      </c>
      <c r="K966" s="60">
        <f>REKAP[[#This Row],[Trx In]]+REKAP[[#This Row],[Trx Out]]</f>
        <v>2</v>
      </c>
      <c r="L966" s="55">
        <v>0</v>
      </c>
      <c r="M966" s="74">
        <f>SUMIF(MASUK!$C:$C,REKAP[[#This Row],[ID]],MASUK!$H:$H)</f>
        <v>3</v>
      </c>
      <c r="N966" s="74">
        <f>SUMIF(KELUAR!$C:$C,REKAP[[#This Row],[ID]],KELUAR!$H:$H)</f>
        <v>3</v>
      </c>
      <c r="O966" s="74">
        <f>REKAP[[#This Row],[Stok Awal]]+REKAP[[#This Row],[Masuk]]-REKAP[[#This Row],[Keluar]]</f>
        <v>0</v>
      </c>
      <c r="P966" s="55">
        <v>0</v>
      </c>
      <c r="Q966" s="62">
        <f>REKAP[[#This Row],[Harga Satuan]]*REKAP[[#This Row],[Stok Akhir]]</f>
        <v>0</v>
      </c>
      <c r="R966" s="61">
        <f>IF(REKAP[[#This Row],[Stok Aktual]]&lt;&gt;"",REKAP[[#This Row],[Stok Aktual]]-REKAP[[#This Row],[Stok Akhir]],0)</f>
        <v>0</v>
      </c>
      <c r="S966" s="132"/>
      <c r="T966" s="137">
        <f>IF(REKAP[[#This Row],[Selisih]]&lt;=-1,REKAP[[#This Row],[Harga Satuan]]*REKAP[[#This Row],[Selisih]],0)</f>
        <v>0</v>
      </c>
    </row>
    <row r="967" spans="1:20" x14ac:dyDescent="0.25">
      <c r="A967" s="55" t="s">
        <v>1293</v>
      </c>
      <c r="B967" s="55" t="s">
        <v>880</v>
      </c>
      <c r="C967" s="55" t="s">
        <v>880</v>
      </c>
      <c r="D967" s="56" t="s">
        <v>1827</v>
      </c>
      <c r="E967" s="57"/>
      <c r="F967" s="75" t="s">
        <v>898</v>
      </c>
      <c r="G967" s="55"/>
      <c r="H967" s="58">
        <v>71200</v>
      </c>
      <c r="I967" s="59">
        <f>IF(COUNTIF(MASUK[Kode Barang],REKAP[[#This Row],[ID]])=0,0,COUNTIF(MASUK[Kode Barang],REKAP[[#This Row],[ID]]))</f>
        <v>1</v>
      </c>
      <c r="J967" s="59">
        <f>IF(COUNTIF(MASUK8[Kode Barang],REKAP[[#This Row],[ID]])=0,0,COUNTIF(MASUK8[Kode Barang],REKAP[[#This Row],[ID]]))</f>
        <v>1</v>
      </c>
      <c r="K967" s="60">
        <f>REKAP[[#This Row],[Trx In]]+REKAP[[#This Row],[Trx Out]]</f>
        <v>2</v>
      </c>
      <c r="L967" s="55">
        <v>0</v>
      </c>
      <c r="M967" s="74">
        <f>SUMIF(MASUK!$C:$C,REKAP[[#This Row],[ID]],MASUK!$H:$H)</f>
        <v>3</v>
      </c>
      <c r="N967" s="74">
        <f>SUMIF(KELUAR!$C:$C,REKAP[[#This Row],[ID]],KELUAR!$H:$H)</f>
        <v>3</v>
      </c>
      <c r="O967" s="74">
        <f>REKAP[[#This Row],[Stok Awal]]+REKAP[[#This Row],[Masuk]]-REKAP[[#This Row],[Keluar]]</f>
        <v>0</v>
      </c>
      <c r="P967" s="55">
        <v>0</v>
      </c>
      <c r="Q967" s="62">
        <f>REKAP[[#This Row],[Harga Satuan]]*REKAP[[#This Row],[Stok Akhir]]</f>
        <v>0</v>
      </c>
      <c r="R967" s="61">
        <f>IF(REKAP[[#This Row],[Stok Aktual]]&lt;&gt;"",REKAP[[#This Row],[Stok Aktual]]-REKAP[[#This Row],[Stok Akhir]],0)</f>
        <v>0</v>
      </c>
      <c r="S967" s="132"/>
      <c r="T967" s="137">
        <f>IF(REKAP[[#This Row],[Selisih]]&lt;=-1,REKAP[[#This Row],[Harga Satuan]]*REKAP[[#This Row],[Selisih]],0)</f>
        <v>0</v>
      </c>
    </row>
    <row r="968" spans="1:20" x14ac:dyDescent="0.25">
      <c r="A968" s="55" t="s">
        <v>1294</v>
      </c>
      <c r="B968" s="55" t="s">
        <v>3611</v>
      </c>
      <c r="C968" s="55" t="s">
        <v>3611</v>
      </c>
      <c r="D968" s="56" t="s">
        <v>1828</v>
      </c>
      <c r="E968" s="57"/>
      <c r="F968" s="75" t="s">
        <v>898</v>
      </c>
      <c r="G968" s="55"/>
      <c r="H968" s="58">
        <v>18240</v>
      </c>
      <c r="I968" s="59">
        <f>IF(COUNTIF(MASUK[Kode Barang],REKAP[[#This Row],[ID]])=0,0,COUNTIF(MASUK[Kode Barang],REKAP[[#This Row],[ID]]))</f>
        <v>2</v>
      </c>
      <c r="J968" s="59">
        <f>IF(COUNTIF(MASUK8[Kode Barang],REKAP[[#This Row],[ID]])=0,0,COUNTIF(MASUK8[Kode Barang],REKAP[[#This Row],[ID]]))</f>
        <v>2</v>
      </c>
      <c r="K968" s="60">
        <f>REKAP[[#This Row],[Trx In]]+REKAP[[#This Row],[Trx Out]]</f>
        <v>4</v>
      </c>
      <c r="L968" s="55">
        <v>0</v>
      </c>
      <c r="M968" s="74">
        <f>SUMIF(MASUK!$C:$C,REKAP[[#This Row],[ID]],MASUK!$H:$H)</f>
        <v>8</v>
      </c>
      <c r="N968" s="74">
        <f>SUMIF(KELUAR!$C:$C,REKAP[[#This Row],[ID]],KELUAR!$H:$H)</f>
        <v>8</v>
      </c>
      <c r="O968" s="74">
        <f>REKAP[[#This Row],[Stok Awal]]+REKAP[[#This Row],[Masuk]]-REKAP[[#This Row],[Keluar]]</f>
        <v>0</v>
      </c>
      <c r="P968" s="55">
        <v>0</v>
      </c>
      <c r="Q968" s="62">
        <f>REKAP[[#This Row],[Harga Satuan]]*REKAP[[#This Row],[Stok Akhir]]</f>
        <v>0</v>
      </c>
      <c r="R968" s="61">
        <f>IF(REKAP[[#This Row],[Stok Aktual]]&lt;&gt;"",REKAP[[#This Row],[Stok Aktual]]-REKAP[[#This Row],[Stok Akhir]],0)</f>
        <v>0</v>
      </c>
      <c r="S968" s="132"/>
      <c r="T968" s="137">
        <f>IF(REKAP[[#This Row],[Selisih]]&lt;=-1,REKAP[[#This Row],[Harga Satuan]]*REKAP[[#This Row],[Selisih]],0)</f>
        <v>0</v>
      </c>
    </row>
    <row r="969" spans="1:20" x14ac:dyDescent="0.25">
      <c r="A969" s="55" t="s">
        <v>1295</v>
      </c>
      <c r="B969" s="55" t="s">
        <v>3611</v>
      </c>
      <c r="C969" s="55" t="s">
        <v>3611</v>
      </c>
      <c r="D969" s="56" t="s">
        <v>1829</v>
      </c>
      <c r="E969" s="57"/>
      <c r="F969" s="75" t="s">
        <v>898</v>
      </c>
      <c r="G969" s="55"/>
      <c r="H969" s="58">
        <v>26009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0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0</v>
      </c>
      <c r="P969" s="55"/>
      <c r="Q969" s="62">
        <f>REKAP[[#This Row],[Harga Satuan]]*REKAP[[#This Row],[Stok Akhir]]</f>
        <v>0</v>
      </c>
      <c r="R969" s="61">
        <f>IF(REKAP[[#This Row],[Stok Aktual]]&lt;&gt;"",REKAP[[#This Row],[Stok Aktual]]-REKAP[[#This Row],[Stok Akhir]],0)</f>
        <v>0</v>
      </c>
      <c r="S969" s="132"/>
      <c r="T969" s="137">
        <f>IF(REKAP[[#This Row],[Selisih]]&lt;=-1,REKAP[[#This Row],[Harga Satuan]]*REKAP[[#This Row],[Selisih]],0)</f>
        <v>0</v>
      </c>
    </row>
    <row r="970" spans="1:20" x14ac:dyDescent="0.25">
      <c r="A970" s="55" t="s">
        <v>1296</v>
      </c>
      <c r="B970" s="55" t="s">
        <v>3612</v>
      </c>
      <c r="C970" s="55" t="s">
        <v>3612</v>
      </c>
      <c r="D970" s="56" t="s">
        <v>1830</v>
      </c>
      <c r="E970" s="57"/>
      <c r="F970" s="75" t="s">
        <v>898</v>
      </c>
      <c r="G970" s="55"/>
      <c r="H970" s="58">
        <v>26009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0</v>
      </c>
      <c r="P970" s="55"/>
      <c r="Q970" s="62">
        <f>REKAP[[#This Row],[Harga Satuan]]*REKAP[[#This Row],[Stok Akhir]]</f>
        <v>0</v>
      </c>
      <c r="R970" s="61">
        <f>IF(REKAP[[#This Row],[Stok Aktual]]&lt;&gt;"",REKAP[[#This Row],[Stok Aktual]]-REKAP[[#This Row],[Stok Akhir]],0)</f>
        <v>0</v>
      </c>
      <c r="S970" s="132"/>
      <c r="T970" s="137">
        <f>IF(REKAP[[#This Row],[Selisih]]&lt;=-1,REKAP[[#This Row],[Harga Satuan]]*REKAP[[#This Row],[Selisih]],0)</f>
        <v>0</v>
      </c>
    </row>
    <row r="971" spans="1:20" x14ac:dyDescent="0.25">
      <c r="A971" s="55" t="s">
        <v>1297</v>
      </c>
      <c r="B971" s="55" t="s">
        <v>3612</v>
      </c>
      <c r="C971" s="55" t="s">
        <v>3612</v>
      </c>
      <c r="D971" s="56" t="s">
        <v>1831</v>
      </c>
      <c r="E971" s="57"/>
      <c r="F971" s="75" t="s">
        <v>898</v>
      </c>
      <c r="G971" s="55"/>
      <c r="H971" s="58">
        <v>350000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0</v>
      </c>
      <c r="P971" s="55"/>
      <c r="Q971" s="62">
        <f>REKAP[[#This Row],[Harga Satuan]]*REKAP[[#This Row],[Stok Akhir]]</f>
        <v>0</v>
      </c>
      <c r="R971" s="61">
        <f>IF(REKAP[[#This Row],[Stok Aktual]]&lt;&gt;"",REKAP[[#This Row],[Stok Aktual]]-REKAP[[#This Row],[Stok Akhir]],0)</f>
        <v>0</v>
      </c>
      <c r="S971" s="132"/>
      <c r="T971" s="137">
        <f>IF(REKAP[[#This Row],[Selisih]]&lt;=-1,REKAP[[#This Row],[Harga Satuan]]*REKAP[[#This Row],[Selisih]],0)</f>
        <v>0</v>
      </c>
    </row>
    <row r="972" spans="1:20" x14ac:dyDescent="0.25">
      <c r="A972" s="55" t="s">
        <v>1298</v>
      </c>
      <c r="B972" s="55" t="s">
        <v>881</v>
      </c>
      <c r="C972" s="55" t="s">
        <v>881</v>
      </c>
      <c r="D972" s="56" t="s">
        <v>1832</v>
      </c>
      <c r="E972" s="57"/>
      <c r="F972" s="75" t="s">
        <v>898</v>
      </c>
      <c r="G972" s="55"/>
      <c r="H972" s="58">
        <v>20000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</v>
      </c>
      <c r="P972" s="55"/>
      <c r="Q972" s="62">
        <f>REKAP[[#This Row],[Harga Satuan]]*REKAP[[#This Row],[Stok Akhir]]</f>
        <v>40000</v>
      </c>
      <c r="R972" s="61">
        <f>IF(REKAP[[#This Row],[Stok Aktual]]&lt;&gt;"",REKAP[[#This Row],[Stok Aktual]]-REKAP[[#This Row],[Stok Akhir]],0)</f>
        <v>0</v>
      </c>
      <c r="S972" s="132"/>
      <c r="T972" s="137">
        <f>IF(REKAP[[#This Row],[Selisih]]&lt;=-1,REKAP[[#This Row],[Harga Satuan]]*REKAP[[#This Row],[Selisih]],0)</f>
        <v>0</v>
      </c>
    </row>
    <row r="973" spans="1:20" x14ac:dyDescent="0.25">
      <c r="A973" s="55" t="s">
        <v>1299</v>
      </c>
      <c r="B973" s="55" t="s">
        <v>881</v>
      </c>
      <c r="C973" s="55" t="s">
        <v>881</v>
      </c>
      <c r="D973" s="56" t="s">
        <v>1833</v>
      </c>
      <c r="E973" s="57"/>
      <c r="F973" s="75" t="s">
        <v>898</v>
      </c>
      <c r="G973" s="55"/>
      <c r="H973" s="58">
        <v>9256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4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4</v>
      </c>
      <c r="P973" s="55"/>
      <c r="Q973" s="62">
        <f>REKAP[[#This Row],[Harga Satuan]]*REKAP[[#This Row],[Stok Akhir]]</f>
        <v>37024</v>
      </c>
      <c r="R973" s="61">
        <f>IF(REKAP[[#This Row],[Stok Aktual]]&lt;&gt;"",REKAP[[#This Row],[Stok Aktual]]-REKAP[[#This Row],[Stok Akhir]],0)</f>
        <v>0</v>
      </c>
      <c r="S973" s="132"/>
      <c r="T973" s="137">
        <f>IF(REKAP[[#This Row],[Selisih]]&lt;=-1,REKAP[[#This Row],[Harga Satuan]]*REKAP[[#This Row],[Selisih]],0)</f>
        <v>0</v>
      </c>
    </row>
    <row r="974" spans="1:20" x14ac:dyDescent="0.25">
      <c r="A974" s="55" t="s">
        <v>1300</v>
      </c>
      <c r="B974" s="55" t="s">
        <v>881</v>
      </c>
      <c r="C974" s="55" t="s">
        <v>881</v>
      </c>
      <c r="D974" s="56" t="s">
        <v>1834</v>
      </c>
      <c r="E974" s="57"/>
      <c r="F974" s="75" t="s">
        <v>898</v>
      </c>
      <c r="G974" s="55"/>
      <c r="H974" s="58">
        <v>20000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1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1</v>
      </c>
      <c r="P974" s="55"/>
      <c r="Q974" s="62">
        <f>REKAP[[#This Row],[Harga Satuan]]*REKAP[[#This Row],[Stok Akhir]]</f>
        <v>20000</v>
      </c>
      <c r="R974" s="61">
        <f>IF(REKAP[[#This Row],[Stok Aktual]]&lt;&gt;"",REKAP[[#This Row],[Stok Aktual]]-REKAP[[#This Row],[Stok Akhir]],0)</f>
        <v>0</v>
      </c>
      <c r="S974" s="132"/>
      <c r="T974" s="137">
        <f>IF(REKAP[[#This Row],[Selisih]]&lt;=-1,REKAP[[#This Row],[Harga Satuan]]*REKAP[[#This Row],[Selisih]],0)</f>
        <v>0</v>
      </c>
    </row>
    <row r="975" spans="1:20" x14ac:dyDescent="0.25">
      <c r="A975" s="55" t="s">
        <v>1301</v>
      </c>
      <c r="B975" s="55" t="s">
        <v>881</v>
      </c>
      <c r="C975" s="55" t="s">
        <v>881</v>
      </c>
      <c r="D975" s="56" t="s">
        <v>1835</v>
      </c>
      <c r="E975" s="57"/>
      <c r="F975" s="75" t="s">
        <v>898</v>
      </c>
      <c r="G975" s="55"/>
      <c r="H975" s="58">
        <v>5700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</v>
      </c>
      <c r="P975" s="55"/>
      <c r="Q975" s="62">
        <f>REKAP[[#This Row],[Harga Satuan]]*REKAP[[#This Row],[Stok Akhir]]</f>
        <v>5700</v>
      </c>
      <c r="R975" s="61">
        <f>IF(REKAP[[#This Row],[Stok Aktual]]&lt;&gt;"",REKAP[[#This Row],[Stok Aktual]]-REKAP[[#This Row],[Stok Akhir]],0)</f>
        <v>0</v>
      </c>
      <c r="S975" s="132"/>
      <c r="T975" s="137">
        <f>IF(REKAP[[#This Row],[Selisih]]&lt;=-1,REKAP[[#This Row],[Harga Satuan]]*REKAP[[#This Row],[Selisih]],0)</f>
        <v>0</v>
      </c>
    </row>
    <row r="976" spans="1:20" x14ac:dyDescent="0.25">
      <c r="A976" s="55" t="s">
        <v>1302</v>
      </c>
      <c r="B976" s="55" t="s">
        <v>881</v>
      </c>
      <c r="C976" s="55" t="s">
        <v>881</v>
      </c>
      <c r="D976" s="56" t="s">
        <v>1836</v>
      </c>
      <c r="E976" s="57"/>
      <c r="F976" s="75" t="s">
        <v>898</v>
      </c>
      <c r="G976" s="55"/>
      <c r="H976" s="58">
        <v>25000</v>
      </c>
      <c r="I976" s="59">
        <f>IF(COUNTIF(MASUK[Kode Barang],REKAP[[#This Row],[ID]])=0,0,COUNTIF(MASUK[Kode Barang],REKAP[[#This Row],[ID]]))</f>
        <v>4</v>
      </c>
      <c r="J976" s="59">
        <f>IF(COUNTIF(MASUK8[Kode Barang],REKAP[[#This Row],[ID]])=0,0,COUNTIF(MASUK8[Kode Barang],REKAP[[#This Row],[ID]]))</f>
        <v>4</v>
      </c>
      <c r="K976" s="60">
        <f>REKAP[[#This Row],[Trx In]]+REKAP[[#This Row],[Trx Out]]</f>
        <v>8</v>
      </c>
      <c r="L976" s="55">
        <v>0</v>
      </c>
      <c r="M976" s="74">
        <f>SUMIF(MASUK!$C:$C,REKAP[[#This Row],[ID]],MASUK!$H:$H)</f>
        <v>38</v>
      </c>
      <c r="N976" s="74">
        <f>SUMIF(KELUAR!$C:$C,REKAP[[#This Row],[ID]],KELUAR!$H:$H)</f>
        <v>38</v>
      </c>
      <c r="O976" s="74">
        <f>REKAP[[#This Row],[Stok Awal]]+REKAP[[#This Row],[Masuk]]-REKAP[[#This Row],[Keluar]]</f>
        <v>0</v>
      </c>
      <c r="P976" s="55">
        <v>0</v>
      </c>
      <c r="Q976" s="62">
        <f>REKAP[[#This Row],[Harga Satuan]]*REKAP[[#This Row],[Stok Akhir]]</f>
        <v>0</v>
      </c>
      <c r="R976" s="61">
        <f>IF(REKAP[[#This Row],[Stok Aktual]]&lt;&gt;"",REKAP[[#This Row],[Stok Aktual]]-REKAP[[#This Row],[Stok Akhir]],0)</f>
        <v>0</v>
      </c>
      <c r="S976" s="132"/>
      <c r="T976" s="137">
        <f>IF(REKAP[[#This Row],[Selisih]]&lt;=-1,REKAP[[#This Row],[Harga Satuan]]*REKAP[[#This Row],[Selisih]],0)</f>
        <v>0</v>
      </c>
    </row>
    <row r="977" spans="1:20" x14ac:dyDescent="0.25">
      <c r="A977" s="55" t="s">
        <v>1303</v>
      </c>
      <c r="B977" s="55" t="s">
        <v>881</v>
      </c>
      <c r="C977" s="55" t="s">
        <v>881</v>
      </c>
      <c r="D977" s="56" t="s">
        <v>1837</v>
      </c>
      <c r="E977" s="57"/>
      <c r="F977" s="75" t="s">
        <v>898</v>
      </c>
      <c r="G977" s="55"/>
      <c r="H977" s="58">
        <v>25000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2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2</v>
      </c>
      <c r="P977" s="55"/>
      <c r="Q977" s="62">
        <f>REKAP[[#This Row],[Harga Satuan]]*REKAP[[#This Row],[Stok Akhir]]</f>
        <v>50000</v>
      </c>
      <c r="R977" s="61">
        <f>IF(REKAP[[#This Row],[Stok Aktual]]&lt;&gt;"",REKAP[[#This Row],[Stok Aktual]]-REKAP[[#This Row],[Stok Akhir]],0)</f>
        <v>0</v>
      </c>
      <c r="S977" s="132"/>
      <c r="T977" s="137">
        <f>IF(REKAP[[#This Row],[Selisih]]&lt;=-1,REKAP[[#This Row],[Harga Satuan]]*REKAP[[#This Row],[Selisih]],0)</f>
        <v>0</v>
      </c>
    </row>
    <row r="978" spans="1:20" x14ac:dyDescent="0.25">
      <c r="A978" s="55" t="s">
        <v>1304</v>
      </c>
      <c r="B978" s="55" t="s">
        <v>881</v>
      </c>
      <c r="C978" s="55" t="s">
        <v>881</v>
      </c>
      <c r="D978" s="56" t="s">
        <v>1838</v>
      </c>
      <c r="E978" s="57"/>
      <c r="F978" s="75" t="s">
        <v>898</v>
      </c>
      <c r="G978" s="55"/>
      <c r="H978" s="58">
        <v>31805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0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0</v>
      </c>
      <c r="P978" s="55"/>
      <c r="Q978" s="62">
        <f>REKAP[[#This Row],[Harga Satuan]]*REKAP[[#This Row],[Stok Akhir]]</f>
        <v>0</v>
      </c>
      <c r="R978" s="61">
        <f>IF(REKAP[[#This Row],[Stok Aktual]]&lt;&gt;"",REKAP[[#This Row],[Stok Aktual]]-REKAP[[#This Row],[Stok Akhir]],0)</f>
        <v>0</v>
      </c>
      <c r="S978" s="132"/>
      <c r="T978" s="137">
        <f>IF(REKAP[[#This Row],[Selisih]]&lt;=-1,REKAP[[#This Row],[Harga Satuan]]*REKAP[[#This Row],[Selisih]],0)</f>
        <v>0</v>
      </c>
    </row>
    <row r="979" spans="1:20" x14ac:dyDescent="0.25">
      <c r="A979" s="55" t="s">
        <v>1305</v>
      </c>
      <c r="B979" s="55" t="s">
        <v>882</v>
      </c>
      <c r="C979" s="55" t="s">
        <v>882</v>
      </c>
      <c r="D979" s="56" t="s">
        <v>1839</v>
      </c>
      <c r="E979" s="57"/>
      <c r="F979" s="75" t="s">
        <v>898</v>
      </c>
      <c r="G979" s="55"/>
      <c r="H979" s="58"/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4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4</v>
      </c>
      <c r="P979" s="55"/>
      <c r="Q979" s="62">
        <f>REKAP[[#This Row],[Harga Satuan]]*REKAP[[#This Row],[Stok Akhir]]</f>
        <v>0</v>
      </c>
      <c r="R979" s="61">
        <f>IF(REKAP[[#This Row],[Stok Aktual]]&lt;&gt;"",REKAP[[#This Row],[Stok Aktual]]-REKAP[[#This Row],[Stok Akhir]],0)</f>
        <v>0</v>
      </c>
      <c r="S979" s="132"/>
      <c r="T979" s="137">
        <f>IF(REKAP[[#This Row],[Selisih]]&lt;=-1,REKAP[[#This Row],[Harga Satuan]]*REKAP[[#This Row],[Selisih]],0)</f>
        <v>0</v>
      </c>
    </row>
    <row r="980" spans="1:20" x14ac:dyDescent="0.25">
      <c r="A980" s="55" t="s">
        <v>1306</v>
      </c>
      <c r="B980" s="55" t="s">
        <v>882</v>
      </c>
      <c r="C980" s="55" t="s">
        <v>882</v>
      </c>
      <c r="D980" s="56" t="s">
        <v>1840</v>
      </c>
      <c r="E980" s="57"/>
      <c r="F980" s="75" t="s">
        <v>898</v>
      </c>
      <c r="G980" s="55"/>
      <c r="H980" s="58"/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1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1</v>
      </c>
      <c r="P980" s="55"/>
      <c r="Q980" s="62">
        <f>REKAP[[#This Row],[Harga Satuan]]*REKAP[[#This Row],[Stok Akhir]]</f>
        <v>0</v>
      </c>
      <c r="R980" s="61">
        <f>IF(REKAP[[#This Row],[Stok Aktual]]&lt;&gt;"",REKAP[[#This Row],[Stok Aktual]]-REKAP[[#This Row],[Stok Akhir]],0)</f>
        <v>0</v>
      </c>
      <c r="S980" s="132"/>
      <c r="T980" s="137">
        <f>IF(REKAP[[#This Row],[Selisih]]&lt;=-1,REKAP[[#This Row],[Harga Satuan]]*REKAP[[#This Row],[Selisih]],0)</f>
        <v>0</v>
      </c>
    </row>
    <row r="981" spans="1:20" x14ac:dyDescent="0.25">
      <c r="A981" s="55" t="s">
        <v>1307</v>
      </c>
      <c r="B981" s="55" t="s">
        <v>883</v>
      </c>
      <c r="C981" s="55" t="s">
        <v>883</v>
      </c>
      <c r="D981" s="56" t="s">
        <v>1841</v>
      </c>
      <c r="E981" s="57"/>
      <c r="F981" s="75" t="s">
        <v>898</v>
      </c>
      <c r="G981" s="55"/>
      <c r="H981" s="58">
        <v>3500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0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0</v>
      </c>
      <c r="P981" s="55"/>
      <c r="Q981" s="62">
        <f>REKAP[[#This Row],[Harga Satuan]]*REKAP[[#This Row],[Stok Akhir]]</f>
        <v>0</v>
      </c>
      <c r="R981" s="61">
        <f>IF(REKAP[[#This Row],[Stok Aktual]]&lt;&gt;"",REKAP[[#This Row],[Stok Aktual]]-REKAP[[#This Row],[Stok Akhir]],0)</f>
        <v>0</v>
      </c>
      <c r="S981" s="132"/>
      <c r="T981" s="137">
        <f>IF(REKAP[[#This Row],[Selisih]]&lt;=-1,REKAP[[#This Row],[Harga Satuan]]*REKAP[[#This Row],[Selisih]],0)</f>
        <v>0</v>
      </c>
    </row>
    <row r="982" spans="1:20" x14ac:dyDescent="0.25">
      <c r="A982" s="55" t="s">
        <v>1308</v>
      </c>
      <c r="B982" s="55" t="s">
        <v>883</v>
      </c>
      <c r="C982" s="55" t="s">
        <v>883</v>
      </c>
      <c r="D982" s="56" t="s">
        <v>1842</v>
      </c>
      <c r="E982" s="57"/>
      <c r="F982" s="75" t="s">
        <v>898</v>
      </c>
      <c r="G982" s="55"/>
      <c r="H982" s="58">
        <v>700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3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3</v>
      </c>
      <c r="P982" s="55"/>
      <c r="Q982" s="62">
        <f>REKAP[[#This Row],[Harga Satuan]]*REKAP[[#This Row],[Stok Akhir]]</f>
        <v>2100</v>
      </c>
      <c r="R982" s="61">
        <f>IF(REKAP[[#This Row],[Stok Aktual]]&lt;&gt;"",REKAP[[#This Row],[Stok Aktual]]-REKAP[[#This Row],[Stok Akhir]],0)</f>
        <v>0</v>
      </c>
      <c r="S982" s="132"/>
      <c r="T982" s="137">
        <f>IF(REKAP[[#This Row],[Selisih]]&lt;=-1,REKAP[[#This Row],[Harga Satuan]]*REKAP[[#This Row],[Selisih]],0)</f>
        <v>0</v>
      </c>
    </row>
    <row r="983" spans="1:20" x14ac:dyDescent="0.25">
      <c r="A983" s="55" t="s">
        <v>1309</v>
      </c>
      <c r="B983" s="55" t="s">
        <v>883</v>
      </c>
      <c r="C983" s="55" t="s">
        <v>883</v>
      </c>
      <c r="D983" s="56" t="s">
        <v>1843</v>
      </c>
      <c r="E983" s="57"/>
      <c r="F983" s="75" t="s">
        <v>898</v>
      </c>
      <c r="G983" s="55"/>
      <c r="H983" s="58">
        <v>1500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2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2</v>
      </c>
      <c r="P983" s="55"/>
      <c r="Q983" s="62">
        <f>REKAP[[#This Row],[Harga Satuan]]*REKAP[[#This Row],[Stok Akhir]]</f>
        <v>3000</v>
      </c>
      <c r="R983" s="61">
        <f>IF(REKAP[[#This Row],[Stok Aktual]]&lt;&gt;"",REKAP[[#This Row],[Stok Aktual]]-REKAP[[#This Row],[Stok Akhir]],0)</f>
        <v>0</v>
      </c>
      <c r="S983" s="132"/>
      <c r="T983" s="137">
        <f>IF(REKAP[[#This Row],[Selisih]]&lt;=-1,REKAP[[#This Row],[Harga Satuan]]*REKAP[[#This Row],[Selisih]],0)</f>
        <v>0</v>
      </c>
    </row>
    <row r="984" spans="1:20" x14ac:dyDescent="0.25">
      <c r="A984" s="55" t="s">
        <v>1310</v>
      </c>
      <c r="B984" s="55" t="s">
        <v>884</v>
      </c>
      <c r="C984" s="55" t="s">
        <v>884</v>
      </c>
      <c r="D984" s="56"/>
      <c r="E984" s="57"/>
      <c r="F984" s="75" t="s">
        <v>898</v>
      </c>
      <c r="G984" s="55"/>
      <c r="H984" s="58"/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</v>
      </c>
      <c r="P984" s="55"/>
      <c r="Q984" s="62">
        <f>REKAP[[#This Row],[Harga Satuan]]*REKAP[[#This Row],[Stok Akhir]]</f>
        <v>0</v>
      </c>
      <c r="R984" s="61">
        <f>IF(REKAP[[#This Row],[Stok Aktual]]&lt;&gt;"",REKAP[[#This Row],[Stok Aktual]]-REKAP[[#This Row],[Stok Akhir]],0)</f>
        <v>0</v>
      </c>
      <c r="S984" s="132"/>
      <c r="T984" s="137">
        <f>IF(REKAP[[#This Row],[Selisih]]&lt;=-1,REKAP[[#This Row],[Harga Satuan]]*REKAP[[#This Row],[Selisih]],0)</f>
        <v>0</v>
      </c>
    </row>
    <row r="985" spans="1:20" x14ac:dyDescent="0.25">
      <c r="A985" s="55" t="s">
        <v>1311</v>
      </c>
      <c r="B985" s="55" t="s">
        <v>885</v>
      </c>
      <c r="C985" s="55" t="s">
        <v>885</v>
      </c>
      <c r="D985" s="56" t="s">
        <v>1844</v>
      </c>
      <c r="E985" s="57"/>
      <c r="F985" s="75" t="s">
        <v>898</v>
      </c>
      <c r="G985" s="55"/>
      <c r="H985" s="58">
        <v>5500</v>
      </c>
      <c r="I985" s="59">
        <f>IF(COUNTIF(MASUK[Kode Barang],REKAP[[#This Row],[ID]])=0,0,COUNTIF(MASUK[Kode Barang],REKAP[[#This Row],[ID]]))</f>
        <v>1</v>
      </c>
      <c r="J985" s="59">
        <f>IF(COUNTIF(MASUK8[Kode Barang],REKAP[[#This Row],[ID]])=0,0,COUNTIF(MASUK8[Kode Barang],REKAP[[#This Row],[ID]]))</f>
        <v>1</v>
      </c>
      <c r="K985" s="60">
        <f>REKAP[[#This Row],[Trx In]]+REKAP[[#This Row],[Trx Out]]</f>
        <v>2</v>
      </c>
      <c r="L985" s="55">
        <v>13</v>
      </c>
      <c r="M985" s="74">
        <f>SUMIF(MASUK!$C:$C,REKAP[[#This Row],[ID]],MASUK!$H:$H)</f>
        <v>16</v>
      </c>
      <c r="N985" s="74">
        <f>SUMIF(KELUAR!$C:$C,REKAP[[#This Row],[ID]],KELUAR!$H:$H)</f>
        <v>16</v>
      </c>
      <c r="O985" s="74">
        <f>REKAP[[#This Row],[Stok Awal]]+REKAP[[#This Row],[Masuk]]-REKAP[[#This Row],[Keluar]]</f>
        <v>13</v>
      </c>
      <c r="P985" s="55">
        <v>13</v>
      </c>
      <c r="Q985" s="62">
        <f>REKAP[[#This Row],[Harga Satuan]]*REKAP[[#This Row],[Stok Akhir]]</f>
        <v>71500</v>
      </c>
      <c r="R985" s="61">
        <f>IF(REKAP[[#This Row],[Stok Aktual]]&lt;&gt;"",REKAP[[#This Row],[Stok Aktual]]-REKAP[[#This Row],[Stok Akhir]],0)</f>
        <v>0</v>
      </c>
      <c r="S985" s="132"/>
      <c r="T985" s="137">
        <f>IF(REKAP[[#This Row],[Selisih]]&lt;=-1,REKAP[[#This Row],[Harga Satuan]]*REKAP[[#This Row],[Selisih]],0)</f>
        <v>0</v>
      </c>
    </row>
    <row r="986" spans="1:20" x14ac:dyDescent="0.25">
      <c r="A986" s="55" t="s">
        <v>1312</v>
      </c>
      <c r="B986" s="55" t="s">
        <v>885</v>
      </c>
      <c r="C986" s="55" t="s">
        <v>885</v>
      </c>
      <c r="D986" s="56" t="s">
        <v>1845</v>
      </c>
      <c r="E986" s="57"/>
      <c r="F986" s="75" t="s">
        <v>898</v>
      </c>
      <c r="G986" s="55" t="s">
        <v>1974</v>
      </c>
      <c r="H986" s="58">
        <v>6000</v>
      </c>
      <c r="I986" s="59">
        <f>IF(COUNTIF(MASUK[Kode Barang],REKAP[[#This Row],[ID]])=0,0,COUNTIF(MASUK[Kode Barang],REKAP[[#This Row],[ID]]))</f>
        <v>1</v>
      </c>
      <c r="J986" s="59">
        <f>IF(COUNTIF(MASUK8[Kode Barang],REKAP[[#This Row],[ID]])=0,0,COUNTIF(MASUK8[Kode Barang],REKAP[[#This Row],[ID]]))</f>
        <v>1</v>
      </c>
      <c r="K986" s="60">
        <f>REKAP[[#This Row],[Trx In]]+REKAP[[#This Row],[Trx Out]]</f>
        <v>2</v>
      </c>
      <c r="L986" s="55">
        <v>2</v>
      </c>
      <c r="M986" s="74">
        <f>SUMIF(MASUK!$C:$C,REKAP[[#This Row],[ID]],MASUK!$H:$H)</f>
        <v>24</v>
      </c>
      <c r="N986" s="74">
        <f>SUMIF(KELUAR!$C:$C,REKAP[[#This Row],[ID]],KELUAR!$H:$H)</f>
        <v>24</v>
      </c>
      <c r="O986" s="74">
        <f>REKAP[[#This Row],[Stok Awal]]+REKAP[[#This Row],[Masuk]]-REKAP[[#This Row],[Keluar]]</f>
        <v>2</v>
      </c>
      <c r="P986" s="55">
        <v>2</v>
      </c>
      <c r="Q986" s="62">
        <f>REKAP[[#This Row],[Harga Satuan]]*REKAP[[#This Row],[Stok Akhir]]</f>
        <v>12000</v>
      </c>
      <c r="R986" s="61">
        <f>IF(REKAP[[#This Row],[Stok Aktual]]&lt;&gt;"",REKAP[[#This Row],[Stok Aktual]]-REKAP[[#This Row],[Stok Akhir]],0)</f>
        <v>0</v>
      </c>
      <c r="S986" s="132"/>
      <c r="T986" s="137">
        <f>IF(REKAP[[#This Row],[Selisih]]&lt;=-1,REKAP[[#This Row],[Harga Satuan]]*REKAP[[#This Row],[Selisih]],0)</f>
        <v>0</v>
      </c>
    </row>
    <row r="987" spans="1:20" x14ac:dyDescent="0.25">
      <c r="A987" s="55" t="s">
        <v>1313</v>
      </c>
      <c r="B987" s="55" t="s">
        <v>3613</v>
      </c>
      <c r="C987" s="55" t="s">
        <v>3613</v>
      </c>
      <c r="D987" s="56" t="s">
        <v>1846</v>
      </c>
      <c r="E987" s="57"/>
      <c r="F987" s="75" t="s">
        <v>898</v>
      </c>
      <c r="G987" s="55" t="s">
        <v>1973</v>
      </c>
      <c r="H987" s="58">
        <v>8000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0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0</v>
      </c>
      <c r="P987" s="55"/>
      <c r="Q987" s="62">
        <f>REKAP[[#This Row],[Harga Satuan]]*REKAP[[#This Row],[Stok Akhir]]</f>
        <v>0</v>
      </c>
      <c r="R987" s="61">
        <f>IF(REKAP[[#This Row],[Stok Aktual]]&lt;&gt;"",REKAP[[#This Row],[Stok Aktual]]-REKAP[[#This Row],[Stok Akhir]],0)</f>
        <v>0</v>
      </c>
      <c r="S987" s="132"/>
      <c r="T987" s="137">
        <f>IF(REKAP[[#This Row],[Selisih]]&lt;=-1,REKAP[[#This Row],[Harga Satuan]]*REKAP[[#This Row],[Selisih]],0)</f>
        <v>0</v>
      </c>
    </row>
    <row r="988" spans="1:20" x14ac:dyDescent="0.25">
      <c r="A988" s="55" t="s">
        <v>1314</v>
      </c>
      <c r="B988" s="55" t="s">
        <v>885</v>
      </c>
      <c r="C988" s="55" t="s">
        <v>885</v>
      </c>
      <c r="D988" s="56" t="s">
        <v>1847</v>
      </c>
      <c r="E988" s="57"/>
      <c r="F988" s="75" t="s">
        <v>898</v>
      </c>
      <c r="G988" s="55"/>
      <c r="H988" s="58">
        <v>9069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2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2</v>
      </c>
      <c r="P988" s="55"/>
      <c r="Q988" s="62">
        <f>REKAP[[#This Row],[Harga Satuan]]*REKAP[[#This Row],[Stok Akhir]]</f>
        <v>18138</v>
      </c>
      <c r="R988" s="61">
        <f>IF(REKAP[[#This Row],[Stok Aktual]]&lt;&gt;"",REKAP[[#This Row],[Stok Aktual]]-REKAP[[#This Row],[Stok Akhir]],0)</f>
        <v>0</v>
      </c>
      <c r="S988" s="132"/>
      <c r="T988" s="137">
        <f>IF(REKAP[[#This Row],[Selisih]]&lt;=-1,REKAP[[#This Row],[Harga Satuan]]*REKAP[[#This Row],[Selisih]],0)</f>
        <v>0</v>
      </c>
    </row>
    <row r="989" spans="1:20" x14ac:dyDescent="0.25">
      <c r="A989" s="55" t="s">
        <v>1315</v>
      </c>
      <c r="B989" s="55" t="s">
        <v>885</v>
      </c>
      <c r="C989" s="55" t="s">
        <v>885</v>
      </c>
      <c r="D989" s="56" t="s">
        <v>1848</v>
      </c>
      <c r="E989" s="57"/>
      <c r="F989" s="75" t="s">
        <v>898</v>
      </c>
      <c r="G989" s="55"/>
      <c r="H989" s="58">
        <v>9000</v>
      </c>
      <c r="I989" s="59">
        <f>IF(COUNTIF(MASUK[Kode Barang],REKAP[[#This Row],[ID]])=0,0,COUNTIF(MASUK[Kode Barang],REKAP[[#This Row],[ID]]))</f>
        <v>1</v>
      </c>
      <c r="J989" s="59">
        <f>IF(COUNTIF(MASUK8[Kode Barang],REKAP[[#This Row],[ID]])=0,0,COUNTIF(MASUK8[Kode Barang],REKAP[[#This Row],[ID]]))</f>
        <v>1</v>
      </c>
      <c r="K989" s="60">
        <f>REKAP[[#This Row],[Trx In]]+REKAP[[#This Row],[Trx Out]]</f>
        <v>2</v>
      </c>
      <c r="L989" s="55">
        <v>0</v>
      </c>
      <c r="M989" s="74">
        <f>SUMIF(MASUK!$C:$C,REKAP[[#This Row],[ID]],MASUK!$H:$H)</f>
        <v>4</v>
      </c>
      <c r="N989" s="74">
        <f>SUMIF(KELUAR!$C:$C,REKAP[[#This Row],[ID]],KELUAR!$H:$H)</f>
        <v>4</v>
      </c>
      <c r="O989" s="74">
        <f>REKAP[[#This Row],[Stok Awal]]+REKAP[[#This Row],[Masuk]]-REKAP[[#This Row],[Keluar]]</f>
        <v>0</v>
      </c>
      <c r="P989" s="55">
        <v>0</v>
      </c>
      <c r="Q989" s="62">
        <f>REKAP[[#This Row],[Harga Satuan]]*REKAP[[#This Row],[Stok Akhir]]</f>
        <v>0</v>
      </c>
      <c r="R989" s="61">
        <f>IF(REKAP[[#This Row],[Stok Aktual]]&lt;&gt;"",REKAP[[#This Row],[Stok Aktual]]-REKAP[[#This Row],[Stok Akhir]],0)</f>
        <v>0</v>
      </c>
      <c r="S989" s="132"/>
      <c r="T989" s="137">
        <f>IF(REKAP[[#This Row],[Selisih]]&lt;=-1,REKAP[[#This Row],[Harga Satuan]]*REKAP[[#This Row],[Selisih]],0)</f>
        <v>0</v>
      </c>
    </row>
    <row r="990" spans="1:20" x14ac:dyDescent="0.25">
      <c r="A990" s="55" t="s">
        <v>1316</v>
      </c>
      <c r="B990" s="55" t="s">
        <v>885</v>
      </c>
      <c r="C990" s="55" t="s">
        <v>885</v>
      </c>
      <c r="D990" s="56" t="s">
        <v>1849</v>
      </c>
      <c r="E990" s="57"/>
      <c r="F990" s="75" t="s">
        <v>898</v>
      </c>
      <c r="G990" s="55"/>
      <c r="H990" s="58">
        <v>6331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4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4</v>
      </c>
      <c r="P990" s="55"/>
      <c r="Q990" s="62">
        <f>REKAP[[#This Row],[Harga Satuan]]*REKAP[[#This Row],[Stok Akhir]]</f>
        <v>25324</v>
      </c>
      <c r="R990" s="61">
        <f>IF(REKAP[[#This Row],[Stok Aktual]]&lt;&gt;"",REKAP[[#This Row],[Stok Aktual]]-REKAP[[#This Row],[Stok Akhir]],0)</f>
        <v>0</v>
      </c>
      <c r="S990" s="132"/>
      <c r="T990" s="137">
        <f>IF(REKAP[[#This Row],[Selisih]]&lt;=-1,REKAP[[#This Row],[Harga Satuan]]*REKAP[[#This Row],[Selisih]],0)</f>
        <v>0</v>
      </c>
    </row>
    <row r="991" spans="1:20" x14ac:dyDescent="0.25">
      <c r="A991" s="55" t="s">
        <v>1317</v>
      </c>
      <c r="B991" s="55" t="s">
        <v>885</v>
      </c>
      <c r="C991" s="55" t="s">
        <v>885</v>
      </c>
      <c r="D991" s="56" t="s">
        <v>1850</v>
      </c>
      <c r="E991" s="57"/>
      <c r="F991" s="75" t="s">
        <v>898</v>
      </c>
      <c r="G991" s="55"/>
      <c r="H991" s="58">
        <v>6331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34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34</v>
      </c>
      <c r="P991" s="55"/>
      <c r="Q991" s="62">
        <f>REKAP[[#This Row],[Harga Satuan]]*REKAP[[#This Row],[Stok Akhir]]</f>
        <v>215254</v>
      </c>
      <c r="R991" s="61">
        <f>IF(REKAP[[#This Row],[Stok Aktual]]&lt;&gt;"",REKAP[[#This Row],[Stok Aktual]]-REKAP[[#This Row],[Stok Akhir]],0)</f>
        <v>0</v>
      </c>
      <c r="S991" s="132"/>
      <c r="T991" s="137">
        <f>IF(REKAP[[#This Row],[Selisih]]&lt;=-1,REKAP[[#This Row],[Harga Satuan]]*REKAP[[#This Row],[Selisih]],0)</f>
        <v>0</v>
      </c>
    </row>
    <row r="992" spans="1:20" x14ac:dyDescent="0.25">
      <c r="A992" s="55" t="s">
        <v>1318</v>
      </c>
      <c r="B992" s="55" t="s">
        <v>885</v>
      </c>
      <c r="C992" s="55" t="s">
        <v>885</v>
      </c>
      <c r="D992" s="56" t="s">
        <v>1851</v>
      </c>
      <c r="E992" s="57"/>
      <c r="F992" s="75" t="s">
        <v>898</v>
      </c>
      <c r="G992" s="55"/>
      <c r="H992" s="58">
        <v>13969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20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20</v>
      </c>
      <c r="P992" s="55"/>
      <c r="Q992" s="62">
        <f>REKAP[[#This Row],[Harga Satuan]]*REKAP[[#This Row],[Stok Akhir]]</f>
        <v>279380</v>
      </c>
      <c r="R992" s="61">
        <f>IF(REKAP[[#This Row],[Stok Aktual]]&lt;&gt;"",REKAP[[#This Row],[Stok Aktual]]-REKAP[[#This Row],[Stok Akhir]],0)</f>
        <v>0</v>
      </c>
      <c r="S992" s="132"/>
      <c r="T992" s="137">
        <f>IF(REKAP[[#This Row],[Selisih]]&lt;=-1,REKAP[[#This Row],[Harga Satuan]]*REKAP[[#This Row],[Selisih]],0)</f>
        <v>0</v>
      </c>
    </row>
    <row r="993" spans="1:20" x14ac:dyDescent="0.25">
      <c r="A993" s="55" t="s">
        <v>1319</v>
      </c>
      <c r="B993" s="55" t="s">
        <v>3614</v>
      </c>
      <c r="C993" s="55" t="s">
        <v>3614</v>
      </c>
      <c r="D993" s="56" t="s">
        <v>886</v>
      </c>
      <c r="E993" s="57"/>
      <c r="F993" s="75" t="s">
        <v>898</v>
      </c>
      <c r="G993" s="55"/>
      <c r="H993" s="58"/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6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6</v>
      </c>
      <c r="P993" s="55"/>
      <c r="Q993" s="62">
        <f>REKAP[[#This Row],[Harga Satuan]]*REKAP[[#This Row],[Stok Akhir]]</f>
        <v>0</v>
      </c>
      <c r="R993" s="61">
        <f>IF(REKAP[[#This Row],[Stok Aktual]]&lt;&gt;"",REKAP[[#This Row],[Stok Aktual]]-REKAP[[#This Row],[Stok Akhir]],0)</f>
        <v>0</v>
      </c>
      <c r="S993" s="132"/>
      <c r="T993" s="137">
        <f>IF(REKAP[[#This Row],[Selisih]]&lt;=-1,REKAP[[#This Row],[Harga Satuan]]*REKAP[[#This Row],[Selisih]],0)</f>
        <v>0</v>
      </c>
    </row>
    <row r="994" spans="1:20" x14ac:dyDescent="0.25">
      <c r="A994" s="55" t="s">
        <v>1320</v>
      </c>
      <c r="B994" s="55" t="s">
        <v>887</v>
      </c>
      <c r="C994" s="55" t="s">
        <v>887</v>
      </c>
      <c r="D994" s="56" t="s">
        <v>1852</v>
      </c>
      <c r="E994" s="57"/>
      <c r="F994" s="75" t="s">
        <v>898</v>
      </c>
      <c r="G994" s="55"/>
      <c r="H994" s="58">
        <v>17000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0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0</v>
      </c>
      <c r="P994" s="55"/>
      <c r="Q994" s="62">
        <f>REKAP[[#This Row],[Harga Satuan]]*REKAP[[#This Row],[Stok Akhir]]</f>
        <v>0</v>
      </c>
      <c r="R994" s="61">
        <f>IF(REKAP[[#This Row],[Stok Aktual]]&lt;&gt;"",REKAP[[#This Row],[Stok Aktual]]-REKAP[[#This Row],[Stok Akhir]],0)</f>
        <v>0</v>
      </c>
      <c r="S994" s="132"/>
      <c r="T994" s="137">
        <f>IF(REKAP[[#This Row],[Selisih]]&lt;=-1,REKAP[[#This Row],[Harga Satuan]]*REKAP[[#This Row],[Selisih]],0)</f>
        <v>0</v>
      </c>
    </row>
    <row r="995" spans="1:20" x14ac:dyDescent="0.25">
      <c r="A995" s="55" t="s">
        <v>1321</v>
      </c>
      <c r="B995" s="55" t="s">
        <v>887</v>
      </c>
      <c r="C995" s="55" t="s">
        <v>887</v>
      </c>
      <c r="D995" s="56" t="s">
        <v>1853</v>
      </c>
      <c r="E995" s="57"/>
      <c r="F995" s="75" t="s">
        <v>898</v>
      </c>
      <c r="G995" s="55"/>
      <c r="H995" s="58"/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4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4</v>
      </c>
      <c r="P995" s="55"/>
      <c r="Q995" s="62">
        <f>REKAP[[#This Row],[Harga Satuan]]*REKAP[[#This Row],[Stok Akhir]]</f>
        <v>0</v>
      </c>
      <c r="R995" s="61">
        <f>IF(REKAP[[#This Row],[Stok Aktual]]&lt;&gt;"",REKAP[[#This Row],[Stok Aktual]]-REKAP[[#This Row],[Stok Akhir]],0)</f>
        <v>0</v>
      </c>
      <c r="S995" s="132"/>
      <c r="T995" s="137">
        <f>IF(REKAP[[#This Row],[Selisih]]&lt;=-1,REKAP[[#This Row],[Harga Satuan]]*REKAP[[#This Row],[Selisih]],0)</f>
        <v>0</v>
      </c>
    </row>
    <row r="996" spans="1:20" x14ac:dyDescent="0.25">
      <c r="A996" s="55" t="s">
        <v>1322</v>
      </c>
      <c r="B996" s="55" t="s">
        <v>887</v>
      </c>
      <c r="C996" s="55" t="s">
        <v>887</v>
      </c>
      <c r="D996" s="56" t="s">
        <v>1854</v>
      </c>
      <c r="E996" s="57"/>
      <c r="F996" s="75" t="s">
        <v>898</v>
      </c>
      <c r="G996" s="55"/>
      <c r="H996" s="58">
        <v>16000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1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1</v>
      </c>
      <c r="P996" s="55"/>
      <c r="Q996" s="62">
        <f>REKAP[[#This Row],[Harga Satuan]]*REKAP[[#This Row],[Stok Akhir]]</f>
        <v>16000</v>
      </c>
      <c r="R996" s="61">
        <f>IF(REKAP[[#This Row],[Stok Aktual]]&lt;&gt;"",REKAP[[#This Row],[Stok Aktual]]-REKAP[[#This Row],[Stok Akhir]],0)</f>
        <v>0</v>
      </c>
      <c r="S996" s="132"/>
      <c r="T996" s="137">
        <f>IF(REKAP[[#This Row],[Selisih]]&lt;=-1,REKAP[[#This Row],[Harga Satuan]]*REKAP[[#This Row],[Selisih]],0)</f>
        <v>0</v>
      </c>
    </row>
    <row r="997" spans="1:20" x14ac:dyDescent="0.25">
      <c r="A997" s="55" t="s">
        <v>1323</v>
      </c>
      <c r="B997" s="55" t="s">
        <v>887</v>
      </c>
      <c r="C997" s="55" t="s">
        <v>887</v>
      </c>
      <c r="D997" s="56" t="s">
        <v>1855</v>
      </c>
      <c r="E997" s="57"/>
      <c r="F997" s="75" t="s">
        <v>898</v>
      </c>
      <c r="G997" s="55"/>
      <c r="H997" s="58">
        <v>17000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0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0</v>
      </c>
      <c r="P997" s="55"/>
      <c r="Q997" s="62">
        <f>REKAP[[#This Row],[Harga Satuan]]*REKAP[[#This Row],[Stok Akhir]]</f>
        <v>0</v>
      </c>
      <c r="R997" s="61">
        <f>IF(REKAP[[#This Row],[Stok Aktual]]&lt;&gt;"",REKAP[[#This Row],[Stok Aktual]]-REKAP[[#This Row],[Stok Akhir]],0)</f>
        <v>0</v>
      </c>
      <c r="S997" s="132"/>
      <c r="T997" s="137">
        <f>IF(REKAP[[#This Row],[Selisih]]&lt;=-1,REKAP[[#This Row],[Harga Satuan]]*REKAP[[#This Row],[Selisih]],0)</f>
        <v>0</v>
      </c>
    </row>
    <row r="998" spans="1:20" x14ac:dyDescent="0.25">
      <c r="A998" s="55" t="s">
        <v>1324</v>
      </c>
      <c r="B998" s="55" t="s">
        <v>887</v>
      </c>
      <c r="C998" s="55" t="s">
        <v>887</v>
      </c>
      <c r="D998" s="56" t="s">
        <v>1856</v>
      </c>
      <c r="E998" s="57"/>
      <c r="F998" s="75" t="s">
        <v>898</v>
      </c>
      <c r="G998" s="55"/>
      <c r="H998" s="58">
        <v>18000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0</v>
      </c>
      <c r="K998" s="60">
        <f>REKAP[[#This Row],[Trx In]]+REKAP[[#This Row],[Trx Out]]</f>
        <v>0</v>
      </c>
      <c r="L998" s="55">
        <v>0</v>
      </c>
      <c r="M998" s="74">
        <f>SUMIF(MASUK!$C:$C,REKAP[[#This Row],[ID]],MASUK!$H:$H)</f>
        <v>0</v>
      </c>
      <c r="N998" s="74">
        <f>SUMIF(KELUAR!$C:$C,REKAP[[#This Row],[ID]],KELUAR!$H:$H)</f>
        <v>0</v>
      </c>
      <c r="O998" s="74">
        <f>REKAP[[#This Row],[Stok Awal]]+REKAP[[#This Row],[Masuk]]-REKAP[[#This Row],[Keluar]]</f>
        <v>0</v>
      </c>
      <c r="P998" s="55"/>
      <c r="Q998" s="62">
        <f>REKAP[[#This Row],[Harga Satuan]]*REKAP[[#This Row],[Stok Akhir]]</f>
        <v>0</v>
      </c>
      <c r="R998" s="61">
        <f>IF(REKAP[[#This Row],[Stok Aktual]]&lt;&gt;"",REKAP[[#This Row],[Stok Aktual]]-REKAP[[#This Row],[Stok Akhir]],0)</f>
        <v>0</v>
      </c>
      <c r="S998" s="132"/>
      <c r="T998" s="137">
        <f>IF(REKAP[[#This Row],[Selisih]]&lt;=-1,REKAP[[#This Row],[Harga Satuan]]*REKAP[[#This Row],[Selisih]],0)</f>
        <v>0</v>
      </c>
    </row>
    <row r="999" spans="1:20" x14ac:dyDescent="0.25">
      <c r="A999" s="55" t="s">
        <v>1325</v>
      </c>
      <c r="B999" s="55" t="s">
        <v>887</v>
      </c>
      <c r="C999" s="55" t="s">
        <v>887</v>
      </c>
      <c r="D999" s="56" t="s">
        <v>1857</v>
      </c>
      <c r="E999" s="57"/>
      <c r="F999" s="75" t="s">
        <v>898</v>
      </c>
      <c r="G999" s="55"/>
      <c r="H999" s="58"/>
      <c r="I999" s="59">
        <f>IF(COUNTIF(MASUK[Kode Barang],REKAP[[#This Row],[ID]])=0,0,COUNTIF(MASUK[Kode Barang],REKAP[[#This Row],[ID]]))</f>
        <v>0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0</v>
      </c>
      <c r="L999" s="55">
        <v>1</v>
      </c>
      <c r="M999" s="74">
        <f>SUMIF(MASUK!$C:$C,REKAP[[#This Row],[ID]],MASUK!$H:$H)</f>
        <v>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1</v>
      </c>
      <c r="P999" s="55"/>
      <c r="Q999" s="62">
        <f>REKAP[[#This Row],[Harga Satuan]]*REKAP[[#This Row],[Stok Akhir]]</f>
        <v>0</v>
      </c>
      <c r="R999" s="61">
        <f>IF(REKAP[[#This Row],[Stok Aktual]]&lt;&gt;"",REKAP[[#This Row],[Stok Aktual]]-REKAP[[#This Row],[Stok Akhir]],0)</f>
        <v>0</v>
      </c>
      <c r="S999" s="132"/>
      <c r="T999" s="137">
        <f>IF(REKAP[[#This Row],[Selisih]]&lt;=-1,REKAP[[#This Row],[Harga Satuan]]*REKAP[[#This Row],[Selisih]],0)</f>
        <v>0</v>
      </c>
    </row>
    <row r="1000" spans="1:20" x14ac:dyDescent="0.25">
      <c r="A1000" s="55" t="s">
        <v>1326</v>
      </c>
      <c r="B1000" s="55" t="s">
        <v>887</v>
      </c>
      <c r="C1000" s="55" t="s">
        <v>887</v>
      </c>
      <c r="D1000" s="56" t="s">
        <v>1858</v>
      </c>
      <c r="E1000" s="57"/>
      <c r="F1000" s="75" t="s">
        <v>898</v>
      </c>
      <c r="G1000" s="55"/>
      <c r="H1000" s="58">
        <v>27000</v>
      </c>
      <c r="I1000" s="59">
        <f>IF(COUNTIF(MASUK[Kode Barang],REKAP[[#This Row],[ID]])=0,0,COUNTIF(MASUK[Kode Barang],REKAP[[#This Row],[ID]]))</f>
        <v>1</v>
      </c>
      <c r="J1000" s="59">
        <f>IF(COUNTIF(MASUK8[Kode Barang],REKAP[[#This Row],[ID]])=0,0,COUNTIF(MASUK8[Kode Barang],REKAP[[#This Row],[ID]]))</f>
        <v>1</v>
      </c>
      <c r="K1000" s="60">
        <f>REKAP[[#This Row],[Trx In]]+REKAP[[#This Row],[Trx Out]]</f>
        <v>2</v>
      </c>
      <c r="L1000" s="55">
        <v>0</v>
      </c>
      <c r="M1000" s="74">
        <f>SUMIF(MASUK!$C:$C,REKAP[[#This Row],[ID]],MASUK!$H:$H)</f>
        <v>2</v>
      </c>
      <c r="N1000" s="74">
        <f>SUMIF(KELUAR!$C:$C,REKAP[[#This Row],[ID]],KELUAR!$H:$H)</f>
        <v>2</v>
      </c>
      <c r="O1000" s="74">
        <f>REKAP[[#This Row],[Stok Awal]]+REKAP[[#This Row],[Masuk]]-REKAP[[#This Row],[Keluar]]</f>
        <v>0</v>
      </c>
      <c r="P1000" s="55">
        <v>0</v>
      </c>
      <c r="Q1000" s="62">
        <f>REKAP[[#This Row],[Harga Satuan]]*REKAP[[#This Row],[Stok Akhir]]</f>
        <v>0</v>
      </c>
      <c r="R1000" s="61">
        <f>IF(REKAP[[#This Row],[Stok Aktual]]&lt;&gt;"",REKAP[[#This Row],[Stok Aktual]]-REKAP[[#This Row],[Stok Akhir]],0)</f>
        <v>0</v>
      </c>
      <c r="S1000" s="132"/>
      <c r="T1000" s="137">
        <f>IF(REKAP[[#This Row],[Selisih]]&lt;=-1,REKAP[[#This Row],[Harga Satuan]]*REKAP[[#This Row],[Selisih]],0)</f>
        <v>0</v>
      </c>
    </row>
    <row r="1001" spans="1:20" x14ac:dyDescent="0.25">
      <c r="A1001" s="55" t="s">
        <v>1327</v>
      </c>
      <c r="B1001" s="55" t="s">
        <v>887</v>
      </c>
      <c r="C1001" s="55" t="s">
        <v>887</v>
      </c>
      <c r="D1001" s="56" t="s">
        <v>1859</v>
      </c>
      <c r="E1001" s="57"/>
      <c r="F1001" s="75" t="s">
        <v>898</v>
      </c>
      <c r="G1001" s="55"/>
      <c r="H1001" s="58">
        <v>29000</v>
      </c>
      <c r="I1001" s="59">
        <f>IF(COUNTIF(MASUK[Kode Barang],REKAP[[#This Row],[ID]])=0,0,COUNTIF(MASUK[Kode Barang],REKAP[[#This Row],[ID]]))</f>
        <v>1</v>
      </c>
      <c r="J1001" s="59">
        <f>IF(COUNTIF(MASUK8[Kode Barang],REKAP[[#This Row],[ID]])=0,0,COUNTIF(MASUK8[Kode Barang],REKAP[[#This Row],[ID]]))</f>
        <v>1</v>
      </c>
      <c r="K1001" s="60">
        <f>REKAP[[#This Row],[Trx In]]+REKAP[[#This Row],[Trx Out]]</f>
        <v>2</v>
      </c>
      <c r="L1001" s="55">
        <v>0</v>
      </c>
      <c r="M1001" s="74">
        <f>SUMIF(MASUK!$C:$C,REKAP[[#This Row],[ID]],MASUK!$H:$H)</f>
        <v>2</v>
      </c>
      <c r="N1001" s="74">
        <f>SUMIF(KELUAR!$C:$C,REKAP[[#This Row],[ID]],KELUAR!$H:$H)</f>
        <v>2</v>
      </c>
      <c r="O1001" s="74">
        <f>REKAP[[#This Row],[Stok Awal]]+REKAP[[#This Row],[Masuk]]-REKAP[[#This Row],[Keluar]]</f>
        <v>0</v>
      </c>
      <c r="P1001" s="55">
        <v>0</v>
      </c>
      <c r="Q1001" s="62">
        <f>REKAP[[#This Row],[Harga Satuan]]*REKAP[[#This Row],[Stok Akhir]]</f>
        <v>0</v>
      </c>
      <c r="R1001" s="61">
        <f>IF(REKAP[[#This Row],[Stok Aktual]]&lt;&gt;"",REKAP[[#This Row],[Stok Aktual]]-REKAP[[#This Row],[Stok Akhir]],0)</f>
        <v>0</v>
      </c>
      <c r="S1001" s="132"/>
      <c r="T1001" s="137">
        <f>IF(REKAP[[#This Row],[Selisih]]&lt;=-1,REKAP[[#This Row],[Harga Satuan]]*REKAP[[#This Row],[Selisih]],0)</f>
        <v>0</v>
      </c>
    </row>
    <row r="1002" spans="1:20" x14ac:dyDescent="0.25">
      <c r="A1002" s="55" t="s">
        <v>1328</v>
      </c>
      <c r="B1002" s="55" t="s">
        <v>887</v>
      </c>
      <c r="C1002" s="55" t="s">
        <v>887</v>
      </c>
      <c r="D1002" s="56" t="s">
        <v>1860</v>
      </c>
      <c r="E1002" s="57"/>
      <c r="F1002" s="75" t="s">
        <v>898</v>
      </c>
      <c r="G1002" s="55"/>
      <c r="H1002" s="58">
        <v>33000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0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0</v>
      </c>
      <c r="P1002" s="55"/>
      <c r="Q1002" s="62">
        <f>REKAP[[#This Row],[Harga Satuan]]*REKAP[[#This Row],[Stok Akhir]]</f>
        <v>0</v>
      </c>
      <c r="R1002" s="61">
        <f>IF(REKAP[[#This Row],[Stok Aktual]]&lt;&gt;"",REKAP[[#This Row],[Stok Aktual]]-REKAP[[#This Row],[Stok Akhir]],0)</f>
        <v>0</v>
      </c>
      <c r="S1002" s="132"/>
      <c r="T1002" s="137">
        <f>IF(REKAP[[#This Row],[Selisih]]&lt;=-1,REKAP[[#This Row],[Harga Satuan]]*REKAP[[#This Row],[Selisih]],0)</f>
        <v>0</v>
      </c>
    </row>
    <row r="1003" spans="1:20" x14ac:dyDescent="0.25">
      <c r="A1003" s="55" t="s">
        <v>1329</v>
      </c>
      <c r="B1003" s="55" t="s">
        <v>887</v>
      </c>
      <c r="C1003" s="55" t="s">
        <v>887</v>
      </c>
      <c r="D1003" s="56" t="s">
        <v>1861</v>
      </c>
      <c r="E1003" s="57"/>
      <c r="F1003" s="75" t="s">
        <v>898</v>
      </c>
      <c r="G1003" s="55"/>
      <c r="H1003" s="58">
        <v>26000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0</v>
      </c>
      <c r="K1003" s="60">
        <f>REKAP[[#This Row],[Trx In]]+REKAP[[#This Row],[Trx Out]]</f>
        <v>0</v>
      </c>
      <c r="L1003" s="55">
        <v>0</v>
      </c>
      <c r="M1003" s="74">
        <f>SUMIF(MASUK!$C:$C,REKAP[[#This Row],[ID]],MASUK!$H:$H)</f>
        <v>0</v>
      </c>
      <c r="N1003" s="74">
        <f>SUMIF(KELUAR!$C:$C,REKAP[[#This Row],[ID]],KELUAR!$H:$H)</f>
        <v>0</v>
      </c>
      <c r="O1003" s="74">
        <f>REKAP[[#This Row],[Stok Awal]]+REKAP[[#This Row],[Masuk]]-REKAP[[#This Row],[Keluar]]</f>
        <v>0</v>
      </c>
      <c r="P1003" s="55"/>
      <c r="Q1003" s="62">
        <f>REKAP[[#This Row],[Harga Satuan]]*REKAP[[#This Row],[Stok Akhir]]</f>
        <v>0</v>
      </c>
      <c r="R1003" s="61">
        <f>IF(REKAP[[#This Row],[Stok Aktual]]&lt;&gt;"",REKAP[[#This Row],[Stok Aktual]]-REKAP[[#This Row],[Stok Akhir]],0)</f>
        <v>0</v>
      </c>
      <c r="S1003" s="132"/>
      <c r="T1003" s="137">
        <f>IF(REKAP[[#This Row],[Selisih]]&lt;=-1,REKAP[[#This Row],[Harga Satuan]]*REKAP[[#This Row],[Selisih]],0)</f>
        <v>0</v>
      </c>
    </row>
    <row r="1004" spans="1:20" x14ac:dyDescent="0.25">
      <c r="A1004" s="55" t="s">
        <v>1330</v>
      </c>
      <c r="B1004" s="55" t="s">
        <v>887</v>
      </c>
      <c r="C1004" s="55" t="s">
        <v>887</v>
      </c>
      <c r="D1004" s="56" t="s">
        <v>1862</v>
      </c>
      <c r="E1004" s="57"/>
      <c r="F1004" s="75" t="s">
        <v>898</v>
      </c>
      <c r="G1004" s="55"/>
      <c r="H1004" s="58">
        <v>31000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0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0</v>
      </c>
      <c r="P1004" s="55"/>
      <c r="Q1004" s="62">
        <f>REKAP[[#This Row],[Harga Satuan]]*REKAP[[#This Row],[Stok Akhir]]</f>
        <v>0</v>
      </c>
      <c r="R1004" s="61">
        <f>IF(REKAP[[#This Row],[Stok Aktual]]&lt;&gt;"",REKAP[[#This Row],[Stok Aktual]]-REKAP[[#This Row],[Stok Akhir]],0)</f>
        <v>0</v>
      </c>
      <c r="S1004" s="132"/>
      <c r="T1004" s="137">
        <f>IF(REKAP[[#This Row],[Selisih]]&lt;=-1,REKAP[[#This Row],[Harga Satuan]]*REKAP[[#This Row],[Selisih]],0)</f>
        <v>0</v>
      </c>
    </row>
    <row r="1005" spans="1:20" x14ac:dyDescent="0.25">
      <c r="A1005" s="55" t="s">
        <v>1331</v>
      </c>
      <c r="B1005" s="55" t="s">
        <v>887</v>
      </c>
      <c r="C1005" s="55" t="s">
        <v>887</v>
      </c>
      <c r="D1005" s="56" t="s">
        <v>1863</v>
      </c>
      <c r="E1005" s="57"/>
      <c r="F1005" s="75" t="s">
        <v>898</v>
      </c>
      <c r="G1005" s="55"/>
      <c r="H1005" s="58">
        <v>31259</v>
      </c>
      <c r="I1005" s="59">
        <f>IF(COUNTIF(MASUK[Kode Barang],REKAP[[#This Row],[ID]])=0,0,COUNTIF(MASUK[Kode Barang],REKAP[[#This Row],[ID]]))</f>
        <v>0</v>
      </c>
      <c r="J1005" s="59">
        <f>IF(COUNTIF(MASUK8[Kode Barang],REKAP[[#This Row],[ID]])=0,0,COUNTIF(MASUK8[Kode Barang],REKAP[[#This Row],[ID]]))</f>
        <v>0</v>
      </c>
      <c r="K1005" s="60">
        <f>REKAP[[#This Row],[Trx In]]+REKAP[[#This Row],[Trx Out]]</f>
        <v>0</v>
      </c>
      <c r="L1005" s="55">
        <v>8</v>
      </c>
      <c r="M1005" s="74">
        <f>SUMIF(MASUK!$C:$C,REKAP[[#This Row],[ID]],MASUK!$H:$H)</f>
        <v>0</v>
      </c>
      <c r="N1005" s="74">
        <f>SUMIF(KELUAR!$C:$C,REKAP[[#This Row],[ID]],KELUAR!$H:$H)</f>
        <v>0</v>
      </c>
      <c r="O1005" s="74">
        <f>REKAP[[#This Row],[Stok Awal]]+REKAP[[#This Row],[Masuk]]-REKAP[[#This Row],[Keluar]]</f>
        <v>8</v>
      </c>
      <c r="P1005" s="55"/>
      <c r="Q1005" s="62">
        <f>REKAP[[#This Row],[Harga Satuan]]*REKAP[[#This Row],[Stok Akhir]]</f>
        <v>250072</v>
      </c>
      <c r="R1005" s="61">
        <f>IF(REKAP[[#This Row],[Stok Aktual]]&lt;&gt;"",REKAP[[#This Row],[Stok Aktual]]-REKAP[[#This Row],[Stok Akhir]],0)</f>
        <v>0</v>
      </c>
      <c r="S1005" s="132"/>
      <c r="T1005" s="137">
        <f>IF(REKAP[[#This Row],[Selisih]]&lt;=-1,REKAP[[#This Row],[Harga Satuan]]*REKAP[[#This Row],[Selisih]],0)</f>
        <v>0</v>
      </c>
    </row>
    <row r="1006" spans="1:20" x14ac:dyDescent="0.25">
      <c r="A1006" s="55" t="s">
        <v>1332</v>
      </c>
      <c r="B1006" s="55" t="s">
        <v>887</v>
      </c>
      <c r="C1006" s="55" t="s">
        <v>887</v>
      </c>
      <c r="D1006" s="56" t="s">
        <v>1864</v>
      </c>
      <c r="E1006" s="57"/>
      <c r="F1006" s="75" t="s">
        <v>898</v>
      </c>
      <c r="G1006" s="55"/>
      <c r="H1006" s="58">
        <v>28000</v>
      </c>
      <c r="I1006" s="59">
        <f>IF(COUNTIF(MASUK[Kode Barang],REKAP[[#This Row],[ID]])=0,0,COUNTIF(MASUK[Kode Barang],REKAP[[#This Row],[ID]]))</f>
        <v>0</v>
      </c>
      <c r="J1006" s="59">
        <f>IF(COUNTIF(MASUK8[Kode Barang],REKAP[[#This Row],[ID]])=0,0,COUNTIF(MASUK8[Kode Barang],REKAP[[#This Row],[ID]]))</f>
        <v>0</v>
      </c>
      <c r="K1006" s="60">
        <f>REKAP[[#This Row],[Trx In]]+REKAP[[#This Row],[Trx Out]]</f>
        <v>0</v>
      </c>
      <c r="L1006" s="55">
        <v>0</v>
      </c>
      <c r="M1006" s="74">
        <f>SUMIF(MASUK!$C:$C,REKAP[[#This Row],[ID]],MASUK!$H:$H)</f>
        <v>0</v>
      </c>
      <c r="N1006" s="74">
        <f>SUMIF(KELUAR!$C:$C,REKAP[[#This Row],[ID]],KELUAR!$H:$H)</f>
        <v>0</v>
      </c>
      <c r="O1006" s="74">
        <f>REKAP[[#This Row],[Stok Awal]]+REKAP[[#This Row],[Masuk]]-REKAP[[#This Row],[Keluar]]</f>
        <v>0</v>
      </c>
      <c r="P1006" s="55"/>
      <c r="Q1006" s="62">
        <f>REKAP[[#This Row],[Harga Satuan]]*REKAP[[#This Row],[Stok Akhir]]</f>
        <v>0</v>
      </c>
      <c r="R1006" s="61">
        <f>IF(REKAP[[#This Row],[Stok Aktual]]&lt;&gt;"",REKAP[[#This Row],[Stok Aktual]]-REKAP[[#This Row],[Stok Akhir]],0)</f>
        <v>0</v>
      </c>
      <c r="S1006" s="132"/>
      <c r="T1006" s="137">
        <f>IF(REKAP[[#This Row],[Selisih]]&lt;=-1,REKAP[[#This Row],[Harga Satuan]]*REKAP[[#This Row],[Selisih]],0)</f>
        <v>0</v>
      </c>
    </row>
    <row r="1007" spans="1:20" x14ac:dyDescent="0.25">
      <c r="A1007" s="55" t="s">
        <v>1333</v>
      </c>
      <c r="B1007" s="55" t="s">
        <v>887</v>
      </c>
      <c r="C1007" s="55" t="s">
        <v>887</v>
      </c>
      <c r="D1007" s="56" t="s">
        <v>1865</v>
      </c>
      <c r="E1007" s="57"/>
      <c r="F1007" s="75" t="s">
        <v>898</v>
      </c>
      <c r="G1007" s="55"/>
      <c r="H1007" s="58">
        <v>53000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0</v>
      </c>
      <c r="M1007" s="74">
        <f>SUMIF(MASUK!$C:$C,REKAP[[#This Row],[ID]],MASUK!$H:$H)</f>
        <v>3</v>
      </c>
      <c r="N1007" s="74">
        <f>SUMIF(KELUAR!$C:$C,REKAP[[#This Row],[ID]],KELUAR!$H:$H)</f>
        <v>3</v>
      </c>
      <c r="O1007" s="74">
        <f>REKAP[[#This Row],[Stok Awal]]+REKAP[[#This Row],[Masuk]]-REKAP[[#This Row],[Keluar]]</f>
        <v>0</v>
      </c>
      <c r="P1007" s="55">
        <v>0</v>
      </c>
      <c r="Q1007" s="62">
        <f>REKAP[[#This Row],[Harga Satuan]]*REKAP[[#This Row],[Stok Akhir]]</f>
        <v>0</v>
      </c>
      <c r="R1007" s="61">
        <f>IF(REKAP[[#This Row],[Stok Aktual]]&lt;&gt;"",REKAP[[#This Row],[Stok Aktual]]-REKAP[[#This Row],[Stok Akhir]],0)</f>
        <v>0</v>
      </c>
      <c r="S1007" s="132"/>
      <c r="T1007" s="137">
        <f>IF(REKAP[[#This Row],[Selisih]]&lt;=-1,REKAP[[#This Row],[Harga Satuan]]*REKAP[[#This Row],[Selisih]],0)</f>
        <v>0</v>
      </c>
    </row>
    <row r="1008" spans="1:20" x14ac:dyDescent="0.25">
      <c r="A1008" s="55" t="s">
        <v>1334</v>
      </c>
      <c r="B1008" s="55" t="s">
        <v>887</v>
      </c>
      <c r="C1008" s="55" t="s">
        <v>887</v>
      </c>
      <c r="D1008" s="56" t="s">
        <v>1866</v>
      </c>
      <c r="E1008" s="57"/>
      <c r="F1008" s="75" t="s">
        <v>898</v>
      </c>
      <c r="G1008" s="55"/>
      <c r="H1008" s="58">
        <v>44000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0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0</v>
      </c>
      <c r="P1008" s="55"/>
      <c r="Q1008" s="62">
        <f>REKAP[[#This Row],[Harga Satuan]]*REKAP[[#This Row],[Stok Akhir]]</f>
        <v>0</v>
      </c>
      <c r="R1008" s="61">
        <f>IF(REKAP[[#This Row],[Stok Aktual]]&lt;&gt;"",REKAP[[#This Row],[Stok Aktual]]-REKAP[[#This Row],[Stok Akhir]],0)</f>
        <v>0</v>
      </c>
      <c r="S1008" s="132"/>
      <c r="T1008" s="137">
        <f>IF(REKAP[[#This Row],[Selisih]]&lt;=-1,REKAP[[#This Row],[Harga Satuan]]*REKAP[[#This Row],[Selisih]],0)</f>
        <v>0</v>
      </c>
    </row>
    <row r="1009" spans="1:20" x14ac:dyDescent="0.25">
      <c r="A1009" s="55" t="s">
        <v>1335</v>
      </c>
      <c r="B1009" s="55" t="s">
        <v>887</v>
      </c>
      <c r="C1009" s="55" t="s">
        <v>887</v>
      </c>
      <c r="D1009" s="56" t="s">
        <v>1867</v>
      </c>
      <c r="E1009" s="57"/>
      <c r="F1009" s="75" t="s">
        <v>898</v>
      </c>
      <c r="G1009" s="55"/>
      <c r="H1009" s="58">
        <v>38000</v>
      </c>
      <c r="I1009" s="59">
        <f>IF(COUNTIF(MASUK[Kode Barang],REKAP[[#This Row],[ID]])=0,0,COUNTIF(MASUK[Kode Barang],REKAP[[#This Row],[ID]]))</f>
        <v>1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2</v>
      </c>
      <c r="L1009" s="55">
        <v>0</v>
      </c>
      <c r="M1009" s="74">
        <f>SUMIF(MASUK!$C:$C,REKAP[[#This Row],[ID]],MASUK!$H:$H)</f>
        <v>4</v>
      </c>
      <c r="N1009" s="74">
        <f>SUMIF(KELUAR!$C:$C,REKAP[[#This Row],[ID]],KELUAR!$H:$H)</f>
        <v>4</v>
      </c>
      <c r="O1009" s="74">
        <f>REKAP[[#This Row],[Stok Awal]]+REKAP[[#This Row],[Masuk]]-REKAP[[#This Row],[Keluar]]</f>
        <v>0</v>
      </c>
      <c r="P1009" s="55">
        <v>0</v>
      </c>
      <c r="Q1009" s="62">
        <f>REKAP[[#This Row],[Harga Satuan]]*REKAP[[#This Row],[Stok Akhir]]</f>
        <v>0</v>
      </c>
      <c r="R1009" s="61">
        <f>IF(REKAP[[#This Row],[Stok Aktual]]&lt;&gt;"",REKAP[[#This Row],[Stok Aktual]]-REKAP[[#This Row],[Stok Akhir]],0)</f>
        <v>0</v>
      </c>
      <c r="S1009" s="132"/>
      <c r="T1009" s="137">
        <f>IF(REKAP[[#This Row],[Selisih]]&lt;=-1,REKAP[[#This Row],[Harga Satuan]]*REKAP[[#This Row],[Selisih]],0)</f>
        <v>0</v>
      </c>
    </row>
    <row r="1010" spans="1:20" x14ac:dyDescent="0.25">
      <c r="A1010" s="55" t="s">
        <v>1336</v>
      </c>
      <c r="B1010" s="55" t="s">
        <v>887</v>
      </c>
      <c r="C1010" s="55" t="s">
        <v>887</v>
      </c>
      <c r="D1010" s="56" t="s">
        <v>1868</v>
      </c>
      <c r="E1010" s="57"/>
      <c r="F1010" s="75" t="s">
        <v>898</v>
      </c>
      <c r="G1010" s="55" t="s">
        <v>1974</v>
      </c>
      <c r="H1010" s="58">
        <v>32000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3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3</v>
      </c>
      <c r="P1010" s="55"/>
      <c r="Q1010" s="62">
        <f>REKAP[[#This Row],[Harga Satuan]]*REKAP[[#This Row],[Stok Akhir]]</f>
        <v>96000</v>
      </c>
      <c r="R1010" s="61">
        <f>IF(REKAP[[#This Row],[Stok Aktual]]&lt;&gt;"",REKAP[[#This Row],[Stok Aktual]]-REKAP[[#This Row],[Stok Akhir]],0)</f>
        <v>0</v>
      </c>
      <c r="S1010" s="132"/>
      <c r="T1010" s="137">
        <f>IF(REKAP[[#This Row],[Selisih]]&lt;=-1,REKAP[[#This Row],[Harga Satuan]]*REKAP[[#This Row],[Selisih]],0)</f>
        <v>0</v>
      </c>
    </row>
    <row r="1011" spans="1:20" x14ac:dyDescent="0.25">
      <c r="A1011" s="55" t="s">
        <v>1337</v>
      </c>
      <c r="B1011" s="55" t="s">
        <v>887</v>
      </c>
      <c r="C1011" s="55" t="s">
        <v>887</v>
      </c>
      <c r="D1011" s="56" t="s">
        <v>1869</v>
      </c>
      <c r="E1011" s="57"/>
      <c r="F1011" s="75" t="s">
        <v>898</v>
      </c>
      <c r="G1011" s="55"/>
      <c r="H1011" s="58">
        <v>42000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0</v>
      </c>
      <c r="K1011" s="60">
        <f>REKAP[[#This Row],[Trx In]]+REKAP[[#This Row],[Trx Out]]</f>
        <v>0</v>
      </c>
      <c r="L1011" s="55">
        <v>0</v>
      </c>
      <c r="M1011" s="74">
        <f>SUMIF(MASUK!$C:$C,REKAP[[#This Row],[ID]],MASUK!$H:$H)</f>
        <v>0</v>
      </c>
      <c r="N1011" s="74">
        <f>SUMIF(KELUAR!$C:$C,REKAP[[#This Row],[ID]],KELUAR!$H:$H)</f>
        <v>0</v>
      </c>
      <c r="O1011" s="74">
        <f>REKAP[[#This Row],[Stok Awal]]+REKAP[[#This Row],[Masuk]]-REKAP[[#This Row],[Keluar]]</f>
        <v>0</v>
      </c>
      <c r="P1011" s="55"/>
      <c r="Q1011" s="62">
        <f>REKAP[[#This Row],[Harga Satuan]]*REKAP[[#This Row],[Stok Akhir]]</f>
        <v>0</v>
      </c>
      <c r="R1011" s="61">
        <f>IF(REKAP[[#This Row],[Stok Aktual]]&lt;&gt;"",REKAP[[#This Row],[Stok Aktual]]-REKAP[[#This Row],[Stok Akhir]],0)</f>
        <v>0</v>
      </c>
      <c r="S1011" s="132"/>
      <c r="T1011" s="137">
        <f>IF(REKAP[[#This Row],[Selisih]]&lt;=-1,REKAP[[#This Row],[Harga Satuan]]*REKAP[[#This Row],[Selisih]],0)</f>
        <v>0</v>
      </c>
    </row>
    <row r="1012" spans="1:20" x14ac:dyDescent="0.25">
      <c r="A1012" s="55" t="s">
        <v>1338</v>
      </c>
      <c r="B1012" s="55" t="s">
        <v>887</v>
      </c>
      <c r="C1012" s="55" t="s">
        <v>887</v>
      </c>
      <c r="D1012" s="56" t="s">
        <v>1870</v>
      </c>
      <c r="E1012" s="57"/>
      <c r="F1012" s="75" t="s">
        <v>898</v>
      </c>
      <c r="G1012" s="55"/>
      <c r="H1012" s="58">
        <v>44000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0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0</v>
      </c>
      <c r="P1012" s="55"/>
      <c r="Q1012" s="62">
        <f>REKAP[[#This Row],[Harga Satuan]]*REKAP[[#This Row],[Stok Akhir]]</f>
        <v>0</v>
      </c>
      <c r="R1012" s="61">
        <f>IF(REKAP[[#This Row],[Stok Aktual]]&lt;&gt;"",REKAP[[#This Row],[Stok Aktual]]-REKAP[[#This Row],[Stok Akhir]],0)</f>
        <v>0</v>
      </c>
      <c r="S1012" s="132"/>
      <c r="T1012" s="137">
        <f>IF(REKAP[[#This Row],[Selisih]]&lt;=-1,REKAP[[#This Row],[Harga Satuan]]*REKAP[[#This Row],[Selisih]],0)</f>
        <v>0</v>
      </c>
    </row>
    <row r="1013" spans="1:20" x14ac:dyDescent="0.25">
      <c r="A1013" s="55" t="s">
        <v>1339</v>
      </c>
      <c r="B1013" s="55" t="s">
        <v>887</v>
      </c>
      <c r="C1013" s="55" t="s">
        <v>887</v>
      </c>
      <c r="D1013" s="56" t="s">
        <v>1871</v>
      </c>
      <c r="E1013" s="57"/>
      <c r="F1013" s="75" t="s">
        <v>898</v>
      </c>
      <c r="G1013" s="55"/>
      <c r="H1013" s="58"/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</v>
      </c>
      <c r="P1013" s="55"/>
      <c r="Q1013" s="62">
        <f>REKAP[[#This Row],[Harga Satuan]]*REKAP[[#This Row],[Stok Akhir]]</f>
        <v>0</v>
      </c>
      <c r="R1013" s="61">
        <f>IF(REKAP[[#This Row],[Stok Aktual]]&lt;&gt;"",REKAP[[#This Row],[Stok Aktual]]-REKAP[[#This Row],[Stok Akhir]],0)</f>
        <v>0</v>
      </c>
      <c r="S1013" s="132"/>
      <c r="T1013" s="137">
        <f>IF(REKAP[[#This Row],[Selisih]]&lt;=-1,REKAP[[#This Row],[Harga Satuan]]*REKAP[[#This Row],[Selisih]],0)</f>
        <v>0</v>
      </c>
    </row>
    <row r="1014" spans="1:20" x14ac:dyDescent="0.25">
      <c r="A1014" s="55" t="s">
        <v>1340</v>
      </c>
      <c r="B1014" s="55" t="s">
        <v>887</v>
      </c>
      <c r="C1014" s="55" t="s">
        <v>887</v>
      </c>
      <c r="D1014" s="56" t="s">
        <v>1872</v>
      </c>
      <c r="E1014" s="57"/>
      <c r="F1014" s="75" t="s">
        <v>898</v>
      </c>
      <c r="G1014" s="55"/>
      <c r="H1014" s="58">
        <v>88000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4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4</v>
      </c>
      <c r="P1014" s="55"/>
      <c r="Q1014" s="62">
        <f>REKAP[[#This Row],[Harga Satuan]]*REKAP[[#This Row],[Stok Akhir]]</f>
        <v>352000</v>
      </c>
      <c r="R1014" s="61">
        <f>IF(REKAP[[#This Row],[Stok Aktual]]&lt;&gt;"",REKAP[[#This Row],[Stok Aktual]]-REKAP[[#This Row],[Stok Akhir]],0)</f>
        <v>0</v>
      </c>
      <c r="S1014" s="132"/>
      <c r="T1014" s="137">
        <f>IF(REKAP[[#This Row],[Selisih]]&lt;=-1,REKAP[[#This Row],[Harga Satuan]]*REKAP[[#This Row],[Selisih]],0)</f>
        <v>0</v>
      </c>
    </row>
    <row r="1015" spans="1:20" x14ac:dyDescent="0.25">
      <c r="A1015" s="55" t="s">
        <v>1341</v>
      </c>
      <c r="B1015" s="55" t="s">
        <v>887</v>
      </c>
      <c r="C1015" s="55" t="s">
        <v>887</v>
      </c>
      <c r="D1015" s="56" t="s">
        <v>1873</v>
      </c>
      <c r="E1015" s="57"/>
      <c r="F1015" s="75" t="s">
        <v>898</v>
      </c>
      <c r="G1015" s="55"/>
      <c r="H1015" s="58">
        <v>65000</v>
      </c>
      <c r="I1015" s="59">
        <f>IF(COUNTIF(MASUK[Kode Barang],REKAP[[#This Row],[ID]])=0,0,COUNTIF(MASUK[Kode Barang],REKAP[[#This Row],[ID]]))</f>
        <v>0</v>
      </c>
      <c r="J1015" s="59">
        <f>IF(COUNTIF(MASUK8[Kode Barang],REKAP[[#This Row],[ID]])=0,0,COUNTIF(MASUK8[Kode Barang],REKAP[[#This Row],[ID]]))</f>
        <v>0</v>
      </c>
      <c r="K1015" s="60">
        <f>REKAP[[#This Row],[Trx In]]+REKAP[[#This Row],[Trx Out]]</f>
        <v>0</v>
      </c>
      <c r="L1015" s="55">
        <v>0</v>
      </c>
      <c r="M1015" s="74">
        <f>SUMIF(MASUK!$C:$C,REKAP[[#This Row],[ID]],MASUK!$H:$H)</f>
        <v>0</v>
      </c>
      <c r="N1015" s="74">
        <f>SUMIF(KELUAR!$C:$C,REKAP[[#This Row],[ID]],KELUAR!$H:$H)</f>
        <v>0</v>
      </c>
      <c r="O1015" s="74">
        <f>REKAP[[#This Row],[Stok Awal]]+REKAP[[#This Row],[Masuk]]-REKAP[[#This Row],[Keluar]]</f>
        <v>0</v>
      </c>
      <c r="P1015" s="55"/>
      <c r="Q1015" s="62">
        <f>REKAP[[#This Row],[Harga Satuan]]*REKAP[[#This Row],[Stok Akhir]]</f>
        <v>0</v>
      </c>
      <c r="R1015" s="61">
        <f>IF(REKAP[[#This Row],[Stok Aktual]]&lt;&gt;"",REKAP[[#This Row],[Stok Aktual]]-REKAP[[#This Row],[Stok Akhir]],0)</f>
        <v>0</v>
      </c>
      <c r="S1015" s="132"/>
      <c r="T1015" s="137">
        <f>IF(REKAP[[#This Row],[Selisih]]&lt;=-1,REKAP[[#This Row],[Harga Satuan]]*REKAP[[#This Row],[Selisih]],0)</f>
        <v>0</v>
      </c>
    </row>
    <row r="1016" spans="1:20" x14ac:dyDescent="0.25">
      <c r="A1016" s="55" t="s">
        <v>1342</v>
      </c>
      <c r="B1016" s="55" t="s">
        <v>887</v>
      </c>
      <c r="C1016" s="55" t="s">
        <v>887</v>
      </c>
      <c r="D1016" s="56" t="s">
        <v>1874</v>
      </c>
      <c r="E1016" s="57"/>
      <c r="F1016" s="75" t="s">
        <v>898</v>
      </c>
      <c r="G1016" s="55"/>
      <c r="H1016" s="58">
        <v>72000</v>
      </c>
      <c r="I1016" s="59">
        <f>IF(COUNTIF(MASUK[Kode Barang],REKAP[[#This Row],[ID]])=0,0,COUNTIF(MASUK[Kode Barang],REKAP[[#This Row],[ID]]))</f>
        <v>0</v>
      </c>
      <c r="J1016" s="59">
        <f>IF(COUNTIF(MASUK8[Kode Barang],REKAP[[#This Row],[ID]])=0,0,COUNTIF(MASUK8[Kode Barang],REKAP[[#This Row],[ID]]))</f>
        <v>0</v>
      </c>
      <c r="K1016" s="60">
        <f>REKAP[[#This Row],[Trx In]]+REKAP[[#This Row],[Trx Out]]</f>
        <v>0</v>
      </c>
      <c r="L1016" s="55">
        <v>0</v>
      </c>
      <c r="M1016" s="74">
        <f>SUMIF(MASUK!$C:$C,REKAP[[#This Row],[ID]],MASUK!$H:$H)</f>
        <v>0</v>
      </c>
      <c r="N1016" s="74">
        <f>SUMIF(KELUAR!$C:$C,REKAP[[#This Row],[ID]],KELUAR!$H:$H)</f>
        <v>0</v>
      </c>
      <c r="O1016" s="74">
        <f>REKAP[[#This Row],[Stok Awal]]+REKAP[[#This Row],[Masuk]]-REKAP[[#This Row],[Keluar]]</f>
        <v>0</v>
      </c>
      <c r="P1016" s="55"/>
      <c r="Q1016" s="62">
        <f>REKAP[[#This Row],[Harga Satuan]]*REKAP[[#This Row],[Stok Akhir]]</f>
        <v>0</v>
      </c>
      <c r="R1016" s="61">
        <f>IF(REKAP[[#This Row],[Stok Aktual]]&lt;&gt;"",REKAP[[#This Row],[Stok Aktual]]-REKAP[[#This Row],[Stok Akhir]],0)</f>
        <v>0</v>
      </c>
      <c r="S1016" s="132"/>
      <c r="T1016" s="137">
        <f>IF(REKAP[[#This Row],[Selisih]]&lt;=-1,REKAP[[#This Row],[Harga Satuan]]*REKAP[[#This Row],[Selisih]],0)</f>
        <v>0</v>
      </c>
    </row>
    <row r="1017" spans="1:20" x14ac:dyDescent="0.25">
      <c r="A1017" s="55" t="s">
        <v>1343</v>
      </c>
      <c r="B1017" s="55" t="s">
        <v>887</v>
      </c>
      <c r="C1017" s="55" t="s">
        <v>887</v>
      </c>
      <c r="D1017" s="56" t="s">
        <v>1875</v>
      </c>
      <c r="E1017" s="57"/>
      <c r="F1017" s="75" t="s">
        <v>898</v>
      </c>
      <c r="G1017" s="55"/>
      <c r="H1017" s="58">
        <v>125000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0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0</v>
      </c>
      <c r="P1017" s="55"/>
      <c r="Q1017" s="62">
        <f>REKAP[[#This Row],[Harga Satuan]]*REKAP[[#This Row],[Stok Akhir]]</f>
        <v>0</v>
      </c>
      <c r="R1017" s="61">
        <f>IF(REKAP[[#This Row],[Stok Aktual]]&lt;&gt;"",REKAP[[#This Row],[Stok Aktual]]-REKAP[[#This Row],[Stok Akhir]],0)</f>
        <v>0</v>
      </c>
      <c r="S1017" s="132"/>
      <c r="T1017" s="137">
        <f>IF(REKAP[[#This Row],[Selisih]]&lt;=-1,REKAP[[#This Row],[Harga Satuan]]*REKAP[[#This Row],[Selisih]],0)</f>
        <v>0</v>
      </c>
    </row>
    <row r="1018" spans="1:20" x14ac:dyDescent="0.25">
      <c r="A1018" s="55" t="s">
        <v>1344</v>
      </c>
      <c r="B1018" s="55" t="s">
        <v>887</v>
      </c>
      <c r="C1018" s="55" t="s">
        <v>887</v>
      </c>
      <c r="D1018" s="56" t="s">
        <v>1876</v>
      </c>
      <c r="E1018" s="57"/>
      <c r="F1018" s="75" t="s">
        <v>898</v>
      </c>
      <c r="G1018" s="55"/>
      <c r="H1018" s="58">
        <v>115000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0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0</v>
      </c>
      <c r="P1018" s="55"/>
      <c r="Q1018" s="62">
        <f>REKAP[[#This Row],[Harga Satuan]]*REKAP[[#This Row],[Stok Akhir]]</f>
        <v>0</v>
      </c>
      <c r="R1018" s="61">
        <f>IF(REKAP[[#This Row],[Stok Aktual]]&lt;&gt;"",REKAP[[#This Row],[Stok Aktual]]-REKAP[[#This Row],[Stok Akhir]],0)</f>
        <v>0</v>
      </c>
      <c r="S1018" s="132"/>
      <c r="T1018" s="137">
        <f>IF(REKAP[[#This Row],[Selisih]]&lt;=-1,REKAP[[#This Row],[Harga Satuan]]*REKAP[[#This Row],[Selisih]],0)</f>
        <v>0</v>
      </c>
    </row>
    <row r="1019" spans="1:20" x14ac:dyDescent="0.25">
      <c r="A1019" s="55" t="s">
        <v>1345</v>
      </c>
      <c r="B1019" s="55" t="s">
        <v>887</v>
      </c>
      <c r="C1019" s="55" t="s">
        <v>887</v>
      </c>
      <c r="D1019" s="56" t="s">
        <v>1877</v>
      </c>
      <c r="E1019" s="57"/>
      <c r="F1019" s="75" t="s">
        <v>898</v>
      </c>
      <c r="G1019" s="55"/>
      <c r="H1019" s="58">
        <v>88000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0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0</v>
      </c>
      <c r="P1019" s="55"/>
      <c r="Q1019" s="62">
        <f>REKAP[[#This Row],[Harga Satuan]]*REKAP[[#This Row],[Stok Akhir]]</f>
        <v>0</v>
      </c>
      <c r="R1019" s="61">
        <f>IF(REKAP[[#This Row],[Stok Aktual]]&lt;&gt;"",REKAP[[#This Row],[Stok Aktual]]-REKAP[[#This Row],[Stok Akhir]],0)</f>
        <v>0</v>
      </c>
      <c r="S1019" s="132"/>
      <c r="T1019" s="137">
        <f>IF(REKAP[[#This Row],[Selisih]]&lt;=-1,REKAP[[#This Row],[Harga Satuan]]*REKAP[[#This Row],[Selisih]],0)</f>
        <v>0</v>
      </c>
    </row>
    <row r="1020" spans="1:20" x14ac:dyDescent="0.25">
      <c r="A1020" s="55" t="s">
        <v>1346</v>
      </c>
      <c r="B1020" s="55" t="s">
        <v>887</v>
      </c>
      <c r="C1020" s="55" t="s">
        <v>887</v>
      </c>
      <c r="D1020" s="56" t="s">
        <v>1878</v>
      </c>
      <c r="E1020" s="57"/>
      <c r="F1020" s="75" t="s">
        <v>898</v>
      </c>
      <c r="G1020" s="55"/>
      <c r="H1020" s="58">
        <v>106000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0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0</v>
      </c>
      <c r="P1020" s="55"/>
      <c r="Q1020" s="62">
        <f>REKAP[[#This Row],[Harga Satuan]]*REKAP[[#This Row],[Stok Akhir]]</f>
        <v>0</v>
      </c>
      <c r="R1020" s="61">
        <f>IF(REKAP[[#This Row],[Stok Aktual]]&lt;&gt;"",REKAP[[#This Row],[Stok Aktual]]-REKAP[[#This Row],[Stok Akhir]],0)</f>
        <v>0</v>
      </c>
      <c r="S1020" s="132"/>
      <c r="T1020" s="137">
        <f>IF(REKAP[[#This Row],[Selisih]]&lt;=-1,REKAP[[#This Row],[Harga Satuan]]*REKAP[[#This Row],[Selisih]],0)</f>
        <v>0</v>
      </c>
    </row>
    <row r="1021" spans="1:20" x14ac:dyDescent="0.25">
      <c r="A1021" s="55" t="s">
        <v>1347</v>
      </c>
      <c r="B1021" s="55" t="s">
        <v>887</v>
      </c>
      <c r="C1021" s="55" t="s">
        <v>887</v>
      </c>
      <c r="D1021" s="56" t="s">
        <v>1879</v>
      </c>
      <c r="E1021" s="57"/>
      <c r="F1021" s="75" t="s">
        <v>898</v>
      </c>
      <c r="G1021" s="55"/>
      <c r="H1021" s="58">
        <v>117000</v>
      </c>
      <c r="I1021" s="59">
        <f>IF(COUNTIF(MASUK[Kode Barang],REKAP[[#This Row],[ID]])=0,0,COUNTIF(MASUK[Kode Barang],REKAP[[#This Row],[ID]]))</f>
        <v>2</v>
      </c>
      <c r="J1021" s="59">
        <f>IF(COUNTIF(MASUK8[Kode Barang],REKAP[[#This Row],[ID]])=0,0,COUNTIF(MASUK8[Kode Barang],REKAP[[#This Row],[ID]]))</f>
        <v>2</v>
      </c>
      <c r="K1021" s="60">
        <f>REKAP[[#This Row],[Trx In]]+REKAP[[#This Row],[Trx Out]]</f>
        <v>4</v>
      </c>
      <c r="L1021" s="55">
        <v>0</v>
      </c>
      <c r="M1021" s="74">
        <f>SUMIF(MASUK!$C:$C,REKAP[[#This Row],[ID]],MASUK!$H:$H)</f>
        <v>8</v>
      </c>
      <c r="N1021" s="74">
        <f>SUMIF(KELUAR!$C:$C,REKAP[[#This Row],[ID]],KELUAR!$H:$H)</f>
        <v>8</v>
      </c>
      <c r="O1021" s="74">
        <f>REKAP[[#This Row],[Stok Awal]]+REKAP[[#This Row],[Masuk]]-REKAP[[#This Row],[Keluar]]</f>
        <v>0</v>
      </c>
      <c r="P1021" s="55">
        <v>0</v>
      </c>
      <c r="Q1021" s="62">
        <f>REKAP[[#This Row],[Harga Satuan]]*REKAP[[#This Row],[Stok Akhir]]</f>
        <v>0</v>
      </c>
      <c r="R1021" s="61">
        <f>IF(REKAP[[#This Row],[Stok Aktual]]&lt;&gt;"",REKAP[[#This Row],[Stok Aktual]]-REKAP[[#This Row],[Stok Akhir]],0)</f>
        <v>0</v>
      </c>
      <c r="S1021" s="132"/>
      <c r="T1021" s="137">
        <f>IF(REKAP[[#This Row],[Selisih]]&lt;=-1,REKAP[[#This Row],[Harga Satuan]]*REKAP[[#This Row],[Selisih]],0)</f>
        <v>0</v>
      </c>
    </row>
    <row r="1022" spans="1:20" x14ac:dyDescent="0.25">
      <c r="A1022" s="55" t="s">
        <v>1348</v>
      </c>
      <c r="B1022" s="55" t="s">
        <v>887</v>
      </c>
      <c r="C1022" s="55" t="s">
        <v>887</v>
      </c>
      <c r="D1022" s="56" t="s">
        <v>1880</v>
      </c>
      <c r="E1022" s="57"/>
      <c r="F1022" s="75" t="s">
        <v>898</v>
      </c>
      <c r="G1022" s="55"/>
      <c r="H1022" s="58">
        <v>142000</v>
      </c>
      <c r="I1022" s="59">
        <f>IF(COUNTIF(MASUK[Kode Barang],REKAP[[#This Row],[ID]])=0,0,COUNTIF(MASUK[Kode Barang],REKAP[[#This Row],[ID]]))</f>
        <v>0</v>
      </c>
      <c r="J1022" s="59">
        <f>IF(COUNTIF(MASUK8[Kode Barang],REKAP[[#This Row],[ID]])=0,0,COUNTIF(MASUK8[Kode Barang],REKAP[[#This Row],[ID]]))</f>
        <v>0</v>
      </c>
      <c r="K1022" s="60">
        <f>REKAP[[#This Row],[Trx In]]+REKAP[[#This Row],[Trx Out]]</f>
        <v>0</v>
      </c>
      <c r="L1022" s="55">
        <v>0</v>
      </c>
      <c r="M1022" s="74">
        <f>SUMIF(MASUK!$C:$C,REKAP[[#This Row],[ID]],MASUK!$H:$H)</f>
        <v>0</v>
      </c>
      <c r="N1022" s="74">
        <f>SUMIF(KELUAR!$C:$C,REKAP[[#This Row],[ID]],KELUAR!$H:$H)</f>
        <v>0</v>
      </c>
      <c r="O1022" s="74">
        <f>REKAP[[#This Row],[Stok Awal]]+REKAP[[#This Row],[Masuk]]-REKAP[[#This Row],[Keluar]]</f>
        <v>0</v>
      </c>
      <c r="P1022" s="55"/>
      <c r="Q1022" s="62">
        <f>REKAP[[#This Row],[Harga Satuan]]*REKAP[[#This Row],[Stok Akhir]]</f>
        <v>0</v>
      </c>
      <c r="R1022" s="61">
        <f>IF(REKAP[[#This Row],[Stok Aktual]]&lt;&gt;"",REKAP[[#This Row],[Stok Aktual]]-REKAP[[#This Row],[Stok Akhir]],0)</f>
        <v>0</v>
      </c>
      <c r="S1022" s="132"/>
      <c r="T1022" s="137">
        <f>IF(REKAP[[#This Row],[Selisih]]&lt;=-1,REKAP[[#This Row],[Harga Satuan]]*REKAP[[#This Row],[Selisih]],0)</f>
        <v>0</v>
      </c>
    </row>
    <row r="1023" spans="1:20" x14ac:dyDescent="0.25">
      <c r="A1023" s="55" t="s">
        <v>1349</v>
      </c>
      <c r="B1023" s="55" t="s">
        <v>887</v>
      </c>
      <c r="C1023" s="55" t="s">
        <v>887</v>
      </c>
      <c r="D1023" s="56" t="s">
        <v>1881</v>
      </c>
      <c r="E1023" s="57"/>
      <c r="F1023" s="75" t="s">
        <v>898</v>
      </c>
      <c r="G1023" s="55"/>
      <c r="H1023" s="58"/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1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1</v>
      </c>
      <c r="P1023" s="55"/>
      <c r="Q1023" s="62">
        <f>REKAP[[#This Row],[Harga Satuan]]*REKAP[[#This Row],[Stok Akhir]]</f>
        <v>0</v>
      </c>
      <c r="R1023" s="61">
        <f>IF(REKAP[[#This Row],[Stok Aktual]]&lt;&gt;"",REKAP[[#This Row],[Stok Aktual]]-REKAP[[#This Row],[Stok Akhir]],0)</f>
        <v>0</v>
      </c>
      <c r="S1023" s="132"/>
      <c r="T1023" s="137">
        <f>IF(REKAP[[#This Row],[Selisih]]&lt;=-1,REKAP[[#This Row],[Harga Satuan]]*REKAP[[#This Row],[Selisih]],0)</f>
        <v>0</v>
      </c>
    </row>
    <row r="1024" spans="1:20" x14ac:dyDescent="0.25">
      <c r="A1024" s="55" t="s">
        <v>1350</v>
      </c>
      <c r="B1024" s="55" t="s">
        <v>887</v>
      </c>
      <c r="C1024" s="55" t="s">
        <v>887</v>
      </c>
      <c r="D1024" s="56" t="s">
        <v>1882</v>
      </c>
      <c r="E1024" s="57"/>
      <c r="F1024" s="75" t="s">
        <v>898</v>
      </c>
      <c r="G1024" s="55"/>
      <c r="H1024" s="58">
        <v>172000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0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0</v>
      </c>
      <c r="P1024" s="55"/>
      <c r="Q1024" s="62">
        <f>REKAP[[#This Row],[Harga Satuan]]*REKAP[[#This Row],[Stok Akhir]]</f>
        <v>0</v>
      </c>
      <c r="R1024" s="61">
        <f>IF(REKAP[[#This Row],[Stok Aktual]]&lt;&gt;"",REKAP[[#This Row],[Stok Aktual]]-REKAP[[#This Row],[Stok Akhir]],0)</f>
        <v>0</v>
      </c>
      <c r="S1024" s="132"/>
      <c r="T1024" s="137">
        <f>IF(REKAP[[#This Row],[Selisih]]&lt;=-1,REKAP[[#This Row],[Harga Satuan]]*REKAP[[#This Row],[Selisih]],0)</f>
        <v>0</v>
      </c>
    </row>
    <row r="1025" spans="1:20" x14ac:dyDescent="0.25">
      <c r="A1025" s="55" t="s">
        <v>1351</v>
      </c>
      <c r="B1025" s="55" t="s">
        <v>887</v>
      </c>
      <c r="C1025" s="55" t="s">
        <v>887</v>
      </c>
      <c r="D1025" s="56" t="s">
        <v>1883</v>
      </c>
      <c r="E1025" s="57"/>
      <c r="F1025" s="75" t="s">
        <v>898</v>
      </c>
      <c r="G1025" s="55"/>
      <c r="H1025" s="58">
        <v>220000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</v>
      </c>
      <c r="P1025" s="55"/>
      <c r="Q1025" s="62">
        <f>REKAP[[#This Row],[Harga Satuan]]*REKAP[[#This Row],[Stok Akhir]]</f>
        <v>440000</v>
      </c>
      <c r="R1025" s="61">
        <f>IF(REKAP[[#This Row],[Stok Aktual]]&lt;&gt;"",REKAP[[#This Row],[Stok Aktual]]-REKAP[[#This Row],[Stok Akhir]],0)</f>
        <v>0</v>
      </c>
      <c r="S1025" s="132"/>
      <c r="T1025" s="137">
        <f>IF(REKAP[[#This Row],[Selisih]]&lt;=-1,REKAP[[#This Row],[Harga Satuan]]*REKAP[[#This Row],[Selisih]],0)</f>
        <v>0</v>
      </c>
    </row>
    <row r="1026" spans="1:20" x14ac:dyDescent="0.25">
      <c r="A1026" s="55" t="s">
        <v>1352</v>
      </c>
      <c r="B1026" s="55" t="s">
        <v>887</v>
      </c>
      <c r="C1026" s="55" t="s">
        <v>887</v>
      </c>
      <c r="D1026" s="56" t="s">
        <v>1884</v>
      </c>
      <c r="E1026" s="57"/>
      <c r="F1026" s="75" t="s">
        <v>898</v>
      </c>
      <c r="G1026" s="55"/>
      <c r="H1026" s="58">
        <v>276000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>
        <f>IF(REKAP[[#This Row],[Stok Aktual]]&lt;&gt;"",REKAP[[#This Row],[Stok Aktual]]-REKAP[[#This Row],[Stok Akhir]],0)</f>
        <v>0</v>
      </c>
      <c r="S1026" s="132"/>
      <c r="T1026" s="137">
        <f>IF(REKAP[[#This Row],[Selisih]]&lt;=-1,REKAP[[#This Row],[Harga Satuan]]*REKAP[[#This Row],[Selisih]],0)</f>
        <v>0</v>
      </c>
    </row>
    <row r="1027" spans="1:20" x14ac:dyDescent="0.25">
      <c r="A1027" s="55" t="s">
        <v>1353</v>
      </c>
      <c r="B1027" s="55" t="s">
        <v>887</v>
      </c>
      <c r="C1027" s="55" t="s">
        <v>887</v>
      </c>
      <c r="D1027" s="56" t="s">
        <v>1885</v>
      </c>
      <c r="E1027" s="57"/>
      <c r="F1027" s="75" t="s">
        <v>898</v>
      </c>
      <c r="G1027" s="55"/>
      <c r="H1027" s="58"/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0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0</v>
      </c>
      <c r="P1027" s="55"/>
      <c r="Q1027" s="62">
        <f>REKAP[[#This Row],[Harga Satuan]]*REKAP[[#This Row],[Stok Akhir]]</f>
        <v>0</v>
      </c>
      <c r="R1027" s="61">
        <f>IF(REKAP[[#This Row],[Stok Aktual]]&lt;&gt;"",REKAP[[#This Row],[Stok Aktual]]-REKAP[[#This Row],[Stok Akhir]],0)</f>
        <v>0</v>
      </c>
      <c r="S1027" s="132"/>
      <c r="T1027" s="137">
        <f>IF(REKAP[[#This Row],[Selisih]]&lt;=-1,REKAP[[#This Row],[Harga Satuan]]*REKAP[[#This Row],[Selisih]],0)</f>
        <v>0</v>
      </c>
    </row>
    <row r="1028" spans="1:20" x14ac:dyDescent="0.25">
      <c r="A1028" s="55" t="s">
        <v>1354</v>
      </c>
      <c r="B1028" s="55" t="s">
        <v>887</v>
      </c>
      <c r="C1028" s="55" t="s">
        <v>887</v>
      </c>
      <c r="D1028" s="56" t="s">
        <v>1886</v>
      </c>
      <c r="E1028" s="57"/>
      <c r="F1028" s="75" t="s">
        <v>898</v>
      </c>
      <c r="G1028" s="55"/>
      <c r="H1028" s="58"/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0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0</v>
      </c>
      <c r="P1028" s="55"/>
      <c r="Q1028" s="62">
        <f>REKAP[[#This Row],[Harga Satuan]]*REKAP[[#This Row],[Stok Akhir]]</f>
        <v>0</v>
      </c>
      <c r="R1028" s="61">
        <f>IF(REKAP[[#This Row],[Stok Aktual]]&lt;&gt;"",REKAP[[#This Row],[Stok Aktual]]-REKAP[[#This Row],[Stok Akhir]],0)</f>
        <v>0</v>
      </c>
      <c r="S1028" s="132"/>
      <c r="T1028" s="137">
        <f>IF(REKAP[[#This Row],[Selisih]]&lt;=-1,REKAP[[#This Row],[Harga Satuan]]*REKAP[[#This Row],[Selisih]],0)</f>
        <v>0</v>
      </c>
    </row>
    <row r="1029" spans="1:20" x14ac:dyDescent="0.25">
      <c r="A1029" s="55" t="s">
        <v>1355</v>
      </c>
      <c r="B1029" s="55" t="s">
        <v>887</v>
      </c>
      <c r="C1029" s="55" t="s">
        <v>887</v>
      </c>
      <c r="D1029" s="56" t="s">
        <v>1887</v>
      </c>
      <c r="E1029" s="57"/>
      <c r="F1029" s="75" t="s">
        <v>898</v>
      </c>
      <c r="G1029" s="55"/>
      <c r="H1029" s="58"/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0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0</v>
      </c>
      <c r="P1029" s="55"/>
      <c r="Q1029" s="62">
        <f>REKAP[[#This Row],[Harga Satuan]]*REKAP[[#This Row],[Stok Akhir]]</f>
        <v>0</v>
      </c>
      <c r="R1029" s="61">
        <f>IF(REKAP[[#This Row],[Stok Aktual]]&lt;&gt;"",REKAP[[#This Row],[Stok Aktual]]-REKAP[[#This Row],[Stok Akhir]],0)</f>
        <v>0</v>
      </c>
      <c r="S1029" s="132"/>
      <c r="T1029" s="137">
        <f>IF(REKAP[[#This Row],[Selisih]]&lt;=-1,REKAP[[#This Row],[Harga Satuan]]*REKAP[[#This Row],[Selisih]],0)</f>
        <v>0</v>
      </c>
    </row>
    <row r="1030" spans="1:20" x14ac:dyDescent="0.25">
      <c r="A1030" s="55" t="s">
        <v>1356</v>
      </c>
      <c r="B1030" s="55" t="s">
        <v>887</v>
      </c>
      <c r="C1030" s="55" t="s">
        <v>887</v>
      </c>
      <c r="D1030" s="56" t="s">
        <v>1888</v>
      </c>
      <c r="E1030" s="57"/>
      <c r="F1030" s="75" t="s">
        <v>898</v>
      </c>
      <c r="G1030" s="55"/>
      <c r="H1030" s="58">
        <v>19250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0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0</v>
      </c>
      <c r="P1030" s="55"/>
      <c r="Q1030" s="62">
        <f>REKAP[[#This Row],[Harga Satuan]]*REKAP[[#This Row],[Stok Akhir]]</f>
        <v>0</v>
      </c>
      <c r="R1030" s="61">
        <f>IF(REKAP[[#This Row],[Stok Aktual]]&lt;&gt;"",REKAP[[#This Row],[Stok Aktual]]-REKAP[[#This Row],[Stok Akhir]],0)</f>
        <v>0</v>
      </c>
      <c r="S1030" s="132"/>
      <c r="T1030" s="137">
        <f>IF(REKAP[[#This Row],[Selisih]]&lt;=-1,REKAP[[#This Row],[Harga Satuan]]*REKAP[[#This Row],[Selisih]],0)</f>
        <v>0</v>
      </c>
    </row>
    <row r="1031" spans="1:20" x14ac:dyDescent="0.25">
      <c r="A1031" s="55" t="s">
        <v>1357</v>
      </c>
      <c r="B1031" s="55" t="s">
        <v>887</v>
      </c>
      <c r="C1031" s="55" t="s">
        <v>887</v>
      </c>
      <c r="D1031" s="56" t="s">
        <v>1889</v>
      </c>
      <c r="E1031" s="57"/>
      <c r="F1031" s="75" t="s">
        <v>898</v>
      </c>
      <c r="G1031" s="55" t="s">
        <v>1974</v>
      </c>
      <c r="H1031" s="58">
        <v>17000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0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0</v>
      </c>
      <c r="P1031" s="55"/>
      <c r="Q1031" s="62">
        <f>REKAP[[#This Row],[Harga Satuan]]*REKAP[[#This Row],[Stok Akhir]]</f>
        <v>0</v>
      </c>
      <c r="R1031" s="61">
        <f>IF(REKAP[[#This Row],[Stok Aktual]]&lt;&gt;"",REKAP[[#This Row],[Stok Aktual]]-REKAP[[#This Row],[Stok Akhir]],0)</f>
        <v>0</v>
      </c>
      <c r="S1031" s="132"/>
      <c r="T1031" s="137">
        <f>IF(REKAP[[#This Row],[Selisih]]&lt;=-1,REKAP[[#This Row],[Harga Satuan]]*REKAP[[#This Row],[Selisih]],0)</f>
        <v>0</v>
      </c>
    </row>
    <row r="1032" spans="1:20" x14ac:dyDescent="0.25">
      <c r="A1032" s="55" t="s">
        <v>1358</v>
      </c>
      <c r="B1032" s="55" t="s">
        <v>887</v>
      </c>
      <c r="C1032" s="55" t="s">
        <v>887</v>
      </c>
      <c r="D1032" s="56" t="s">
        <v>1890</v>
      </c>
      <c r="E1032" s="57"/>
      <c r="F1032" s="75" t="s">
        <v>898</v>
      </c>
      <c r="G1032" s="55"/>
      <c r="H1032" s="58">
        <v>25146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3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3</v>
      </c>
      <c r="P1032" s="55"/>
      <c r="Q1032" s="62">
        <f>REKAP[[#This Row],[Harga Satuan]]*REKAP[[#This Row],[Stok Akhir]]</f>
        <v>75438</v>
      </c>
      <c r="R1032" s="61">
        <f>IF(REKAP[[#This Row],[Stok Aktual]]&lt;&gt;"",REKAP[[#This Row],[Stok Aktual]]-REKAP[[#This Row],[Stok Akhir]],0)</f>
        <v>0</v>
      </c>
      <c r="S1032" s="132"/>
      <c r="T1032" s="137">
        <f>IF(REKAP[[#This Row],[Selisih]]&lt;=-1,REKAP[[#This Row],[Harga Satuan]]*REKAP[[#This Row],[Selisih]],0)</f>
        <v>0</v>
      </c>
    </row>
    <row r="1033" spans="1:20" x14ac:dyDescent="0.25">
      <c r="A1033" s="55" t="s">
        <v>1359</v>
      </c>
      <c r="B1033" s="55" t="s">
        <v>887</v>
      </c>
      <c r="C1033" s="55" t="s">
        <v>887</v>
      </c>
      <c r="D1033" s="56" t="s">
        <v>1891</v>
      </c>
      <c r="E1033" s="57"/>
      <c r="F1033" s="75" t="s">
        <v>898</v>
      </c>
      <c r="G1033" s="55"/>
      <c r="H1033" s="58">
        <v>38000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0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0</v>
      </c>
      <c r="P1033" s="55"/>
      <c r="Q1033" s="62">
        <f>REKAP[[#This Row],[Harga Satuan]]*REKAP[[#This Row],[Stok Akhir]]</f>
        <v>0</v>
      </c>
      <c r="R1033" s="61">
        <f>IF(REKAP[[#This Row],[Stok Aktual]]&lt;&gt;"",REKAP[[#This Row],[Stok Aktual]]-REKAP[[#This Row],[Stok Akhir]],0)</f>
        <v>0</v>
      </c>
      <c r="S1033" s="132"/>
      <c r="T1033" s="137">
        <f>IF(REKAP[[#This Row],[Selisih]]&lt;=-1,REKAP[[#This Row],[Harga Satuan]]*REKAP[[#This Row],[Selisih]],0)</f>
        <v>0</v>
      </c>
    </row>
    <row r="1034" spans="1:20" x14ac:dyDescent="0.25">
      <c r="A1034" s="55" t="s">
        <v>1360</v>
      </c>
      <c r="B1034" s="55" t="s">
        <v>887</v>
      </c>
      <c r="C1034" s="55" t="s">
        <v>887</v>
      </c>
      <c r="D1034" s="56" t="s">
        <v>1892</v>
      </c>
      <c r="E1034" s="57"/>
      <c r="F1034" s="75" t="s">
        <v>898</v>
      </c>
      <c r="G1034" s="55"/>
      <c r="H1034" s="58">
        <v>51700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2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2</v>
      </c>
      <c r="P1034" s="55"/>
      <c r="Q1034" s="62">
        <f>REKAP[[#This Row],[Harga Satuan]]*REKAP[[#This Row],[Stok Akhir]]</f>
        <v>103400</v>
      </c>
      <c r="R1034" s="61">
        <f>IF(REKAP[[#This Row],[Stok Aktual]]&lt;&gt;"",REKAP[[#This Row],[Stok Aktual]]-REKAP[[#This Row],[Stok Akhir]],0)</f>
        <v>0</v>
      </c>
      <c r="S1034" s="132"/>
      <c r="T1034" s="137">
        <f>IF(REKAP[[#This Row],[Selisih]]&lt;=-1,REKAP[[#This Row],[Harga Satuan]]*REKAP[[#This Row],[Selisih]],0)</f>
        <v>0</v>
      </c>
    </row>
    <row r="1035" spans="1:20" x14ac:dyDescent="0.25">
      <c r="A1035" s="55" t="s">
        <v>1361</v>
      </c>
      <c r="B1035" s="55" t="s">
        <v>887</v>
      </c>
      <c r="C1035" s="55" t="s">
        <v>887</v>
      </c>
      <c r="D1035" s="56" t="s">
        <v>1893</v>
      </c>
      <c r="E1035" s="57"/>
      <c r="F1035" s="75" t="s">
        <v>898</v>
      </c>
      <c r="G1035" s="55"/>
      <c r="H1035" s="58">
        <v>43000</v>
      </c>
      <c r="I1035" s="59">
        <f>IF(COUNTIF(MASUK[Kode Barang],REKAP[[#This Row],[ID]])=0,0,COUNTIF(MASUK[Kode Barang],REKAP[[#This Row],[ID]]))</f>
        <v>1</v>
      </c>
      <c r="J1035" s="59">
        <f>IF(COUNTIF(MASUK8[Kode Barang],REKAP[[#This Row],[ID]])=0,0,COUNTIF(MASUK8[Kode Barang],REKAP[[#This Row],[ID]]))</f>
        <v>1</v>
      </c>
      <c r="K1035" s="60">
        <f>REKAP[[#This Row],[Trx In]]+REKAP[[#This Row],[Trx Out]]</f>
        <v>2</v>
      </c>
      <c r="L1035" s="55">
        <v>0</v>
      </c>
      <c r="M1035" s="74">
        <f>SUMIF(MASUK!$C:$C,REKAP[[#This Row],[ID]],MASUK!$H:$H)</f>
        <v>4</v>
      </c>
      <c r="N1035" s="74">
        <f>SUMIF(KELUAR!$C:$C,REKAP[[#This Row],[ID]],KELUAR!$H:$H)</f>
        <v>4</v>
      </c>
      <c r="O1035" s="74">
        <f>REKAP[[#This Row],[Stok Awal]]+REKAP[[#This Row],[Masuk]]-REKAP[[#This Row],[Keluar]]</f>
        <v>0</v>
      </c>
      <c r="P1035" s="55">
        <v>0</v>
      </c>
      <c r="Q1035" s="62">
        <f>REKAP[[#This Row],[Harga Satuan]]*REKAP[[#This Row],[Stok Akhir]]</f>
        <v>0</v>
      </c>
      <c r="R1035" s="61">
        <f>IF(REKAP[[#This Row],[Stok Aktual]]&lt;&gt;"",REKAP[[#This Row],[Stok Aktual]]-REKAP[[#This Row],[Stok Akhir]],0)</f>
        <v>0</v>
      </c>
      <c r="S1035" s="132"/>
      <c r="T1035" s="137">
        <f>IF(REKAP[[#This Row],[Selisih]]&lt;=-1,REKAP[[#This Row],[Harga Satuan]]*REKAP[[#This Row],[Selisih]],0)</f>
        <v>0</v>
      </c>
    </row>
    <row r="1036" spans="1:20" x14ac:dyDescent="0.25">
      <c r="A1036" s="55" t="s">
        <v>1362</v>
      </c>
      <c r="B1036" s="55" t="s">
        <v>887</v>
      </c>
      <c r="C1036" s="55" t="s">
        <v>887</v>
      </c>
      <c r="D1036" s="56" t="s">
        <v>1894</v>
      </c>
      <c r="E1036" s="57"/>
      <c r="F1036" s="75" t="s">
        <v>898</v>
      </c>
      <c r="G1036" s="55"/>
      <c r="H1036" s="58">
        <v>172000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</v>
      </c>
      <c r="P1036" s="55"/>
      <c r="Q1036" s="62">
        <f>REKAP[[#This Row],[Harga Satuan]]*REKAP[[#This Row],[Stok Akhir]]</f>
        <v>172000</v>
      </c>
      <c r="R1036" s="61">
        <f>IF(REKAP[[#This Row],[Stok Aktual]]&lt;&gt;"",REKAP[[#This Row],[Stok Aktual]]-REKAP[[#This Row],[Stok Akhir]],0)</f>
        <v>0</v>
      </c>
      <c r="S1036" s="132"/>
      <c r="T1036" s="137">
        <f>IF(REKAP[[#This Row],[Selisih]]&lt;=-1,REKAP[[#This Row],[Harga Satuan]]*REKAP[[#This Row],[Selisih]],0)</f>
        <v>0</v>
      </c>
    </row>
    <row r="1037" spans="1:20" x14ac:dyDescent="0.25">
      <c r="A1037" s="55" t="s">
        <v>1363</v>
      </c>
      <c r="B1037" s="55" t="s">
        <v>888</v>
      </c>
      <c r="C1037" s="55" t="s">
        <v>888</v>
      </c>
      <c r="D1037" s="56" t="s">
        <v>1895</v>
      </c>
      <c r="E1037" s="57"/>
      <c r="F1037" s="75" t="s">
        <v>898</v>
      </c>
      <c r="G1037" s="55"/>
      <c r="H1037" s="58">
        <v>65603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1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1</v>
      </c>
      <c r="P1037" s="55"/>
      <c r="Q1037" s="62">
        <f>REKAP[[#This Row],[Harga Satuan]]*REKAP[[#This Row],[Stok Akhir]]</f>
        <v>65603</v>
      </c>
      <c r="R1037" s="61">
        <f>IF(REKAP[[#This Row],[Stok Aktual]]&lt;&gt;"",REKAP[[#This Row],[Stok Aktual]]-REKAP[[#This Row],[Stok Akhir]],0)</f>
        <v>0</v>
      </c>
      <c r="S1037" s="132"/>
      <c r="T1037" s="137">
        <f>IF(REKAP[[#This Row],[Selisih]]&lt;=-1,REKAP[[#This Row],[Harga Satuan]]*REKAP[[#This Row],[Selisih]],0)</f>
        <v>0</v>
      </c>
    </row>
    <row r="1038" spans="1:20" x14ac:dyDescent="0.25">
      <c r="A1038" s="55" t="s">
        <v>1364</v>
      </c>
      <c r="B1038" s="55" t="s">
        <v>888</v>
      </c>
      <c r="C1038" s="55" t="s">
        <v>888</v>
      </c>
      <c r="D1038" s="56" t="s">
        <v>1896</v>
      </c>
      <c r="E1038" s="57"/>
      <c r="F1038" s="75" t="s">
        <v>898</v>
      </c>
      <c r="G1038" s="55"/>
      <c r="H1038" s="58">
        <v>363103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1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1</v>
      </c>
      <c r="P1038" s="55"/>
      <c r="Q1038" s="62">
        <f>REKAP[[#This Row],[Harga Satuan]]*REKAP[[#This Row],[Stok Akhir]]</f>
        <v>363103</v>
      </c>
      <c r="R1038" s="61">
        <f>IF(REKAP[[#This Row],[Stok Aktual]]&lt;&gt;"",REKAP[[#This Row],[Stok Aktual]]-REKAP[[#This Row],[Stok Akhir]],0)</f>
        <v>0</v>
      </c>
      <c r="S1038" s="132"/>
      <c r="T1038" s="137">
        <f>IF(REKAP[[#This Row],[Selisih]]&lt;=-1,REKAP[[#This Row],[Harga Satuan]]*REKAP[[#This Row],[Selisih]],0)</f>
        <v>0</v>
      </c>
    </row>
    <row r="1039" spans="1:20" x14ac:dyDescent="0.25">
      <c r="A1039" s="55" t="s">
        <v>1365</v>
      </c>
      <c r="B1039" s="55" t="s">
        <v>888</v>
      </c>
      <c r="C1039" s="55" t="s">
        <v>888</v>
      </c>
      <c r="D1039" s="56" t="s">
        <v>1897</v>
      </c>
      <c r="E1039" s="57"/>
      <c r="F1039" s="75" t="s">
        <v>898</v>
      </c>
      <c r="G1039" s="55"/>
      <c r="H1039" s="58">
        <v>203788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203788</v>
      </c>
      <c r="R1039" s="61">
        <f>IF(REKAP[[#This Row],[Stok Aktual]]&lt;&gt;"",REKAP[[#This Row],[Stok Aktual]]-REKAP[[#This Row],[Stok Akhir]],0)</f>
        <v>0</v>
      </c>
      <c r="S1039" s="132"/>
      <c r="T1039" s="137">
        <f>IF(REKAP[[#This Row],[Selisih]]&lt;=-1,REKAP[[#This Row],[Harga Satuan]]*REKAP[[#This Row],[Selisih]],0)</f>
        <v>0</v>
      </c>
    </row>
    <row r="1040" spans="1:20" x14ac:dyDescent="0.25">
      <c r="A1040" s="55" t="s">
        <v>1366</v>
      </c>
      <c r="B1040" s="55" t="s">
        <v>888</v>
      </c>
      <c r="C1040" s="55" t="s">
        <v>888</v>
      </c>
      <c r="D1040" s="56" t="s">
        <v>1898</v>
      </c>
      <c r="E1040" s="57"/>
      <c r="F1040" s="75" t="s">
        <v>898</v>
      </c>
      <c r="G1040" s="55"/>
      <c r="H1040" s="58">
        <v>174489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1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1</v>
      </c>
      <c r="P1040" s="55"/>
      <c r="Q1040" s="62">
        <f>REKAP[[#This Row],[Harga Satuan]]*REKAP[[#This Row],[Stok Akhir]]</f>
        <v>174489</v>
      </c>
      <c r="R1040" s="61">
        <f>IF(REKAP[[#This Row],[Stok Aktual]]&lt;&gt;"",REKAP[[#This Row],[Stok Aktual]]-REKAP[[#This Row],[Stok Akhir]],0)</f>
        <v>0</v>
      </c>
      <c r="S1040" s="132"/>
      <c r="T1040" s="137">
        <f>IF(REKAP[[#This Row],[Selisih]]&lt;=-1,REKAP[[#This Row],[Harga Satuan]]*REKAP[[#This Row],[Selisih]],0)</f>
        <v>0</v>
      </c>
    </row>
    <row r="1041" spans="1:20" x14ac:dyDescent="0.25">
      <c r="A1041" s="55" t="s">
        <v>1367</v>
      </c>
      <c r="B1041" s="55" t="s">
        <v>888</v>
      </c>
      <c r="C1041" s="55" t="s">
        <v>888</v>
      </c>
      <c r="D1041" s="56" t="s">
        <v>1899</v>
      </c>
      <c r="E1041" s="57"/>
      <c r="F1041" s="75" t="s">
        <v>898</v>
      </c>
      <c r="G1041" s="55"/>
      <c r="H1041" s="58">
        <v>233409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1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1</v>
      </c>
      <c r="P1041" s="55"/>
      <c r="Q1041" s="62">
        <f>REKAP[[#This Row],[Harga Satuan]]*REKAP[[#This Row],[Stok Akhir]]</f>
        <v>233409</v>
      </c>
      <c r="R1041" s="61">
        <f>IF(REKAP[[#This Row],[Stok Aktual]]&lt;&gt;"",REKAP[[#This Row],[Stok Aktual]]-REKAP[[#This Row],[Stok Akhir]],0)</f>
        <v>0</v>
      </c>
      <c r="S1041" s="132"/>
      <c r="T1041" s="137">
        <f>IF(REKAP[[#This Row],[Selisih]]&lt;=-1,REKAP[[#This Row],[Harga Satuan]]*REKAP[[#This Row],[Selisih]],0)</f>
        <v>0</v>
      </c>
    </row>
    <row r="1042" spans="1:20" x14ac:dyDescent="0.25">
      <c r="A1042" s="55" t="s">
        <v>1368</v>
      </c>
      <c r="B1042" s="55" t="s">
        <v>888</v>
      </c>
      <c r="C1042" s="55" t="s">
        <v>888</v>
      </c>
      <c r="D1042" s="56" t="s">
        <v>1900</v>
      </c>
      <c r="E1042" s="57"/>
      <c r="F1042" s="75" t="s">
        <v>898</v>
      </c>
      <c r="G1042" s="55"/>
      <c r="H1042" s="58">
        <v>301920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>
        <f>IF(REKAP[[#This Row],[Stok Aktual]]&lt;&gt;"",REKAP[[#This Row],[Stok Aktual]]-REKAP[[#This Row],[Stok Akhir]],0)</f>
        <v>0</v>
      </c>
      <c r="S1042" s="132"/>
      <c r="T1042" s="137">
        <f>IF(REKAP[[#This Row],[Selisih]]&lt;=-1,REKAP[[#This Row],[Harga Satuan]]*REKAP[[#This Row],[Selisih]],0)</f>
        <v>0</v>
      </c>
    </row>
    <row r="1043" spans="1:20" x14ac:dyDescent="0.25">
      <c r="A1043" s="55" t="s">
        <v>1369</v>
      </c>
      <c r="B1043" s="55" t="s">
        <v>3615</v>
      </c>
      <c r="C1043" s="55" t="s">
        <v>3615</v>
      </c>
      <c r="D1043" s="56" t="s">
        <v>1901</v>
      </c>
      <c r="E1043" s="57"/>
      <c r="F1043" s="75" t="s">
        <v>898</v>
      </c>
      <c r="G1043" s="55"/>
      <c r="H1043" s="58">
        <v>4902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2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2</v>
      </c>
      <c r="P1043" s="55"/>
      <c r="Q1043" s="62">
        <f>REKAP[[#This Row],[Harga Satuan]]*REKAP[[#This Row],[Stok Akhir]]</f>
        <v>9804</v>
      </c>
      <c r="R1043" s="61">
        <f>IF(REKAP[[#This Row],[Stok Aktual]]&lt;&gt;"",REKAP[[#This Row],[Stok Aktual]]-REKAP[[#This Row],[Stok Akhir]],0)</f>
        <v>0</v>
      </c>
      <c r="S1043" s="132"/>
      <c r="T1043" s="137">
        <f>IF(REKAP[[#This Row],[Selisih]]&lt;=-1,REKAP[[#This Row],[Harga Satuan]]*REKAP[[#This Row],[Selisih]],0)</f>
        <v>0</v>
      </c>
    </row>
    <row r="1044" spans="1:20" x14ac:dyDescent="0.25">
      <c r="A1044" s="55" t="s">
        <v>1370</v>
      </c>
      <c r="B1044" s="55" t="s">
        <v>889</v>
      </c>
      <c r="C1044" s="55" t="s">
        <v>889</v>
      </c>
      <c r="D1044" s="56" t="s">
        <v>1902</v>
      </c>
      <c r="E1044" s="57"/>
      <c r="F1044" s="75" t="s">
        <v>898</v>
      </c>
      <c r="G1044" s="55"/>
      <c r="H1044" s="58">
        <v>44000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0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0</v>
      </c>
      <c r="P1044" s="55"/>
      <c r="Q1044" s="62">
        <f>REKAP[[#This Row],[Harga Satuan]]*REKAP[[#This Row],[Stok Akhir]]</f>
        <v>0</v>
      </c>
      <c r="R1044" s="61">
        <f>IF(REKAP[[#This Row],[Stok Aktual]]&lt;&gt;"",REKAP[[#This Row],[Stok Aktual]]-REKAP[[#This Row],[Stok Akhir]],0)</f>
        <v>0</v>
      </c>
      <c r="S1044" s="132"/>
      <c r="T1044" s="137">
        <f>IF(REKAP[[#This Row],[Selisih]]&lt;=-1,REKAP[[#This Row],[Harga Satuan]]*REKAP[[#This Row],[Selisih]],0)</f>
        <v>0</v>
      </c>
    </row>
    <row r="1045" spans="1:20" x14ac:dyDescent="0.25">
      <c r="A1045" s="55" t="s">
        <v>1371</v>
      </c>
      <c r="B1045" s="55" t="s">
        <v>889</v>
      </c>
      <c r="C1045" s="55" t="s">
        <v>889</v>
      </c>
      <c r="D1045" s="56" t="s">
        <v>1903</v>
      </c>
      <c r="E1045" s="57"/>
      <c r="F1045" s="75" t="s">
        <v>898</v>
      </c>
      <c r="G1045" s="55"/>
      <c r="H1045" s="58">
        <v>35000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3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3</v>
      </c>
      <c r="P1045" s="55"/>
      <c r="Q1045" s="62">
        <f>REKAP[[#This Row],[Harga Satuan]]*REKAP[[#This Row],[Stok Akhir]]</f>
        <v>105000</v>
      </c>
      <c r="R1045" s="61">
        <f>IF(REKAP[[#This Row],[Stok Aktual]]&lt;&gt;"",REKAP[[#This Row],[Stok Aktual]]-REKAP[[#This Row],[Stok Akhir]],0)</f>
        <v>0</v>
      </c>
      <c r="S1045" s="132"/>
      <c r="T1045" s="137">
        <f>IF(REKAP[[#This Row],[Selisih]]&lt;=-1,REKAP[[#This Row],[Harga Satuan]]*REKAP[[#This Row],[Selisih]],0)</f>
        <v>0</v>
      </c>
    </row>
    <row r="1046" spans="1:20" x14ac:dyDescent="0.25">
      <c r="A1046" s="55" t="s">
        <v>1372</v>
      </c>
      <c r="B1046" s="55" t="s">
        <v>889</v>
      </c>
      <c r="C1046" s="55" t="s">
        <v>889</v>
      </c>
      <c r="D1046" s="56" t="s">
        <v>1904</v>
      </c>
      <c r="E1046" s="57"/>
      <c r="F1046" s="75" t="s">
        <v>898</v>
      </c>
      <c r="G1046" s="55"/>
      <c r="H1046" s="58">
        <v>42336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0</v>
      </c>
      <c r="P1046" s="55"/>
      <c r="Q1046" s="62">
        <f>REKAP[[#This Row],[Harga Satuan]]*REKAP[[#This Row],[Stok Akhir]]</f>
        <v>0</v>
      </c>
      <c r="R1046" s="61">
        <f>IF(REKAP[[#This Row],[Stok Aktual]]&lt;&gt;"",REKAP[[#This Row],[Stok Aktual]]-REKAP[[#This Row],[Stok Akhir]],0)</f>
        <v>0</v>
      </c>
      <c r="S1046" s="132"/>
      <c r="T1046" s="137">
        <f>IF(REKAP[[#This Row],[Selisih]]&lt;=-1,REKAP[[#This Row],[Harga Satuan]]*REKAP[[#This Row],[Selisih]],0)</f>
        <v>0</v>
      </c>
    </row>
    <row r="1047" spans="1:20" x14ac:dyDescent="0.25">
      <c r="A1047" s="55" t="s">
        <v>1373</v>
      </c>
      <c r="B1047" s="55" t="s">
        <v>889</v>
      </c>
      <c r="C1047" s="55" t="s">
        <v>889</v>
      </c>
      <c r="D1047" s="56" t="s">
        <v>1905</v>
      </c>
      <c r="E1047" s="57"/>
      <c r="F1047" s="75" t="s">
        <v>898</v>
      </c>
      <c r="G1047" s="55"/>
      <c r="H1047" s="58">
        <v>34329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0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0</v>
      </c>
      <c r="P1047" s="55"/>
      <c r="Q1047" s="62">
        <f>REKAP[[#This Row],[Harga Satuan]]*REKAP[[#This Row],[Stok Akhir]]</f>
        <v>0</v>
      </c>
      <c r="R1047" s="61">
        <f>IF(REKAP[[#This Row],[Stok Aktual]]&lt;&gt;"",REKAP[[#This Row],[Stok Aktual]]-REKAP[[#This Row],[Stok Akhir]],0)</f>
        <v>0</v>
      </c>
      <c r="S1047" s="132"/>
      <c r="T1047" s="137">
        <f>IF(REKAP[[#This Row],[Selisih]]&lt;=-1,REKAP[[#This Row],[Harga Satuan]]*REKAP[[#This Row],[Selisih]],0)</f>
        <v>0</v>
      </c>
    </row>
    <row r="1048" spans="1:20" x14ac:dyDescent="0.25">
      <c r="A1048" s="55" t="s">
        <v>1374</v>
      </c>
      <c r="B1048" s="55" t="s">
        <v>889</v>
      </c>
      <c r="C1048" s="55" t="s">
        <v>889</v>
      </c>
      <c r="D1048" s="56" t="s">
        <v>1906</v>
      </c>
      <c r="E1048" s="57"/>
      <c r="F1048" s="75" t="s">
        <v>898</v>
      </c>
      <c r="G1048" s="55"/>
      <c r="H1048" s="58">
        <v>113000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4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4</v>
      </c>
      <c r="P1048" s="55"/>
      <c r="Q1048" s="62">
        <f>REKAP[[#This Row],[Harga Satuan]]*REKAP[[#This Row],[Stok Akhir]]</f>
        <v>452000</v>
      </c>
      <c r="R1048" s="61">
        <f>IF(REKAP[[#This Row],[Stok Aktual]]&lt;&gt;"",REKAP[[#This Row],[Stok Aktual]]-REKAP[[#This Row],[Stok Akhir]],0)</f>
        <v>0</v>
      </c>
      <c r="S1048" s="132"/>
      <c r="T1048" s="137">
        <f>IF(REKAP[[#This Row],[Selisih]]&lt;=-1,REKAP[[#This Row],[Harga Satuan]]*REKAP[[#This Row],[Selisih]],0)</f>
        <v>0</v>
      </c>
    </row>
    <row r="1049" spans="1:20" x14ac:dyDescent="0.25">
      <c r="A1049" s="55" t="s">
        <v>1375</v>
      </c>
      <c r="B1049" s="55" t="s">
        <v>889</v>
      </c>
      <c r="C1049" s="55" t="s">
        <v>889</v>
      </c>
      <c r="D1049" s="56" t="s">
        <v>1907</v>
      </c>
      <c r="E1049" s="57"/>
      <c r="F1049" s="75" t="s">
        <v>898</v>
      </c>
      <c r="G1049" s="55"/>
      <c r="H1049" s="58">
        <v>31500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5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5</v>
      </c>
      <c r="P1049" s="55"/>
      <c r="Q1049" s="62">
        <f>REKAP[[#This Row],[Harga Satuan]]*REKAP[[#This Row],[Stok Akhir]]</f>
        <v>157500</v>
      </c>
      <c r="R1049" s="61">
        <f>IF(REKAP[[#This Row],[Stok Aktual]]&lt;&gt;"",REKAP[[#This Row],[Stok Aktual]]-REKAP[[#This Row],[Stok Akhir]],0)</f>
        <v>0</v>
      </c>
      <c r="S1049" s="132"/>
      <c r="T1049" s="137">
        <f>IF(REKAP[[#This Row],[Selisih]]&lt;=-1,REKAP[[#This Row],[Harga Satuan]]*REKAP[[#This Row],[Selisih]],0)</f>
        <v>0</v>
      </c>
    </row>
    <row r="1050" spans="1:20" x14ac:dyDescent="0.25">
      <c r="A1050" s="55" t="s">
        <v>1376</v>
      </c>
      <c r="B1050" s="55" t="s">
        <v>889</v>
      </c>
      <c r="C1050" s="55" t="s">
        <v>889</v>
      </c>
      <c r="D1050" s="56" t="s">
        <v>1908</v>
      </c>
      <c r="E1050" s="57"/>
      <c r="F1050" s="75" t="s">
        <v>898</v>
      </c>
      <c r="G1050" s="55"/>
      <c r="H1050" s="58">
        <v>37500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>
        <f>IF(REKAP[[#This Row],[Stok Aktual]]&lt;&gt;"",REKAP[[#This Row],[Stok Aktual]]-REKAP[[#This Row],[Stok Akhir]],0)</f>
        <v>0</v>
      </c>
      <c r="S1050" s="132"/>
      <c r="T1050" s="137">
        <f>IF(REKAP[[#This Row],[Selisih]]&lt;=-1,REKAP[[#This Row],[Harga Satuan]]*REKAP[[#This Row],[Selisih]],0)</f>
        <v>0</v>
      </c>
    </row>
    <row r="1051" spans="1:20" x14ac:dyDescent="0.25">
      <c r="A1051" s="55" t="s">
        <v>1377</v>
      </c>
      <c r="B1051" s="55" t="s">
        <v>889</v>
      </c>
      <c r="C1051" s="55" t="s">
        <v>889</v>
      </c>
      <c r="D1051" s="56" t="s">
        <v>1909</v>
      </c>
      <c r="E1051" s="57"/>
      <c r="F1051" s="75" t="s">
        <v>898</v>
      </c>
      <c r="G1051" s="55"/>
      <c r="H1051" s="58">
        <v>34329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2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2</v>
      </c>
      <c r="P1051" s="55"/>
      <c r="Q1051" s="62">
        <f>REKAP[[#This Row],[Harga Satuan]]*REKAP[[#This Row],[Stok Akhir]]</f>
        <v>68658</v>
      </c>
      <c r="R1051" s="61">
        <f>IF(REKAP[[#This Row],[Stok Aktual]]&lt;&gt;"",REKAP[[#This Row],[Stok Aktual]]-REKAP[[#This Row],[Stok Akhir]],0)</f>
        <v>0</v>
      </c>
      <c r="S1051" s="132"/>
      <c r="T1051" s="137">
        <f>IF(REKAP[[#This Row],[Selisih]]&lt;=-1,REKAP[[#This Row],[Harga Satuan]]*REKAP[[#This Row],[Selisih]],0)</f>
        <v>0</v>
      </c>
    </row>
    <row r="1052" spans="1:20" x14ac:dyDescent="0.25">
      <c r="A1052" s="55" t="s">
        <v>1378</v>
      </c>
      <c r="B1052" s="55" t="s">
        <v>889</v>
      </c>
      <c r="C1052" s="55" t="s">
        <v>889</v>
      </c>
      <c r="D1052" s="56" t="s">
        <v>1910</v>
      </c>
      <c r="E1052" s="57"/>
      <c r="F1052" s="75" t="s">
        <v>898</v>
      </c>
      <c r="G1052" s="55"/>
      <c r="H1052" s="58">
        <v>45000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0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0</v>
      </c>
      <c r="P1052" s="55"/>
      <c r="Q1052" s="62">
        <f>REKAP[[#This Row],[Harga Satuan]]*REKAP[[#This Row],[Stok Akhir]]</f>
        <v>0</v>
      </c>
      <c r="R1052" s="61">
        <f>IF(REKAP[[#This Row],[Stok Aktual]]&lt;&gt;"",REKAP[[#This Row],[Stok Aktual]]-REKAP[[#This Row],[Stok Akhir]],0)</f>
        <v>0</v>
      </c>
      <c r="S1052" s="132"/>
      <c r="T1052" s="137">
        <f>IF(REKAP[[#This Row],[Selisih]]&lt;=-1,REKAP[[#This Row],[Harga Satuan]]*REKAP[[#This Row],[Selisih]],0)</f>
        <v>0</v>
      </c>
    </row>
    <row r="1053" spans="1:20" x14ac:dyDescent="0.25">
      <c r="A1053" s="55" t="s">
        <v>1379</v>
      </c>
      <c r="B1053" s="55" t="s">
        <v>889</v>
      </c>
      <c r="C1053" s="55" t="s">
        <v>889</v>
      </c>
      <c r="D1053" s="56" t="s">
        <v>1911</v>
      </c>
      <c r="E1053" s="57"/>
      <c r="F1053" s="75" t="s">
        <v>898</v>
      </c>
      <c r="G1053" s="55"/>
      <c r="H1053" s="58">
        <v>34329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0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0</v>
      </c>
      <c r="P1053" s="55"/>
      <c r="Q1053" s="62">
        <f>REKAP[[#This Row],[Harga Satuan]]*REKAP[[#This Row],[Stok Akhir]]</f>
        <v>0</v>
      </c>
      <c r="R1053" s="61">
        <f>IF(REKAP[[#This Row],[Stok Aktual]]&lt;&gt;"",REKAP[[#This Row],[Stok Aktual]]-REKAP[[#This Row],[Stok Akhir]],0)</f>
        <v>0</v>
      </c>
      <c r="S1053" s="132"/>
      <c r="T1053" s="137">
        <f>IF(REKAP[[#This Row],[Selisih]]&lt;=-1,REKAP[[#This Row],[Harga Satuan]]*REKAP[[#This Row],[Selisih]],0)</f>
        <v>0</v>
      </c>
    </row>
    <row r="1054" spans="1:20" x14ac:dyDescent="0.25">
      <c r="A1054" s="55" t="s">
        <v>1380</v>
      </c>
      <c r="B1054" s="55" t="s">
        <v>889</v>
      </c>
      <c r="C1054" s="55" t="s">
        <v>889</v>
      </c>
      <c r="D1054" s="56" t="s">
        <v>1912</v>
      </c>
      <c r="E1054" s="57"/>
      <c r="F1054" s="75" t="s">
        <v>898</v>
      </c>
      <c r="G1054" s="55"/>
      <c r="H1054" s="58">
        <v>31500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5</v>
      </c>
      <c r="P1054" s="55"/>
      <c r="Q1054" s="62">
        <f>REKAP[[#This Row],[Harga Satuan]]*REKAP[[#This Row],[Stok Akhir]]</f>
        <v>157500</v>
      </c>
      <c r="R1054" s="61">
        <f>IF(REKAP[[#This Row],[Stok Aktual]]&lt;&gt;"",REKAP[[#This Row],[Stok Aktual]]-REKAP[[#This Row],[Stok Akhir]],0)</f>
        <v>0</v>
      </c>
      <c r="S1054" s="132"/>
      <c r="T1054" s="137">
        <f>IF(REKAP[[#This Row],[Selisih]]&lt;=-1,REKAP[[#This Row],[Harga Satuan]]*REKAP[[#This Row],[Selisih]],0)</f>
        <v>0</v>
      </c>
    </row>
    <row r="1055" spans="1:20" x14ac:dyDescent="0.25">
      <c r="A1055" s="55" t="s">
        <v>1381</v>
      </c>
      <c r="B1055" s="55" t="s">
        <v>889</v>
      </c>
      <c r="C1055" s="55" t="s">
        <v>889</v>
      </c>
      <c r="D1055" s="56" t="s">
        <v>1913</v>
      </c>
      <c r="E1055" s="57"/>
      <c r="F1055" s="75" t="s">
        <v>898</v>
      </c>
      <c r="G1055" s="55"/>
      <c r="H1055" s="58">
        <v>41000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0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0</v>
      </c>
      <c r="P1055" s="55"/>
      <c r="Q1055" s="62">
        <f>REKAP[[#This Row],[Harga Satuan]]*REKAP[[#This Row],[Stok Akhir]]</f>
        <v>0</v>
      </c>
      <c r="R1055" s="61">
        <f>IF(REKAP[[#This Row],[Stok Aktual]]&lt;&gt;"",REKAP[[#This Row],[Stok Aktual]]-REKAP[[#This Row],[Stok Akhir]],0)</f>
        <v>0</v>
      </c>
      <c r="S1055" s="132"/>
      <c r="T1055" s="137">
        <f>IF(REKAP[[#This Row],[Selisih]]&lt;=-1,REKAP[[#This Row],[Harga Satuan]]*REKAP[[#This Row],[Selisih]],0)</f>
        <v>0</v>
      </c>
    </row>
    <row r="1056" spans="1:20" x14ac:dyDescent="0.25">
      <c r="A1056" s="55" t="s">
        <v>1382</v>
      </c>
      <c r="B1056" s="55" t="s">
        <v>889</v>
      </c>
      <c r="C1056" s="55" t="s">
        <v>889</v>
      </c>
      <c r="D1056" s="56" t="s">
        <v>1914</v>
      </c>
      <c r="E1056" s="57"/>
      <c r="F1056" s="75" t="s">
        <v>898</v>
      </c>
      <c r="G1056" s="55"/>
      <c r="H1056" s="58">
        <v>40000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2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2</v>
      </c>
      <c r="P1056" s="55"/>
      <c r="Q1056" s="62">
        <f>REKAP[[#This Row],[Harga Satuan]]*REKAP[[#This Row],[Stok Akhir]]</f>
        <v>80000</v>
      </c>
      <c r="R1056" s="61">
        <f>IF(REKAP[[#This Row],[Stok Aktual]]&lt;&gt;"",REKAP[[#This Row],[Stok Aktual]]-REKAP[[#This Row],[Stok Akhir]],0)</f>
        <v>0</v>
      </c>
      <c r="S1056" s="132"/>
      <c r="T1056" s="137">
        <f>IF(REKAP[[#This Row],[Selisih]]&lt;=-1,REKAP[[#This Row],[Harga Satuan]]*REKAP[[#This Row],[Selisih]],0)</f>
        <v>0</v>
      </c>
    </row>
    <row r="1057" spans="1:20" x14ac:dyDescent="0.25">
      <c r="A1057" s="55" t="s">
        <v>1383</v>
      </c>
      <c r="B1057" s="55" t="s">
        <v>889</v>
      </c>
      <c r="C1057" s="55" t="s">
        <v>889</v>
      </c>
      <c r="D1057" s="56" t="s">
        <v>1915</v>
      </c>
      <c r="E1057" s="57"/>
      <c r="F1057" s="75" t="s">
        <v>898</v>
      </c>
      <c r="G1057" s="55"/>
      <c r="H1057" s="58">
        <v>37000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2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2</v>
      </c>
      <c r="P1057" s="55"/>
      <c r="Q1057" s="62">
        <f>REKAP[[#This Row],[Harga Satuan]]*REKAP[[#This Row],[Stok Akhir]]</f>
        <v>74000</v>
      </c>
      <c r="R1057" s="61">
        <f>IF(REKAP[[#This Row],[Stok Aktual]]&lt;&gt;"",REKAP[[#This Row],[Stok Aktual]]-REKAP[[#This Row],[Stok Akhir]],0)</f>
        <v>0</v>
      </c>
      <c r="S1057" s="132"/>
      <c r="T1057" s="137">
        <f>IF(REKAP[[#This Row],[Selisih]]&lt;=-1,REKAP[[#This Row],[Harga Satuan]]*REKAP[[#This Row],[Selisih]],0)</f>
        <v>0</v>
      </c>
    </row>
    <row r="1058" spans="1:20" x14ac:dyDescent="0.25">
      <c r="A1058" s="55" t="s">
        <v>1384</v>
      </c>
      <c r="B1058" s="55" t="s">
        <v>889</v>
      </c>
      <c r="C1058" s="55" t="s">
        <v>889</v>
      </c>
      <c r="D1058" s="56" t="s">
        <v>1916</v>
      </c>
      <c r="E1058" s="57"/>
      <c r="F1058" s="75" t="s">
        <v>898</v>
      </c>
      <c r="G1058" s="55"/>
      <c r="H1058" s="58">
        <v>40000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</v>
      </c>
      <c r="P1058" s="55"/>
      <c r="Q1058" s="62">
        <f>REKAP[[#This Row],[Harga Satuan]]*REKAP[[#This Row],[Stok Akhir]]</f>
        <v>80000</v>
      </c>
      <c r="R1058" s="61">
        <f>IF(REKAP[[#This Row],[Stok Aktual]]&lt;&gt;"",REKAP[[#This Row],[Stok Aktual]]-REKAP[[#This Row],[Stok Akhir]],0)</f>
        <v>0</v>
      </c>
      <c r="S1058" s="132"/>
      <c r="T1058" s="137">
        <f>IF(REKAP[[#This Row],[Selisih]]&lt;=-1,REKAP[[#This Row],[Harga Satuan]]*REKAP[[#This Row],[Selisih]],0)</f>
        <v>0</v>
      </c>
    </row>
    <row r="1059" spans="1:20" x14ac:dyDescent="0.25">
      <c r="A1059" s="55" t="s">
        <v>1385</v>
      </c>
      <c r="B1059" s="55" t="s">
        <v>889</v>
      </c>
      <c r="C1059" s="55" t="s">
        <v>889</v>
      </c>
      <c r="D1059" s="56" t="s">
        <v>1917</v>
      </c>
      <c r="E1059" s="57"/>
      <c r="F1059" s="75" t="s">
        <v>898</v>
      </c>
      <c r="G1059" s="55" t="s">
        <v>1973</v>
      </c>
      <c r="H1059" s="58">
        <v>65500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>
        <f>IF(REKAP[[#This Row],[Stok Aktual]]&lt;&gt;"",REKAP[[#This Row],[Stok Aktual]]-REKAP[[#This Row],[Stok Akhir]],0)</f>
        <v>0</v>
      </c>
      <c r="S1059" s="132"/>
      <c r="T1059" s="137">
        <f>IF(REKAP[[#This Row],[Selisih]]&lt;=-1,REKAP[[#This Row],[Harga Satuan]]*REKAP[[#This Row],[Selisih]],0)</f>
        <v>0</v>
      </c>
    </row>
    <row r="1060" spans="1:20" x14ac:dyDescent="0.25">
      <c r="A1060" s="55" t="s">
        <v>1386</v>
      </c>
      <c r="B1060" s="55" t="s">
        <v>889</v>
      </c>
      <c r="C1060" s="55" t="s">
        <v>889</v>
      </c>
      <c r="D1060" s="56" t="s">
        <v>1918</v>
      </c>
      <c r="E1060" s="57"/>
      <c r="F1060" s="75" t="s">
        <v>898</v>
      </c>
      <c r="G1060" s="55" t="s">
        <v>1973</v>
      </c>
      <c r="H1060" s="58">
        <v>61200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0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0</v>
      </c>
      <c r="P1060" s="55"/>
      <c r="Q1060" s="62">
        <f>REKAP[[#This Row],[Harga Satuan]]*REKAP[[#This Row],[Stok Akhir]]</f>
        <v>0</v>
      </c>
      <c r="R1060" s="61">
        <f>IF(REKAP[[#This Row],[Stok Aktual]]&lt;&gt;"",REKAP[[#This Row],[Stok Aktual]]-REKAP[[#This Row],[Stok Akhir]],0)</f>
        <v>0</v>
      </c>
      <c r="S1060" s="132"/>
      <c r="T1060" s="137">
        <f>IF(REKAP[[#This Row],[Selisih]]&lt;=-1,REKAP[[#This Row],[Harga Satuan]]*REKAP[[#This Row],[Selisih]],0)</f>
        <v>0</v>
      </c>
    </row>
    <row r="1061" spans="1:20" x14ac:dyDescent="0.25">
      <c r="A1061" s="55" t="s">
        <v>1387</v>
      </c>
      <c r="B1061" s="55" t="s">
        <v>889</v>
      </c>
      <c r="C1061" s="55" t="s">
        <v>889</v>
      </c>
      <c r="D1061" s="56" t="s">
        <v>1919</v>
      </c>
      <c r="E1061" s="57"/>
      <c r="F1061" s="75" t="s">
        <v>898</v>
      </c>
      <c r="G1061" s="55"/>
      <c r="H1061" s="58">
        <v>38000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0</v>
      </c>
      <c r="K1061" s="60">
        <f>REKAP[[#This Row],[Trx In]]+REKAP[[#This Row],[Trx Out]]</f>
        <v>0</v>
      </c>
      <c r="L1061" s="55">
        <v>4</v>
      </c>
      <c r="M1061" s="74">
        <f>SUMIF(MASUK!$C:$C,REKAP[[#This Row],[ID]],MASUK!$H:$H)</f>
        <v>0</v>
      </c>
      <c r="N1061" s="74">
        <f>SUMIF(KELUAR!$C:$C,REKAP[[#This Row],[ID]],KELUAR!$H:$H)</f>
        <v>0</v>
      </c>
      <c r="O1061" s="74">
        <f>REKAP[[#This Row],[Stok Awal]]+REKAP[[#This Row],[Masuk]]-REKAP[[#This Row],[Keluar]]</f>
        <v>4</v>
      </c>
      <c r="P1061" s="55"/>
      <c r="Q1061" s="62">
        <f>REKAP[[#This Row],[Harga Satuan]]*REKAP[[#This Row],[Stok Akhir]]</f>
        <v>152000</v>
      </c>
      <c r="R1061" s="61">
        <f>IF(REKAP[[#This Row],[Stok Aktual]]&lt;&gt;"",REKAP[[#This Row],[Stok Aktual]]-REKAP[[#This Row],[Stok Akhir]],0)</f>
        <v>0</v>
      </c>
      <c r="S1061" s="132"/>
      <c r="T1061" s="137">
        <f>IF(REKAP[[#This Row],[Selisih]]&lt;=-1,REKAP[[#This Row],[Harga Satuan]]*REKAP[[#This Row],[Selisih]],0)</f>
        <v>0</v>
      </c>
    </row>
    <row r="1062" spans="1:20" x14ac:dyDescent="0.25">
      <c r="A1062" s="55" t="s">
        <v>1388</v>
      </c>
      <c r="B1062" s="55" t="s">
        <v>889</v>
      </c>
      <c r="C1062" s="55" t="s">
        <v>889</v>
      </c>
      <c r="D1062" s="56" t="s">
        <v>1920</v>
      </c>
      <c r="E1062" s="57"/>
      <c r="F1062" s="75" t="s">
        <v>898</v>
      </c>
      <c r="G1062" s="55"/>
      <c r="H1062" s="58">
        <v>38000</v>
      </c>
      <c r="I1062" s="59">
        <f>IF(COUNTIF(MASUK[Kode Barang],REKAP[[#This Row],[ID]])=0,0,COUNTIF(MASUK[Kode Barang],REKAP[[#This Row],[ID]]))</f>
        <v>0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0</v>
      </c>
      <c r="L1062" s="55">
        <v>0</v>
      </c>
      <c r="M1062" s="74">
        <f>SUMIF(MASUK!$C:$C,REKAP[[#This Row],[ID]],MASUK!$H:$H)</f>
        <v>0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0</v>
      </c>
      <c r="P1062" s="55"/>
      <c r="Q1062" s="62">
        <f>REKAP[[#This Row],[Harga Satuan]]*REKAP[[#This Row],[Stok Akhir]]</f>
        <v>0</v>
      </c>
      <c r="R1062" s="61">
        <f>IF(REKAP[[#This Row],[Stok Aktual]]&lt;&gt;"",REKAP[[#This Row],[Stok Aktual]]-REKAP[[#This Row],[Stok Akhir]],0)</f>
        <v>0</v>
      </c>
      <c r="S1062" s="132"/>
      <c r="T1062" s="137">
        <f>IF(REKAP[[#This Row],[Selisih]]&lt;=-1,REKAP[[#This Row],[Harga Satuan]]*REKAP[[#This Row],[Selisih]],0)</f>
        <v>0</v>
      </c>
    </row>
    <row r="1063" spans="1:20" x14ac:dyDescent="0.25">
      <c r="A1063" s="55" t="s">
        <v>1389</v>
      </c>
      <c r="B1063" s="55" t="s">
        <v>889</v>
      </c>
      <c r="C1063" s="55" t="s">
        <v>889</v>
      </c>
      <c r="D1063" s="56" t="s">
        <v>1921</v>
      </c>
      <c r="E1063" s="57"/>
      <c r="F1063" s="75" t="s">
        <v>898</v>
      </c>
      <c r="G1063" s="55"/>
      <c r="H1063" s="58">
        <v>55200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662400</v>
      </c>
      <c r="R1063" s="61">
        <f>IF(REKAP[[#This Row],[Stok Aktual]]&lt;&gt;"",REKAP[[#This Row],[Stok Aktual]]-REKAP[[#This Row],[Stok Akhir]],0)</f>
        <v>0</v>
      </c>
      <c r="S1063" s="132"/>
      <c r="T1063" s="137">
        <f>IF(REKAP[[#This Row],[Selisih]]&lt;=-1,REKAP[[#This Row],[Harga Satuan]]*REKAP[[#This Row],[Selisih]],0)</f>
        <v>0</v>
      </c>
    </row>
    <row r="1064" spans="1:20" x14ac:dyDescent="0.25">
      <c r="A1064" s="55" t="s">
        <v>1390</v>
      </c>
      <c r="B1064" s="55" t="s">
        <v>889</v>
      </c>
      <c r="C1064" s="55" t="s">
        <v>889</v>
      </c>
      <c r="D1064" s="56" t="s">
        <v>1922</v>
      </c>
      <c r="E1064" s="57"/>
      <c r="F1064" s="75" t="s">
        <v>898</v>
      </c>
      <c r="G1064" s="55"/>
      <c r="H1064" s="58">
        <v>34660</v>
      </c>
      <c r="I1064" s="59">
        <f>IF(COUNTIF(MASUK[Kode Barang],REKAP[[#This Row],[ID]])=0,0,COUNTIF(MASUK[Kode Barang],REKAP[[#This Row],[ID]]))</f>
        <v>0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0</v>
      </c>
      <c r="L1064" s="55">
        <v>8</v>
      </c>
      <c r="M1064" s="74">
        <f>SUMIF(MASUK!$C:$C,REKAP[[#This Row],[ID]],MASUK!$H:$H)</f>
        <v>0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8</v>
      </c>
      <c r="P1064" s="55"/>
      <c r="Q1064" s="62">
        <f>REKAP[[#This Row],[Harga Satuan]]*REKAP[[#This Row],[Stok Akhir]]</f>
        <v>277280</v>
      </c>
      <c r="R1064" s="61">
        <f>IF(REKAP[[#This Row],[Stok Aktual]]&lt;&gt;"",REKAP[[#This Row],[Stok Aktual]]-REKAP[[#This Row],[Stok Akhir]],0)</f>
        <v>0</v>
      </c>
      <c r="S1064" s="132"/>
      <c r="T1064" s="137">
        <f>IF(REKAP[[#This Row],[Selisih]]&lt;=-1,REKAP[[#This Row],[Harga Satuan]]*REKAP[[#This Row],[Selisih]],0)</f>
        <v>0</v>
      </c>
    </row>
    <row r="1065" spans="1:20" x14ac:dyDescent="0.25">
      <c r="A1065" s="55" t="s">
        <v>1391</v>
      </c>
      <c r="B1065" s="55" t="s">
        <v>889</v>
      </c>
      <c r="C1065" s="55" t="s">
        <v>889</v>
      </c>
      <c r="D1065" s="56" t="s">
        <v>1923</v>
      </c>
      <c r="E1065" s="57"/>
      <c r="F1065" s="75" t="s">
        <v>898</v>
      </c>
      <c r="G1065" s="55"/>
      <c r="H1065" s="58">
        <v>28589</v>
      </c>
      <c r="I1065" s="59">
        <f>IF(COUNTIF(MASUK[Kode Barang],REKAP[[#This Row],[ID]])=0,0,COUNTIF(MASUK[Kode Barang],REKAP[[#This Row],[ID]]))</f>
        <v>0</v>
      </c>
      <c r="J1065" s="59">
        <f>IF(COUNTIF(MASUK8[Kode Barang],REKAP[[#This Row],[ID]])=0,0,COUNTIF(MASUK8[Kode Barang],REKAP[[#This Row],[ID]]))</f>
        <v>0</v>
      </c>
      <c r="K1065" s="60">
        <f>REKAP[[#This Row],[Trx In]]+REKAP[[#This Row],[Trx Out]]</f>
        <v>0</v>
      </c>
      <c r="L1065" s="55">
        <v>0</v>
      </c>
      <c r="M1065" s="74">
        <f>SUMIF(MASUK!$C:$C,REKAP[[#This Row],[ID]],MASUK!$H:$H)</f>
        <v>0</v>
      </c>
      <c r="N1065" s="74">
        <f>SUMIF(KELUAR!$C:$C,REKAP[[#This Row],[ID]],KELUAR!$H:$H)</f>
        <v>0</v>
      </c>
      <c r="O1065" s="74">
        <f>REKAP[[#This Row],[Stok Awal]]+REKAP[[#This Row],[Masuk]]-REKAP[[#This Row],[Keluar]]</f>
        <v>0</v>
      </c>
      <c r="P1065" s="55"/>
      <c r="Q1065" s="62">
        <f>REKAP[[#This Row],[Harga Satuan]]*REKAP[[#This Row],[Stok Akhir]]</f>
        <v>0</v>
      </c>
      <c r="R1065" s="61">
        <f>IF(REKAP[[#This Row],[Stok Aktual]]&lt;&gt;"",REKAP[[#This Row],[Stok Aktual]]-REKAP[[#This Row],[Stok Akhir]],0)</f>
        <v>0</v>
      </c>
      <c r="S1065" s="132"/>
      <c r="T1065" s="137">
        <f>IF(REKAP[[#This Row],[Selisih]]&lt;=-1,REKAP[[#This Row],[Harga Satuan]]*REKAP[[#This Row],[Selisih]],0)</f>
        <v>0</v>
      </c>
    </row>
    <row r="1066" spans="1:20" x14ac:dyDescent="0.25">
      <c r="A1066" s="55" t="s">
        <v>1392</v>
      </c>
      <c r="B1066" s="55" t="s">
        <v>889</v>
      </c>
      <c r="C1066" s="55" t="s">
        <v>889</v>
      </c>
      <c r="D1066" s="56" t="s">
        <v>1924</v>
      </c>
      <c r="E1066" s="57"/>
      <c r="F1066" s="75" t="s">
        <v>898</v>
      </c>
      <c r="G1066" s="55"/>
      <c r="H1066" s="58">
        <v>45004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</v>
      </c>
      <c r="P1066" s="55"/>
      <c r="Q1066" s="62">
        <f>REKAP[[#This Row],[Harga Satuan]]*REKAP[[#This Row],[Stok Akhir]]</f>
        <v>135012</v>
      </c>
      <c r="R1066" s="61">
        <f>IF(REKAP[[#This Row],[Stok Aktual]]&lt;&gt;"",REKAP[[#This Row],[Stok Aktual]]-REKAP[[#This Row],[Stok Akhir]],0)</f>
        <v>0</v>
      </c>
      <c r="S1066" s="132"/>
      <c r="T1066" s="137">
        <f>IF(REKAP[[#This Row],[Selisih]]&lt;=-1,REKAP[[#This Row],[Harga Satuan]]*REKAP[[#This Row],[Selisih]],0)</f>
        <v>0</v>
      </c>
    </row>
    <row r="1067" spans="1:20" x14ac:dyDescent="0.25">
      <c r="A1067" s="55" t="s">
        <v>1393</v>
      </c>
      <c r="B1067" s="55" t="s">
        <v>889</v>
      </c>
      <c r="C1067" s="55" t="s">
        <v>889</v>
      </c>
      <c r="D1067" s="56" t="s">
        <v>1925</v>
      </c>
      <c r="E1067" s="57"/>
      <c r="F1067" s="75" t="s">
        <v>898</v>
      </c>
      <c r="G1067" s="55"/>
      <c r="H1067" s="58">
        <v>45561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0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0</v>
      </c>
      <c r="P1067" s="55"/>
      <c r="Q1067" s="62">
        <f>REKAP[[#This Row],[Harga Satuan]]*REKAP[[#This Row],[Stok Akhir]]</f>
        <v>0</v>
      </c>
      <c r="R1067" s="61">
        <f>IF(REKAP[[#This Row],[Stok Aktual]]&lt;&gt;"",REKAP[[#This Row],[Stok Aktual]]-REKAP[[#This Row],[Stok Akhir]],0)</f>
        <v>0</v>
      </c>
      <c r="S1067" s="132"/>
      <c r="T1067" s="137">
        <f>IF(REKAP[[#This Row],[Selisih]]&lt;=-1,REKAP[[#This Row],[Harga Satuan]]*REKAP[[#This Row],[Selisih]],0)</f>
        <v>0</v>
      </c>
    </row>
    <row r="1068" spans="1:20" x14ac:dyDescent="0.25">
      <c r="A1068" s="55" t="s">
        <v>1394</v>
      </c>
      <c r="B1068" s="55" t="s">
        <v>889</v>
      </c>
      <c r="C1068" s="55" t="s">
        <v>889</v>
      </c>
      <c r="D1068" s="56" t="s">
        <v>1926</v>
      </c>
      <c r="E1068" s="57"/>
      <c r="F1068" s="75" t="s">
        <v>898</v>
      </c>
      <c r="G1068" s="55"/>
      <c r="H1068" s="58">
        <v>44500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12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12</v>
      </c>
      <c r="P1068" s="55"/>
      <c r="Q1068" s="62">
        <f>REKAP[[#This Row],[Harga Satuan]]*REKAP[[#This Row],[Stok Akhir]]</f>
        <v>534000</v>
      </c>
      <c r="R1068" s="61">
        <f>IF(REKAP[[#This Row],[Stok Aktual]]&lt;&gt;"",REKAP[[#This Row],[Stok Aktual]]-REKAP[[#This Row],[Stok Akhir]],0)</f>
        <v>0</v>
      </c>
      <c r="S1068" s="132"/>
      <c r="T1068" s="137">
        <f>IF(REKAP[[#This Row],[Selisih]]&lt;=-1,REKAP[[#This Row],[Harga Satuan]]*REKAP[[#This Row],[Selisih]],0)</f>
        <v>0</v>
      </c>
    </row>
    <row r="1069" spans="1:20" x14ac:dyDescent="0.25">
      <c r="A1069" s="55" t="s">
        <v>1395</v>
      </c>
      <c r="B1069" s="55" t="s">
        <v>889</v>
      </c>
      <c r="C1069" s="55" t="s">
        <v>889</v>
      </c>
      <c r="D1069" s="56" t="s">
        <v>1927</v>
      </c>
      <c r="E1069" s="57"/>
      <c r="F1069" s="75" t="s">
        <v>898</v>
      </c>
      <c r="G1069" s="55"/>
      <c r="H1069" s="58">
        <v>44500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0</v>
      </c>
      <c r="K1069" s="60">
        <f>REKAP[[#This Row],[Trx In]]+REKAP[[#This Row],[Trx Out]]</f>
        <v>0</v>
      </c>
      <c r="L1069" s="55">
        <v>2</v>
      </c>
      <c r="M1069" s="74">
        <f>SUMIF(MASUK!$C:$C,REKAP[[#This Row],[ID]],MASUK!$H:$H)</f>
        <v>0</v>
      </c>
      <c r="N1069" s="74">
        <f>SUMIF(KELUAR!$C:$C,REKAP[[#This Row],[ID]],KELUAR!$H:$H)</f>
        <v>0</v>
      </c>
      <c r="O1069" s="74">
        <f>REKAP[[#This Row],[Stok Awal]]+REKAP[[#This Row],[Masuk]]-REKAP[[#This Row],[Keluar]]</f>
        <v>2</v>
      </c>
      <c r="P1069" s="55"/>
      <c r="Q1069" s="62">
        <f>REKAP[[#This Row],[Harga Satuan]]*REKAP[[#This Row],[Stok Akhir]]</f>
        <v>89000</v>
      </c>
      <c r="R1069" s="61">
        <f>IF(REKAP[[#This Row],[Stok Aktual]]&lt;&gt;"",REKAP[[#This Row],[Stok Aktual]]-REKAP[[#This Row],[Stok Akhir]],0)</f>
        <v>0</v>
      </c>
      <c r="S1069" s="132"/>
      <c r="T1069" s="137">
        <f>IF(REKAP[[#This Row],[Selisih]]&lt;=-1,REKAP[[#This Row],[Harga Satuan]]*REKAP[[#This Row],[Selisih]],0)</f>
        <v>0</v>
      </c>
    </row>
    <row r="1070" spans="1:20" x14ac:dyDescent="0.25">
      <c r="A1070" s="55" t="s">
        <v>1396</v>
      </c>
      <c r="B1070" s="55" t="s">
        <v>889</v>
      </c>
      <c r="C1070" s="55" t="s">
        <v>889</v>
      </c>
      <c r="D1070" s="56" t="s">
        <v>1928</v>
      </c>
      <c r="E1070" s="57"/>
      <c r="F1070" s="75" t="s">
        <v>898</v>
      </c>
      <c r="G1070" s="55"/>
      <c r="H1070" s="58">
        <v>23634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8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8</v>
      </c>
      <c r="P1070" s="55"/>
      <c r="Q1070" s="62">
        <f>REKAP[[#This Row],[Harga Satuan]]*REKAP[[#This Row],[Stok Akhir]]</f>
        <v>189072</v>
      </c>
      <c r="R1070" s="61">
        <f>IF(REKAP[[#This Row],[Stok Aktual]]&lt;&gt;"",REKAP[[#This Row],[Stok Aktual]]-REKAP[[#This Row],[Stok Akhir]],0)</f>
        <v>0</v>
      </c>
      <c r="S1070" s="132"/>
      <c r="T1070" s="137">
        <f>IF(REKAP[[#This Row],[Selisih]]&lt;=-1,REKAP[[#This Row],[Harga Satuan]]*REKAP[[#This Row],[Selisih]],0)</f>
        <v>0</v>
      </c>
    </row>
    <row r="1071" spans="1:20" x14ac:dyDescent="0.25">
      <c r="A1071" s="55" t="s">
        <v>1397</v>
      </c>
      <c r="B1071" s="55" t="s">
        <v>889</v>
      </c>
      <c r="C1071" s="55" t="s">
        <v>889</v>
      </c>
      <c r="D1071" s="56" t="s">
        <v>1929</v>
      </c>
      <c r="E1071" s="57"/>
      <c r="F1071" s="75" t="s">
        <v>898</v>
      </c>
      <c r="G1071" s="55"/>
      <c r="H1071" s="58">
        <v>23634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10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10</v>
      </c>
      <c r="P1071" s="55"/>
      <c r="Q1071" s="62">
        <f>REKAP[[#This Row],[Harga Satuan]]*REKAP[[#This Row],[Stok Akhir]]</f>
        <v>236340</v>
      </c>
      <c r="R1071" s="61">
        <f>IF(REKAP[[#This Row],[Stok Aktual]]&lt;&gt;"",REKAP[[#This Row],[Stok Aktual]]-REKAP[[#This Row],[Stok Akhir]],0)</f>
        <v>0</v>
      </c>
      <c r="S1071" s="132"/>
      <c r="T1071" s="137">
        <f>IF(REKAP[[#This Row],[Selisih]]&lt;=-1,REKAP[[#This Row],[Harga Satuan]]*REKAP[[#This Row],[Selisih]],0)</f>
        <v>0</v>
      </c>
    </row>
    <row r="1072" spans="1:20" x14ac:dyDescent="0.25">
      <c r="A1072" s="55" t="s">
        <v>1398</v>
      </c>
      <c r="B1072" s="55" t="s">
        <v>889</v>
      </c>
      <c r="C1072" s="55" t="s">
        <v>889</v>
      </c>
      <c r="D1072" s="56" t="s">
        <v>1930</v>
      </c>
      <c r="E1072" s="57"/>
      <c r="F1072" s="75" t="s">
        <v>898</v>
      </c>
      <c r="G1072" s="55"/>
      <c r="H1072" s="58">
        <v>23634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0</v>
      </c>
      <c r="K1072" s="60">
        <f>REKAP[[#This Row],[Trx In]]+REKAP[[#This Row],[Trx Out]]</f>
        <v>0</v>
      </c>
      <c r="L1072" s="55">
        <v>40</v>
      </c>
      <c r="M1072" s="74">
        <f>SUMIF(MASUK!$C:$C,REKAP[[#This Row],[ID]],MASUK!$H:$H)</f>
        <v>0</v>
      </c>
      <c r="N1072" s="74">
        <f>SUMIF(KELUAR!$C:$C,REKAP[[#This Row],[ID]],KELUAR!$H:$H)</f>
        <v>0</v>
      </c>
      <c r="O1072" s="74">
        <f>REKAP[[#This Row],[Stok Awal]]+REKAP[[#This Row],[Masuk]]-REKAP[[#This Row],[Keluar]]</f>
        <v>40</v>
      </c>
      <c r="P1072" s="55"/>
      <c r="Q1072" s="62">
        <f>REKAP[[#This Row],[Harga Satuan]]*REKAP[[#This Row],[Stok Akhir]]</f>
        <v>945360</v>
      </c>
      <c r="R1072" s="61">
        <f>IF(REKAP[[#This Row],[Stok Aktual]]&lt;&gt;"",REKAP[[#This Row],[Stok Aktual]]-REKAP[[#This Row],[Stok Akhir]],0)</f>
        <v>0</v>
      </c>
      <c r="S1072" s="132"/>
      <c r="T1072" s="137">
        <f>IF(REKAP[[#This Row],[Selisih]]&lt;=-1,REKAP[[#This Row],[Harga Satuan]]*REKAP[[#This Row],[Selisih]],0)</f>
        <v>0</v>
      </c>
    </row>
    <row r="1073" spans="1:20" x14ac:dyDescent="0.25">
      <c r="A1073" s="55" t="s">
        <v>1399</v>
      </c>
      <c r="B1073" s="55" t="s">
        <v>889</v>
      </c>
      <c r="C1073" s="55" t="s">
        <v>889</v>
      </c>
      <c r="D1073" s="56" t="s">
        <v>1931</v>
      </c>
      <c r="E1073" s="57"/>
      <c r="F1073" s="75" t="s">
        <v>898</v>
      </c>
      <c r="G1073" s="55"/>
      <c r="H1073" s="58">
        <v>115000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0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0</v>
      </c>
      <c r="P1073" s="55"/>
      <c r="Q1073" s="62">
        <f>REKAP[[#This Row],[Harga Satuan]]*REKAP[[#This Row],[Stok Akhir]]</f>
        <v>0</v>
      </c>
      <c r="R1073" s="61">
        <f>IF(REKAP[[#This Row],[Stok Aktual]]&lt;&gt;"",REKAP[[#This Row],[Stok Aktual]]-REKAP[[#This Row],[Stok Akhir]],0)</f>
        <v>0</v>
      </c>
      <c r="S1073" s="132"/>
      <c r="T1073" s="137">
        <f>IF(REKAP[[#This Row],[Selisih]]&lt;=-1,REKAP[[#This Row],[Harga Satuan]]*REKAP[[#This Row],[Selisih]],0)</f>
        <v>0</v>
      </c>
    </row>
    <row r="1074" spans="1:20" x14ac:dyDescent="0.25">
      <c r="A1074" s="55" t="s">
        <v>1400</v>
      </c>
      <c r="B1074" s="55" t="s">
        <v>889</v>
      </c>
      <c r="C1074" s="55" t="s">
        <v>889</v>
      </c>
      <c r="D1074" s="56" t="s">
        <v>1932</v>
      </c>
      <c r="E1074" s="57"/>
      <c r="F1074" s="75" t="s">
        <v>898</v>
      </c>
      <c r="G1074" s="55"/>
      <c r="H1074" s="58">
        <v>23634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0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0</v>
      </c>
      <c r="P1074" s="55"/>
      <c r="Q1074" s="62">
        <f>REKAP[[#This Row],[Harga Satuan]]*REKAP[[#This Row],[Stok Akhir]]</f>
        <v>0</v>
      </c>
      <c r="R1074" s="61">
        <f>IF(REKAP[[#This Row],[Stok Aktual]]&lt;&gt;"",REKAP[[#This Row],[Stok Aktual]]-REKAP[[#This Row],[Stok Akhir]],0)</f>
        <v>0</v>
      </c>
      <c r="S1074" s="132"/>
      <c r="T1074" s="137">
        <f>IF(REKAP[[#This Row],[Selisih]]&lt;=-1,REKAP[[#This Row],[Harga Satuan]]*REKAP[[#This Row],[Selisih]],0)</f>
        <v>0</v>
      </c>
    </row>
    <row r="1075" spans="1:20" x14ac:dyDescent="0.25">
      <c r="A1075" s="55" t="s">
        <v>1401</v>
      </c>
      <c r="B1075" s="55" t="s">
        <v>890</v>
      </c>
      <c r="C1075" s="55" t="s">
        <v>890</v>
      </c>
      <c r="D1075" s="56" t="s">
        <v>1933</v>
      </c>
      <c r="E1075" s="57"/>
      <c r="F1075" s="75" t="s">
        <v>898</v>
      </c>
      <c r="G1075" s="55"/>
      <c r="H1075" s="58"/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4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4</v>
      </c>
      <c r="P1075" s="55"/>
      <c r="Q1075" s="62">
        <f>REKAP[[#This Row],[Harga Satuan]]*REKAP[[#This Row],[Stok Akhir]]</f>
        <v>0</v>
      </c>
      <c r="R1075" s="61">
        <f>IF(REKAP[[#This Row],[Stok Aktual]]&lt;&gt;"",REKAP[[#This Row],[Stok Aktual]]-REKAP[[#This Row],[Stok Akhir]],0)</f>
        <v>0</v>
      </c>
      <c r="S1075" s="132"/>
      <c r="T1075" s="137">
        <f>IF(REKAP[[#This Row],[Selisih]]&lt;=-1,REKAP[[#This Row],[Harga Satuan]]*REKAP[[#This Row],[Selisih]],0)</f>
        <v>0</v>
      </c>
    </row>
    <row r="1076" spans="1:20" x14ac:dyDescent="0.25">
      <c r="A1076" s="55" t="s">
        <v>1402</v>
      </c>
      <c r="B1076" s="55" t="s">
        <v>889</v>
      </c>
      <c r="C1076" s="55" t="s">
        <v>889</v>
      </c>
      <c r="D1076" s="56" t="s">
        <v>1934</v>
      </c>
      <c r="E1076" s="57"/>
      <c r="F1076" s="75" t="s">
        <v>898</v>
      </c>
      <c r="G1076" s="55" t="s">
        <v>1976</v>
      </c>
      <c r="H1076" s="58">
        <v>45063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>
        <f>IF(REKAP[[#This Row],[Stok Aktual]]&lt;&gt;"",REKAP[[#This Row],[Stok Aktual]]-REKAP[[#This Row],[Stok Akhir]],0)</f>
        <v>0</v>
      </c>
      <c r="S1076" s="132"/>
      <c r="T1076" s="137">
        <f>IF(REKAP[[#This Row],[Selisih]]&lt;=-1,REKAP[[#This Row],[Harga Satuan]]*REKAP[[#This Row],[Selisih]],0)</f>
        <v>0</v>
      </c>
    </row>
    <row r="1077" spans="1:20" x14ac:dyDescent="0.25">
      <c r="A1077" s="55" t="s">
        <v>1403</v>
      </c>
      <c r="B1077" s="55" t="s">
        <v>889</v>
      </c>
      <c r="C1077" s="55" t="s">
        <v>889</v>
      </c>
      <c r="D1077" s="56" t="s">
        <v>1935</v>
      </c>
      <c r="E1077" s="57"/>
      <c r="F1077" s="75" t="s">
        <v>898</v>
      </c>
      <c r="G1077" s="55" t="s">
        <v>1976</v>
      </c>
      <c r="H1077" s="58">
        <v>48959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0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0</v>
      </c>
      <c r="P1077" s="55"/>
      <c r="Q1077" s="62">
        <f>REKAP[[#This Row],[Harga Satuan]]*REKAP[[#This Row],[Stok Akhir]]</f>
        <v>0</v>
      </c>
      <c r="R1077" s="61">
        <f>IF(REKAP[[#This Row],[Stok Aktual]]&lt;&gt;"",REKAP[[#This Row],[Stok Aktual]]-REKAP[[#This Row],[Stok Akhir]],0)</f>
        <v>0</v>
      </c>
      <c r="S1077" s="132"/>
      <c r="T1077" s="137">
        <f>IF(REKAP[[#This Row],[Selisih]]&lt;=-1,REKAP[[#This Row],[Harga Satuan]]*REKAP[[#This Row],[Selisih]],0)</f>
        <v>0</v>
      </c>
    </row>
    <row r="1078" spans="1:20" x14ac:dyDescent="0.25">
      <c r="A1078" s="55" t="s">
        <v>1404</v>
      </c>
      <c r="B1078" s="55" t="s">
        <v>891</v>
      </c>
      <c r="C1078" s="55" t="s">
        <v>891</v>
      </c>
      <c r="D1078" s="56" t="s">
        <v>1936</v>
      </c>
      <c r="E1078" s="57"/>
      <c r="F1078" s="75" t="s">
        <v>898</v>
      </c>
      <c r="G1078" s="55" t="s">
        <v>1974</v>
      </c>
      <c r="H1078" s="58">
        <v>37500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0</v>
      </c>
      <c r="K1078" s="60">
        <f>REKAP[[#This Row],[Trx In]]+REKAP[[#This Row],[Trx Out]]</f>
        <v>0</v>
      </c>
      <c r="L1078" s="55">
        <v>0</v>
      </c>
      <c r="M1078" s="74">
        <f>SUMIF(MASUK!$C:$C,REKAP[[#This Row],[ID]],MASUK!$H:$H)</f>
        <v>0</v>
      </c>
      <c r="N1078" s="74">
        <f>SUMIF(KELUAR!$C:$C,REKAP[[#This Row],[ID]],KELUAR!$H:$H)</f>
        <v>0</v>
      </c>
      <c r="O1078" s="74">
        <f>REKAP[[#This Row],[Stok Awal]]+REKAP[[#This Row],[Masuk]]-REKAP[[#This Row],[Keluar]]</f>
        <v>0</v>
      </c>
      <c r="P1078" s="55"/>
      <c r="Q1078" s="62">
        <f>REKAP[[#This Row],[Harga Satuan]]*REKAP[[#This Row],[Stok Akhir]]</f>
        <v>0</v>
      </c>
      <c r="R1078" s="61">
        <f>IF(REKAP[[#This Row],[Stok Aktual]]&lt;&gt;"",REKAP[[#This Row],[Stok Aktual]]-REKAP[[#This Row],[Stok Akhir]],0)</f>
        <v>0</v>
      </c>
      <c r="S1078" s="132"/>
      <c r="T1078" s="137">
        <f>IF(REKAP[[#This Row],[Selisih]]&lt;=-1,REKAP[[#This Row],[Harga Satuan]]*REKAP[[#This Row],[Selisih]],0)</f>
        <v>0</v>
      </c>
    </row>
    <row r="1079" spans="1:20" x14ac:dyDescent="0.25">
      <c r="A1079" s="55" t="s">
        <v>1405</v>
      </c>
      <c r="B1079" s="55" t="s">
        <v>891</v>
      </c>
      <c r="C1079" s="55" t="s">
        <v>891</v>
      </c>
      <c r="D1079" s="56" t="s">
        <v>1937</v>
      </c>
      <c r="E1079" s="57"/>
      <c r="F1079" s="75" t="s">
        <v>898</v>
      </c>
      <c r="G1079" s="55"/>
      <c r="H1079" s="58">
        <v>42000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0</v>
      </c>
      <c r="K1079" s="60">
        <f>REKAP[[#This Row],[Trx In]]+REKAP[[#This Row],[Trx Out]]</f>
        <v>0</v>
      </c>
      <c r="L1079" s="55">
        <v>0</v>
      </c>
      <c r="M1079" s="74">
        <f>SUMIF(MASUK!$C:$C,REKAP[[#This Row],[ID]],MASUK!$H:$H)</f>
        <v>0</v>
      </c>
      <c r="N1079" s="74">
        <f>SUMIF(KELUAR!$C:$C,REKAP[[#This Row],[ID]],KELUAR!$H:$H)</f>
        <v>0</v>
      </c>
      <c r="O1079" s="74">
        <f>REKAP[[#This Row],[Stok Awal]]+REKAP[[#This Row],[Masuk]]-REKAP[[#This Row],[Keluar]]</f>
        <v>0</v>
      </c>
      <c r="P1079" s="55"/>
      <c r="Q1079" s="62">
        <f>REKAP[[#This Row],[Harga Satuan]]*REKAP[[#This Row],[Stok Akhir]]</f>
        <v>0</v>
      </c>
      <c r="R1079" s="61">
        <f>IF(REKAP[[#This Row],[Stok Aktual]]&lt;&gt;"",REKAP[[#This Row],[Stok Aktual]]-REKAP[[#This Row],[Stok Akhir]],0)</f>
        <v>0</v>
      </c>
      <c r="S1079" s="132"/>
      <c r="T1079" s="137">
        <f>IF(REKAP[[#This Row],[Selisih]]&lt;=-1,REKAP[[#This Row],[Harga Satuan]]*REKAP[[#This Row],[Selisih]],0)</f>
        <v>0</v>
      </c>
    </row>
    <row r="1080" spans="1:20" x14ac:dyDescent="0.25">
      <c r="A1080" s="55" t="s">
        <v>1406</v>
      </c>
      <c r="B1080" s="55" t="s">
        <v>891</v>
      </c>
      <c r="C1080" s="55" t="s">
        <v>891</v>
      </c>
      <c r="D1080" s="56" t="s">
        <v>1938</v>
      </c>
      <c r="E1080" s="57"/>
      <c r="F1080" s="75" t="s">
        <v>898</v>
      </c>
      <c r="G1080" s="55"/>
      <c r="H1080" s="58">
        <v>33000</v>
      </c>
      <c r="I1080" s="59">
        <f>IF(COUNTIF(MASUK[Kode Barang],REKAP[[#This Row],[ID]])=0,0,COUNTIF(MASUK[Kode Barang],REKAP[[#This Row],[ID]]))</f>
        <v>0</v>
      </c>
      <c r="J1080" s="59">
        <f>IF(COUNTIF(MASUK8[Kode Barang],REKAP[[#This Row],[ID]])=0,0,COUNTIF(MASUK8[Kode Barang],REKAP[[#This Row],[ID]]))</f>
        <v>0</v>
      </c>
      <c r="K1080" s="60">
        <f>REKAP[[#This Row],[Trx In]]+REKAP[[#This Row],[Trx Out]]</f>
        <v>0</v>
      </c>
      <c r="L1080" s="55">
        <v>0</v>
      </c>
      <c r="M1080" s="74">
        <f>SUMIF(MASUK!$C:$C,REKAP[[#This Row],[ID]],MASUK!$H:$H)</f>
        <v>0</v>
      </c>
      <c r="N1080" s="74">
        <f>SUMIF(KELUAR!$C:$C,REKAP[[#This Row],[ID]],KELUAR!$H:$H)</f>
        <v>0</v>
      </c>
      <c r="O1080" s="74">
        <f>REKAP[[#This Row],[Stok Awal]]+REKAP[[#This Row],[Masuk]]-REKAP[[#This Row],[Keluar]]</f>
        <v>0</v>
      </c>
      <c r="P1080" s="55"/>
      <c r="Q1080" s="62">
        <f>REKAP[[#This Row],[Harga Satuan]]*REKAP[[#This Row],[Stok Akhir]]</f>
        <v>0</v>
      </c>
      <c r="R1080" s="61">
        <f>IF(REKAP[[#This Row],[Stok Aktual]]&lt;&gt;"",REKAP[[#This Row],[Stok Aktual]]-REKAP[[#This Row],[Stok Akhir]],0)</f>
        <v>0</v>
      </c>
      <c r="S1080" s="132"/>
      <c r="T1080" s="137">
        <f>IF(REKAP[[#This Row],[Selisih]]&lt;=-1,REKAP[[#This Row],[Harga Satuan]]*REKAP[[#This Row],[Selisih]],0)</f>
        <v>0</v>
      </c>
    </row>
    <row r="1081" spans="1:20" x14ac:dyDescent="0.25">
      <c r="A1081" s="55" t="s">
        <v>1407</v>
      </c>
      <c r="B1081" s="55" t="s">
        <v>891</v>
      </c>
      <c r="C1081" s="55" t="s">
        <v>891</v>
      </c>
      <c r="D1081" s="56" t="s">
        <v>1939</v>
      </c>
      <c r="E1081" s="57"/>
      <c r="F1081" s="75" t="s">
        <v>898</v>
      </c>
      <c r="G1081" s="55"/>
      <c r="H1081" s="58">
        <v>34000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>
        <f>IF(REKAP[[#This Row],[Stok Aktual]]&lt;&gt;"",REKAP[[#This Row],[Stok Aktual]]-REKAP[[#This Row],[Stok Akhir]],0)</f>
        <v>0</v>
      </c>
      <c r="S1081" s="132"/>
      <c r="T1081" s="137">
        <f>IF(REKAP[[#This Row],[Selisih]]&lt;=-1,REKAP[[#This Row],[Harga Satuan]]*REKAP[[#This Row],[Selisih]],0)</f>
        <v>0</v>
      </c>
    </row>
    <row r="1082" spans="1:20" x14ac:dyDescent="0.25">
      <c r="A1082" s="55" t="s">
        <v>1408</v>
      </c>
      <c r="B1082" s="55" t="s">
        <v>891</v>
      </c>
      <c r="C1082" s="55" t="s">
        <v>891</v>
      </c>
      <c r="D1082" s="56" t="s">
        <v>1940</v>
      </c>
      <c r="E1082" s="57"/>
      <c r="F1082" s="75" t="s">
        <v>898</v>
      </c>
      <c r="G1082" s="55"/>
      <c r="H1082" s="58">
        <v>64500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4</v>
      </c>
      <c r="P1082" s="55"/>
      <c r="Q1082" s="62">
        <f>REKAP[[#This Row],[Harga Satuan]]*REKAP[[#This Row],[Stok Akhir]]</f>
        <v>258000</v>
      </c>
      <c r="R1082" s="61">
        <f>IF(REKAP[[#This Row],[Stok Aktual]]&lt;&gt;"",REKAP[[#This Row],[Stok Aktual]]-REKAP[[#This Row],[Stok Akhir]],0)</f>
        <v>0</v>
      </c>
      <c r="S1082" s="132"/>
      <c r="T1082" s="137">
        <f>IF(REKAP[[#This Row],[Selisih]]&lt;=-1,REKAP[[#This Row],[Harga Satuan]]*REKAP[[#This Row],[Selisih]],0)</f>
        <v>0</v>
      </c>
    </row>
    <row r="1083" spans="1:20" x14ac:dyDescent="0.25">
      <c r="A1083" s="55" t="s">
        <v>1409</v>
      </c>
      <c r="B1083" s="55" t="s">
        <v>891</v>
      </c>
      <c r="C1083" s="55" t="s">
        <v>891</v>
      </c>
      <c r="D1083" s="56" t="s">
        <v>1941</v>
      </c>
      <c r="E1083" s="57"/>
      <c r="F1083" s="75" t="s">
        <v>898</v>
      </c>
      <c r="G1083" s="55" t="s">
        <v>1974</v>
      </c>
      <c r="H1083" s="58">
        <v>66000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>
        <f>IF(REKAP[[#This Row],[Stok Aktual]]&lt;&gt;"",REKAP[[#This Row],[Stok Aktual]]-REKAP[[#This Row],[Stok Akhir]],0)</f>
        <v>0</v>
      </c>
      <c r="S1083" s="132"/>
      <c r="T1083" s="137">
        <f>IF(REKAP[[#This Row],[Selisih]]&lt;=-1,REKAP[[#This Row],[Harga Satuan]]*REKAP[[#This Row],[Selisih]],0)</f>
        <v>0</v>
      </c>
    </row>
    <row r="1084" spans="1:20" x14ac:dyDescent="0.25">
      <c r="A1084" s="55" t="s">
        <v>1410</v>
      </c>
      <c r="B1084" s="55" t="s">
        <v>891</v>
      </c>
      <c r="C1084" s="55" t="s">
        <v>891</v>
      </c>
      <c r="D1084" s="56" t="s">
        <v>1942</v>
      </c>
      <c r="E1084" s="57"/>
      <c r="F1084" s="75" t="s">
        <v>898</v>
      </c>
      <c r="G1084" s="55"/>
      <c r="H1084" s="58">
        <v>52200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0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0</v>
      </c>
      <c r="P1084" s="55"/>
      <c r="Q1084" s="62">
        <f>REKAP[[#This Row],[Harga Satuan]]*REKAP[[#This Row],[Stok Akhir]]</f>
        <v>0</v>
      </c>
      <c r="R1084" s="61">
        <f>IF(REKAP[[#This Row],[Stok Aktual]]&lt;&gt;"",REKAP[[#This Row],[Stok Aktual]]-REKAP[[#This Row],[Stok Akhir]],0)</f>
        <v>0</v>
      </c>
      <c r="S1084" s="132"/>
      <c r="T1084" s="137">
        <f>IF(REKAP[[#This Row],[Selisih]]&lt;=-1,REKAP[[#This Row],[Harga Satuan]]*REKAP[[#This Row],[Selisih]],0)</f>
        <v>0</v>
      </c>
    </row>
    <row r="1085" spans="1:20" x14ac:dyDescent="0.25">
      <c r="A1085" s="55" t="s">
        <v>1411</v>
      </c>
      <c r="B1085" s="55" t="s">
        <v>891</v>
      </c>
      <c r="C1085" s="55" t="s">
        <v>891</v>
      </c>
      <c r="D1085" s="56" t="s">
        <v>1943</v>
      </c>
      <c r="E1085" s="57"/>
      <c r="F1085" s="75" t="s">
        <v>898</v>
      </c>
      <c r="G1085" s="55"/>
      <c r="H1085" s="58">
        <v>51594</v>
      </c>
      <c r="I1085" s="59">
        <f>IF(COUNTIF(MASUK[Kode Barang],REKAP[[#This Row],[ID]])=0,0,COUNTIF(MASUK[Kode Barang],REKAP[[#This Row],[ID]]))</f>
        <v>0</v>
      </c>
      <c r="J1085" s="59">
        <f>IF(COUNTIF(MASUK8[Kode Barang],REKAP[[#This Row],[ID]])=0,0,COUNTIF(MASUK8[Kode Barang],REKAP[[#This Row],[ID]]))</f>
        <v>0</v>
      </c>
      <c r="K1085" s="60">
        <f>REKAP[[#This Row],[Trx In]]+REKAP[[#This Row],[Trx Out]]</f>
        <v>0</v>
      </c>
      <c r="L1085" s="55">
        <v>0</v>
      </c>
      <c r="M1085" s="74">
        <f>SUMIF(MASUK!$C:$C,REKAP[[#This Row],[ID]],MASUK!$H:$H)</f>
        <v>0</v>
      </c>
      <c r="N1085" s="74">
        <f>SUMIF(KELUAR!$C:$C,REKAP[[#This Row],[ID]],KELUAR!$H:$H)</f>
        <v>0</v>
      </c>
      <c r="O1085" s="74">
        <f>REKAP[[#This Row],[Stok Awal]]+REKAP[[#This Row],[Masuk]]-REKAP[[#This Row],[Keluar]]</f>
        <v>0</v>
      </c>
      <c r="P1085" s="55"/>
      <c r="Q1085" s="62">
        <f>REKAP[[#This Row],[Harga Satuan]]*REKAP[[#This Row],[Stok Akhir]]</f>
        <v>0</v>
      </c>
      <c r="R1085" s="61">
        <f>IF(REKAP[[#This Row],[Stok Aktual]]&lt;&gt;"",REKAP[[#This Row],[Stok Aktual]]-REKAP[[#This Row],[Stok Akhir]],0)</f>
        <v>0</v>
      </c>
      <c r="S1085" s="132"/>
      <c r="T1085" s="137">
        <f>IF(REKAP[[#This Row],[Selisih]]&lt;=-1,REKAP[[#This Row],[Harga Satuan]]*REKAP[[#This Row],[Selisih]],0)</f>
        <v>0</v>
      </c>
    </row>
    <row r="1086" spans="1:20" x14ac:dyDescent="0.25">
      <c r="A1086" s="55" t="s">
        <v>1412</v>
      </c>
      <c r="B1086" s="55" t="s">
        <v>891</v>
      </c>
      <c r="C1086" s="55" t="s">
        <v>891</v>
      </c>
      <c r="D1086" s="56" t="s">
        <v>1944</v>
      </c>
      <c r="E1086" s="57"/>
      <c r="F1086" s="75" t="s">
        <v>898</v>
      </c>
      <c r="G1086" s="55"/>
      <c r="H1086" s="58">
        <v>67500</v>
      </c>
      <c r="I1086" s="59">
        <f>IF(COUNTIF(MASUK[Kode Barang],REKAP[[#This Row],[ID]])=0,0,COUNTIF(MASUK[Kode Barang],REKAP[[#This Row],[ID]]))</f>
        <v>0</v>
      </c>
      <c r="J1086" s="59">
        <f>IF(COUNTIF(MASUK8[Kode Barang],REKAP[[#This Row],[ID]])=0,0,COUNTIF(MASUK8[Kode Barang],REKAP[[#This Row],[ID]]))</f>
        <v>0</v>
      </c>
      <c r="K1086" s="60">
        <f>REKAP[[#This Row],[Trx In]]+REKAP[[#This Row],[Trx Out]]</f>
        <v>0</v>
      </c>
      <c r="L1086" s="55">
        <v>0</v>
      </c>
      <c r="M1086" s="74">
        <f>SUMIF(MASUK!$C:$C,REKAP[[#This Row],[ID]],MASUK!$H:$H)</f>
        <v>0</v>
      </c>
      <c r="N1086" s="74">
        <f>SUMIF(KELUAR!$C:$C,REKAP[[#This Row],[ID]],KELUAR!$H:$H)</f>
        <v>0</v>
      </c>
      <c r="O1086" s="74">
        <f>REKAP[[#This Row],[Stok Awal]]+REKAP[[#This Row],[Masuk]]-REKAP[[#This Row],[Keluar]]</f>
        <v>0</v>
      </c>
      <c r="P1086" s="55"/>
      <c r="Q1086" s="62">
        <f>REKAP[[#This Row],[Harga Satuan]]*REKAP[[#This Row],[Stok Akhir]]</f>
        <v>0</v>
      </c>
      <c r="R1086" s="61">
        <f>IF(REKAP[[#This Row],[Stok Aktual]]&lt;&gt;"",REKAP[[#This Row],[Stok Aktual]]-REKAP[[#This Row],[Stok Akhir]],0)</f>
        <v>0</v>
      </c>
      <c r="S1086" s="132"/>
      <c r="T1086" s="137">
        <f>IF(REKAP[[#This Row],[Selisih]]&lt;=-1,REKAP[[#This Row],[Harga Satuan]]*REKAP[[#This Row],[Selisih]],0)</f>
        <v>0</v>
      </c>
    </row>
    <row r="1087" spans="1:20" x14ac:dyDescent="0.25">
      <c r="A1087" s="55" t="s">
        <v>1413</v>
      </c>
      <c r="B1087" s="55" t="s">
        <v>892</v>
      </c>
      <c r="C1087" s="55" t="s">
        <v>892</v>
      </c>
      <c r="D1087" s="56" t="s">
        <v>1945</v>
      </c>
      <c r="E1087" s="57"/>
      <c r="F1087" s="75" t="s">
        <v>898</v>
      </c>
      <c r="G1087" s="55"/>
      <c r="H1087" s="58">
        <v>110000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0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0</v>
      </c>
      <c r="P1087" s="55"/>
      <c r="Q1087" s="62">
        <f>REKAP[[#This Row],[Harga Satuan]]*REKAP[[#This Row],[Stok Akhir]]</f>
        <v>0</v>
      </c>
      <c r="R1087" s="61">
        <f>IF(REKAP[[#This Row],[Stok Aktual]]&lt;&gt;"",REKAP[[#This Row],[Stok Aktual]]-REKAP[[#This Row],[Stok Akhir]],0)</f>
        <v>0</v>
      </c>
      <c r="S1087" s="132"/>
      <c r="T1087" s="137">
        <f>IF(REKAP[[#This Row],[Selisih]]&lt;=-1,REKAP[[#This Row],[Harga Satuan]]*REKAP[[#This Row],[Selisih]],0)</f>
        <v>0</v>
      </c>
    </row>
    <row r="1088" spans="1:20" x14ac:dyDescent="0.25">
      <c r="A1088" s="55" t="s">
        <v>1414</v>
      </c>
      <c r="B1088" s="55" t="s">
        <v>892</v>
      </c>
      <c r="C1088" s="55" t="s">
        <v>892</v>
      </c>
      <c r="D1088" s="56" t="s">
        <v>1946</v>
      </c>
      <c r="E1088" s="57"/>
      <c r="F1088" s="75" t="s">
        <v>898</v>
      </c>
      <c r="G1088" s="55"/>
      <c r="H1088" s="58">
        <v>252000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0</v>
      </c>
      <c r="K1088" s="60">
        <f>REKAP[[#This Row],[Trx In]]+REKAP[[#This Row],[Trx Out]]</f>
        <v>0</v>
      </c>
      <c r="L1088" s="55">
        <v>0</v>
      </c>
      <c r="M1088" s="74">
        <f>SUMIF(MASUK!$C:$C,REKAP[[#This Row],[ID]],MASUK!$H:$H)</f>
        <v>0</v>
      </c>
      <c r="N1088" s="74">
        <f>SUMIF(KELUAR!$C:$C,REKAP[[#This Row],[ID]],KELUAR!$H:$H)</f>
        <v>0</v>
      </c>
      <c r="O1088" s="74">
        <f>REKAP[[#This Row],[Stok Awal]]+REKAP[[#This Row],[Masuk]]-REKAP[[#This Row],[Keluar]]</f>
        <v>0</v>
      </c>
      <c r="P1088" s="55"/>
      <c r="Q1088" s="62">
        <f>REKAP[[#This Row],[Harga Satuan]]*REKAP[[#This Row],[Stok Akhir]]</f>
        <v>0</v>
      </c>
      <c r="R1088" s="61">
        <f>IF(REKAP[[#This Row],[Stok Aktual]]&lt;&gt;"",REKAP[[#This Row],[Stok Aktual]]-REKAP[[#This Row],[Stok Akhir]],0)</f>
        <v>0</v>
      </c>
      <c r="S1088" s="132"/>
      <c r="T1088" s="137">
        <f>IF(REKAP[[#This Row],[Selisih]]&lt;=-1,REKAP[[#This Row],[Harga Satuan]]*REKAP[[#This Row],[Selisih]],0)</f>
        <v>0</v>
      </c>
    </row>
    <row r="1089" spans="1:20" x14ac:dyDescent="0.25">
      <c r="A1089" s="55" t="s">
        <v>1415</v>
      </c>
      <c r="B1089" s="55" t="s">
        <v>892</v>
      </c>
      <c r="C1089" s="55" t="s">
        <v>892</v>
      </c>
      <c r="D1089" s="56" t="s">
        <v>1947</v>
      </c>
      <c r="E1089" s="57"/>
      <c r="F1089" s="75" t="s">
        <v>898</v>
      </c>
      <c r="G1089" s="55"/>
      <c r="H1089" s="58">
        <v>176000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0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0</v>
      </c>
      <c r="P1089" s="55"/>
      <c r="Q1089" s="62">
        <f>REKAP[[#This Row],[Harga Satuan]]*REKAP[[#This Row],[Stok Akhir]]</f>
        <v>0</v>
      </c>
      <c r="R1089" s="61">
        <f>IF(REKAP[[#This Row],[Stok Aktual]]&lt;&gt;"",REKAP[[#This Row],[Stok Aktual]]-REKAP[[#This Row],[Stok Akhir]],0)</f>
        <v>0</v>
      </c>
      <c r="S1089" s="132"/>
      <c r="T1089" s="137">
        <f>IF(REKAP[[#This Row],[Selisih]]&lt;=-1,REKAP[[#This Row],[Harga Satuan]]*REKAP[[#This Row],[Selisih]],0)</f>
        <v>0</v>
      </c>
    </row>
    <row r="1090" spans="1:20" x14ac:dyDescent="0.25">
      <c r="A1090" s="55" t="s">
        <v>1416</v>
      </c>
      <c r="B1090" s="55" t="s">
        <v>893</v>
      </c>
      <c r="C1090" s="55" t="s">
        <v>893</v>
      </c>
      <c r="D1090" s="56" t="s">
        <v>1948</v>
      </c>
      <c r="E1090" s="57"/>
      <c r="F1090" s="75" t="s">
        <v>898</v>
      </c>
      <c r="G1090" s="55"/>
      <c r="H1090" s="58">
        <v>225000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0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0</v>
      </c>
      <c r="P1090" s="55"/>
      <c r="Q1090" s="62">
        <f>REKAP[[#This Row],[Harga Satuan]]*REKAP[[#This Row],[Stok Akhir]]</f>
        <v>0</v>
      </c>
      <c r="R1090" s="61">
        <f>IF(REKAP[[#This Row],[Stok Aktual]]&lt;&gt;"",REKAP[[#This Row],[Stok Aktual]]-REKAP[[#This Row],[Stok Akhir]],0)</f>
        <v>0</v>
      </c>
      <c r="S1090" s="132"/>
      <c r="T1090" s="137">
        <f>IF(REKAP[[#This Row],[Selisih]]&lt;=-1,REKAP[[#This Row],[Harga Satuan]]*REKAP[[#This Row],[Selisih]],0)</f>
        <v>0</v>
      </c>
    </row>
    <row r="1091" spans="1:20" x14ac:dyDescent="0.25">
      <c r="A1091" s="55" t="s">
        <v>1417</v>
      </c>
      <c r="B1091" s="55" t="s">
        <v>893</v>
      </c>
      <c r="C1091" s="55" t="s">
        <v>893</v>
      </c>
      <c r="D1091" s="56" t="s">
        <v>1949</v>
      </c>
      <c r="E1091" s="57"/>
      <c r="F1091" s="75" t="s">
        <v>898</v>
      </c>
      <c r="G1091" s="55"/>
      <c r="H1091" s="58">
        <v>235000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>
        <f>IF(REKAP[[#This Row],[Stok Aktual]]&lt;&gt;"",REKAP[[#This Row],[Stok Aktual]]-REKAP[[#This Row],[Stok Akhir]],0)</f>
        <v>0</v>
      </c>
      <c r="S1091" s="132"/>
      <c r="T1091" s="137">
        <f>IF(REKAP[[#This Row],[Selisih]]&lt;=-1,REKAP[[#This Row],[Harga Satuan]]*REKAP[[#This Row],[Selisih]],0)</f>
        <v>0</v>
      </c>
    </row>
    <row r="1092" spans="1:20" x14ac:dyDescent="0.25">
      <c r="A1092" s="55" t="s">
        <v>1418</v>
      </c>
      <c r="B1092" s="55" t="s">
        <v>893</v>
      </c>
      <c r="C1092" s="55" t="s">
        <v>893</v>
      </c>
      <c r="D1092" s="56" t="s">
        <v>1950</v>
      </c>
      <c r="E1092" s="57"/>
      <c r="F1092" s="75" t="s">
        <v>898</v>
      </c>
      <c r="G1092" s="55"/>
      <c r="H1092" s="58">
        <v>239736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0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0</v>
      </c>
      <c r="P1092" s="55"/>
      <c r="Q1092" s="62">
        <f>REKAP[[#This Row],[Harga Satuan]]*REKAP[[#This Row],[Stok Akhir]]</f>
        <v>0</v>
      </c>
      <c r="R1092" s="61">
        <f>IF(REKAP[[#This Row],[Stok Aktual]]&lt;&gt;"",REKAP[[#This Row],[Stok Aktual]]-REKAP[[#This Row],[Stok Akhir]],0)</f>
        <v>0</v>
      </c>
      <c r="S1092" s="132"/>
      <c r="T1092" s="137">
        <f>IF(REKAP[[#This Row],[Selisih]]&lt;=-1,REKAP[[#This Row],[Harga Satuan]]*REKAP[[#This Row],[Selisih]],0)</f>
        <v>0</v>
      </c>
    </row>
    <row r="1093" spans="1:20" x14ac:dyDescent="0.25">
      <c r="A1093" s="55" t="s">
        <v>1419</v>
      </c>
      <c r="B1093" s="55" t="s">
        <v>893</v>
      </c>
      <c r="C1093" s="55" t="s">
        <v>893</v>
      </c>
      <c r="D1093" s="56" t="s">
        <v>1951</v>
      </c>
      <c r="E1093" s="57"/>
      <c r="F1093" s="75" t="s">
        <v>898</v>
      </c>
      <c r="G1093" s="55"/>
      <c r="H1093" s="58">
        <v>383019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0</v>
      </c>
      <c r="K1093" s="60">
        <f>REKAP[[#This Row],[Trx In]]+REKAP[[#This Row],[Trx Out]]</f>
        <v>0</v>
      </c>
      <c r="L1093" s="55">
        <v>1</v>
      </c>
      <c r="M1093" s="74">
        <f>SUMIF(MASUK!$C:$C,REKAP[[#This Row],[ID]],MASUK!$H:$H)</f>
        <v>0</v>
      </c>
      <c r="N1093" s="74">
        <f>SUMIF(KELUAR!$C:$C,REKAP[[#This Row],[ID]],KELUAR!$H:$H)</f>
        <v>0</v>
      </c>
      <c r="O1093" s="74">
        <f>REKAP[[#This Row],[Stok Awal]]+REKAP[[#This Row],[Masuk]]-REKAP[[#This Row],[Keluar]]</f>
        <v>1</v>
      </c>
      <c r="P1093" s="55"/>
      <c r="Q1093" s="62">
        <f>REKAP[[#This Row],[Harga Satuan]]*REKAP[[#This Row],[Stok Akhir]]</f>
        <v>383019</v>
      </c>
      <c r="R1093" s="61">
        <f>IF(REKAP[[#This Row],[Stok Aktual]]&lt;&gt;"",REKAP[[#This Row],[Stok Aktual]]-REKAP[[#This Row],[Stok Akhir]],0)</f>
        <v>0</v>
      </c>
      <c r="S1093" s="132"/>
      <c r="T1093" s="137">
        <f>IF(REKAP[[#This Row],[Selisih]]&lt;=-1,REKAP[[#This Row],[Harga Satuan]]*REKAP[[#This Row],[Selisih]],0)</f>
        <v>0</v>
      </c>
    </row>
    <row r="1094" spans="1:20" x14ac:dyDescent="0.25">
      <c r="A1094" s="55" t="s">
        <v>1420</v>
      </c>
      <c r="B1094" s="55" t="s">
        <v>893</v>
      </c>
      <c r="C1094" s="55" t="s">
        <v>893</v>
      </c>
      <c r="D1094" s="56" t="s">
        <v>1952</v>
      </c>
      <c r="E1094" s="57"/>
      <c r="F1094" s="75" t="s">
        <v>898</v>
      </c>
      <c r="G1094" s="55"/>
      <c r="H1094" s="58">
        <v>366924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0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0</v>
      </c>
      <c r="P1094" s="55"/>
      <c r="Q1094" s="62">
        <f>REKAP[[#This Row],[Harga Satuan]]*REKAP[[#This Row],[Stok Akhir]]</f>
        <v>0</v>
      </c>
      <c r="R1094" s="61">
        <f>IF(REKAP[[#This Row],[Stok Aktual]]&lt;&gt;"",REKAP[[#This Row],[Stok Aktual]]-REKAP[[#This Row],[Stok Akhir]],0)</f>
        <v>0</v>
      </c>
      <c r="S1094" s="132"/>
      <c r="T1094" s="137">
        <f>IF(REKAP[[#This Row],[Selisih]]&lt;=-1,REKAP[[#This Row],[Harga Satuan]]*REKAP[[#This Row],[Selisih]],0)</f>
        <v>0</v>
      </c>
    </row>
    <row r="1095" spans="1:20" x14ac:dyDescent="0.25">
      <c r="A1095" s="55" t="s">
        <v>1421</v>
      </c>
      <c r="B1095" s="55" t="s">
        <v>893</v>
      </c>
      <c r="C1095" s="55" t="s">
        <v>893</v>
      </c>
      <c r="D1095" s="56" t="s">
        <v>1953</v>
      </c>
      <c r="E1095" s="57"/>
      <c r="F1095" s="75" t="s">
        <v>898</v>
      </c>
      <c r="G1095" s="55"/>
      <c r="H1095" s="58"/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2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2</v>
      </c>
      <c r="P1095" s="55"/>
      <c r="Q1095" s="62">
        <f>REKAP[[#This Row],[Harga Satuan]]*REKAP[[#This Row],[Stok Akhir]]</f>
        <v>0</v>
      </c>
      <c r="R1095" s="61">
        <f>IF(REKAP[[#This Row],[Stok Aktual]]&lt;&gt;"",REKAP[[#This Row],[Stok Aktual]]-REKAP[[#This Row],[Stok Akhir]],0)</f>
        <v>0</v>
      </c>
      <c r="S1095" s="132"/>
      <c r="T1095" s="137">
        <f>IF(REKAP[[#This Row],[Selisih]]&lt;=-1,REKAP[[#This Row],[Harga Satuan]]*REKAP[[#This Row],[Selisih]],0)</f>
        <v>0</v>
      </c>
    </row>
    <row r="1096" spans="1:20" x14ac:dyDescent="0.25">
      <c r="A1096" s="55" t="s">
        <v>1422</v>
      </c>
      <c r="B1096" s="55" t="s">
        <v>894</v>
      </c>
      <c r="C1096" s="55" t="s">
        <v>894</v>
      </c>
      <c r="D1096" s="56" t="s">
        <v>1954</v>
      </c>
      <c r="E1096" s="57"/>
      <c r="F1096" s="75" t="s">
        <v>898</v>
      </c>
      <c r="G1096" s="55"/>
      <c r="H1096" s="58">
        <v>96486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>
        <f>IF(REKAP[[#This Row],[Stok Aktual]]&lt;&gt;"",REKAP[[#This Row],[Stok Aktual]]-REKAP[[#This Row],[Stok Akhir]],0)</f>
        <v>0</v>
      </c>
      <c r="S1096" s="132"/>
      <c r="T1096" s="137">
        <f>IF(REKAP[[#This Row],[Selisih]]&lt;=-1,REKAP[[#This Row],[Harga Satuan]]*REKAP[[#This Row],[Selisih]],0)</f>
        <v>0</v>
      </c>
    </row>
    <row r="1097" spans="1:20" x14ac:dyDescent="0.25">
      <c r="A1097" s="55" t="s">
        <v>1423</v>
      </c>
      <c r="B1097" s="55" t="s">
        <v>895</v>
      </c>
      <c r="C1097" s="55" t="s">
        <v>895</v>
      </c>
      <c r="D1097" s="56" t="s">
        <v>1955</v>
      </c>
      <c r="E1097" s="57"/>
      <c r="F1097" s="75" t="s">
        <v>898</v>
      </c>
      <c r="G1097" s="55"/>
      <c r="H1097" s="58">
        <v>537108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>
        <f>IF(REKAP[[#This Row],[Stok Aktual]]&lt;&gt;"",REKAP[[#This Row],[Stok Aktual]]-REKAP[[#This Row],[Stok Akhir]],0)</f>
        <v>0</v>
      </c>
      <c r="S1097" s="132"/>
      <c r="T1097" s="137">
        <f>IF(REKAP[[#This Row],[Selisih]]&lt;=-1,REKAP[[#This Row],[Harga Satuan]]*REKAP[[#This Row],[Selisih]],0)</f>
        <v>0</v>
      </c>
    </row>
    <row r="1098" spans="1:20" x14ac:dyDescent="0.25">
      <c r="A1098" s="55" t="s">
        <v>1424</v>
      </c>
      <c r="B1098" s="55" t="s">
        <v>896</v>
      </c>
      <c r="C1098" s="55" t="s">
        <v>896</v>
      </c>
      <c r="D1098" s="56" t="s">
        <v>1956</v>
      </c>
      <c r="E1098" s="57"/>
      <c r="F1098" s="75" t="s">
        <v>898</v>
      </c>
      <c r="G1098" s="55"/>
      <c r="H1098" s="58">
        <v>10296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44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44</v>
      </c>
      <c r="P1098" s="55"/>
      <c r="Q1098" s="62">
        <f>REKAP[[#This Row],[Harga Satuan]]*REKAP[[#This Row],[Stok Akhir]]</f>
        <v>453024</v>
      </c>
      <c r="R1098" s="61">
        <f>IF(REKAP[[#This Row],[Stok Aktual]]&lt;&gt;"",REKAP[[#This Row],[Stok Aktual]]-REKAP[[#This Row],[Stok Akhir]],0)</f>
        <v>0</v>
      </c>
      <c r="S1098" s="132"/>
      <c r="T1098" s="137">
        <f>IF(REKAP[[#This Row],[Selisih]]&lt;=-1,REKAP[[#This Row],[Harga Satuan]]*REKAP[[#This Row],[Selisih]],0)</f>
        <v>0</v>
      </c>
    </row>
    <row r="1099" spans="1:20" x14ac:dyDescent="0.25">
      <c r="A1099" s="55" t="s">
        <v>1425</v>
      </c>
      <c r="B1099" s="55" t="s">
        <v>896</v>
      </c>
      <c r="C1099" s="57" t="s">
        <v>896</v>
      </c>
      <c r="D1099" s="56" t="s">
        <v>1957</v>
      </c>
      <c r="E1099" s="57"/>
      <c r="F1099" s="75" t="s">
        <v>898</v>
      </c>
      <c r="G1099" s="55"/>
      <c r="H1099" s="58">
        <v>10296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66</v>
      </c>
      <c r="P1099" s="55"/>
      <c r="Q1099" s="62">
        <f>REKAP[[#This Row],[Harga Satuan]]*REKAP[[#This Row],[Stok Akhir]]</f>
        <v>679536</v>
      </c>
      <c r="R1099" s="61">
        <f>IF(REKAP[[#This Row],[Stok Aktual]]&lt;&gt;"",REKAP[[#This Row],[Stok Aktual]]-REKAP[[#This Row],[Stok Akhir]],0)</f>
        <v>0</v>
      </c>
      <c r="S1099" s="132"/>
      <c r="T1099" s="137">
        <f>IF(REKAP[[#This Row],[Selisih]]&lt;=-1,REKAP[[#This Row],[Harga Satuan]]*REKAP[[#This Row],[Selisih]],0)</f>
        <v>0</v>
      </c>
    </row>
    <row r="1100" spans="1:20" x14ac:dyDescent="0.25">
      <c r="A1100" s="55" t="s">
        <v>1426</v>
      </c>
      <c r="B1100" s="55" t="s">
        <v>896</v>
      </c>
      <c r="C1100" s="57" t="s">
        <v>896</v>
      </c>
      <c r="D1100" s="56" t="s">
        <v>1958</v>
      </c>
      <c r="E1100" s="57"/>
      <c r="F1100" s="75" t="s">
        <v>898</v>
      </c>
      <c r="G1100" s="55"/>
      <c r="H1100" s="58">
        <v>13826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81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81</v>
      </c>
      <c r="P1100" s="55"/>
      <c r="Q1100" s="62">
        <f>REKAP[[#This Row],[Harga Satuan]]*REKAP[[#This Row],[Stok Akhir]]</f>
        <v>1119906</v>
      </c>
      <c r="R1100" s="61">
        <f>IF(REKAP[[#This Row],[Stok Aktual]]&lt;&gt;"",REKAP[[#This Row],[Stok Aktual]]-REKAP[[#This Row],[Stok Akhir]],0)</f>
        <v>0</v>
      </c>
      <c r="S1100" s="132"/>
      <c r="T1100" s="137">
        <f>IF(REKAP[[#This Row],[Selisih]]&lt;=-1,REKAP[[#This Row],[Harga Satuan]]*REKAP[[#This Row],[Selisih]],0)</f>
        <v>0</v>
      </c>
    </row>
    <row r="1101" spans="1:20" x14ac:dyDescent="0.25">
      <c r="A1101" s="55" t="s">
        <v>1427</v>
      </c>
      <c r="B1101" s="55" t="s">
        <v>896</v>
      </c>
      <c r="C1101" s="57" t="s">
        <v>896</v>
      </c>
      <c r="D1101" s="56" t="s">
        <v>1959</v>
      </c>
      <c r="E1101" s="57"/>
      <c r="F1101" s="75" t="s">
        <v>898</v>
      </c>
      <c r="G1101" s="55"/>
      <c r="H1101" s="58">
        <v>13002.000000000002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34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34</v>
      </c>
      <c r="P1101" s="55"/>
      <c r="Q1101" s="62">
        <f>REKAP[[#This Row],[Harga Satuan]]*REKAP[[#This Row],[Stok Akhir]]</f>
        <v>442068.00000000006</v>
      </c>
      <c r="R1101" s="61">
        <f>IF(REKAP[[#This Row],[Stok Aktual]]&lt;&gt;"",REKAP[[#This Row],[Stok Aktual]]-REKAP[[#This Row],[Stok Akhir]],0)</f>
        <v>0</v>
      </c>
      <c r="S1101" s="132"/>
      <c r="T1101" s="137">
        <f>IF(REKAP[[#This Row],[Selisih]]&lt;=-1,REKAP[[#This Row],[Harga Satuan]]*REKAP[[#This Row],[Selisih]],0)</f>
        <v>0</v>
      </c>
    </row>
    <row r="1102" spans="1:20" x14ac:dyDescent="0.25">
      <c r="A1102" s="55" t="s">
        <v>1428</v>
      </c>
      <c r="B1102" s="55" t="s">
        <v>896</v>
      </c>
      <c r="C1102" s="55" t="s">
        <v>896</v>
      </c>
      <c r="D1102" s="56" t="s">
        <v>1960</v>
      </c>
      <c r="E1102" s="57"/>
      <c r="F1102" s="75" t="s">
        <v>898</v>
      </c>
      <c r="G1102" s="55"/>
      <c r="H1102" s="58">
        <v>26000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1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1</v>
      </c>
      <c r="P1102" s="55"/>
      <c r="Q1102" s="62">
        <f>REKAP[[#This Row],[Harga Satuan]]*REKAP[[#This Row],[Stok Akhir]]</f>
        <v>26000</v>
      </c>
      <c r="R1102" s="61">
        <f>IF(REKAP[[#This Row],[Stok Aktual]]&lt;&gt;"",REKAP[[#This Row],[Stok Aktual]]-REKAP[[#This Row],[Stok Akhir]],0)</f>
        <v>0</v>
      </c>
      <c r="S1102" s="132"/>
      <c r="T1102" s="137">
        <f>IF(REKAP[[#This Row],[Selisih]]&lt;=-1,REKAP[[#This Row],[Harga Satuan]]*REKAP[[#This Row],[Selisih]],0)</f>
        <v>0</v>
      </c>
    </row>
    <row r="1103" spans="1:20" x14ac:dyDescent="0.25">
      <c r="A1103" s="55" t="s">
        <v>1429</v>
      </c>
      <c r="B1103" s="55" t="s">
        <v>896</v>
      </c>
      <c r="C1103" s="55" t="s">
        <v>896</v>
      </c>
      <c r="D1103" s="56" t="s">
        <v>1961</v>
      </c>
      <c r="E1103" s="57"/>
      <c r="F1103" s="75" t="s">
        <v>898</v>
      </c>
      <c r="G1103" s="55"/>
      <c r="H1103" s="58"/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14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14</v>
      </c>
      <c r="P1103" s="55"/>
      <c r="Q1103" s="62">
        <f>REKAP[[#This Row],[Harga Satuan]]*REKAP[[#This Row],[Stok Akhir]]</f>
        <v>0</v>
      </c>
      <c r="R1103" s="61">
        <f>IF(REKAP[[#This Row],[Stok Aktual]]&lt;&gt;"",REKAP[[#This Row],[Stok Aktual]]-REKAP[[#This Row],[Stok Akhir]],0)</f>
        <v>0</v>
      </c>
      <c r="S1103" s="132"/>
      <c r="T1103" s="137">
        <f>IF(REKAP[[#This Row],[Selisih]]&lt;=-1,REKAP[[#This Row],[Harga Satuan]]*REKAP[[#This Row],[Selisih]],0)</f>
        <v>0</v>
      </c>
    </row>
    <row r="1104" spans="1:20" x14ac:dyDescent="0.25">
      <c r="A1104" s="55" t="s">
        <v>1430</v>
      </c>
      <c r="B1104" s="55" t="s">
        <v>896</v>
      </c>
      <c r="C1104" s="55" t="s">
        <v>896</v>
      </c>
      <c r="D1104" s="56" t="s">
        <v>1962</v>
      </c>
      <c r="E1104" s="57"/>
      <c r="F1104" s="75" t="s">
        <v>898</v>
      </c>
      <c r="G1104" s="55"/>
      <c r="H1104" s="58">
        <v>13000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</v>
      </c>
      <c r="P1104" s="55"/>
      <c r="Q1104" s="62">
        <f>REKAP[[#This Row],[Harga Satuan]]*REKAP[[#This Row],[Stok Akhir]]</f>
        <v>13000</v>
      </c>
      <c r="R1104" s="61">
        <f>IF(REKAP[[#This Row],[Stok Aktual]]&lt;&gt;"",REKAP[[#This Row],[Stok Aktual]]-REKAP[[#This Row],[Stok Akhir]],0)</f>
        <v>0</v>
      </c>
      <c r="S1104" s="132"/>
      <c r="T1104" s="137">
        <f>IF(REKAP[[#This Row],[Selisih]]&lt;=-1,REKAP[[#This Row],[Harga Satuan]]*REKAP[[#This Row],[Selisih]],0)</f>
        <v>0</v>
      </c>
    </row>
    <row r="1105" spans="1:20" x14ac:dyDescent="0.25">
      <c r="A1105" s="55" t="s">
        <v>1431</v>
      </c>
      <c r="B1105" s="55" t="s">
        <v>896</v>
      </c>
      <c r="C1105" s="55" t="s">
        <v>896</v>
      </c>
      <c r="D1105" s="56" t="s">
        <v>1963</v>
      </c>
      <c r="E1105" s="57"/>
      <c r="F1105" s="75" t="s">
        <v>898</v>
      </c>
      <c r="G1105" s="55"/>
      <c r="H1105" s="58">
        <v>13000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</v>
      </c>
      <c r="P1105" s="55"/>
      <c r="Q1105" s="62">
        <f>REKAP[[#This Row],[Harga Satuan]]*REKAP[[#This Row],[Stok Akhir]]</f>
        <v>13000</v>
      </c>
      <c r="R1105" s="61">
        <f>IF(REKAP[[#This Row],[Stok Aktual]]&lt;&gt;"",REKAP[[#This Row],[Stok Aktual]]-REKAP[[#This Row],[Stok Akhir]],0)</f>
        <v>0</v>
      </c>
      <c r="S1105" s="132"/>
      <c r="T1105" s="137">
        <f>IF(REKAP[[#This Row],[Selisih]]&lt;=-1,REKAP[[#This Row],[Harga Satuan]]*REKAP[[#This Row],[Selisih]],0)</f>
        <v>0</v>
      </c>
    </row>
    <row r="1106" spans="1:20" x14ac:dyDescent="0.25">
      <c r="A1106" s="55" t="s">
        <v>1432</v>
      </c>
      <c r="B1106" s="55" t="s">
        <v>896</v>
      </c>
      <c r="C1106" s="55" t="s">
        <v>896</v>
      </c>
      <c r="D1106" s="56" t="s">
        <v>1964</v>
      </c>
      <c r="E1106" s="57"/>
      <c r="F1106" s="75" t="s">
        <v>898</v>
      </c>
      <c r="G1106" s="55"/>
      <c r="H1106" s="58">
        <v>13000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1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1</v>
      </c>
      <c r="P1106" s="55"/>
      <c r="Q1106" s="62">
        <f>REKAP[[#This Row],[Harga Satuan]]*REKAP[[#This Row],[Stok Akhir]]</f>
        <v>13000</v>
      </c>
      <c r="R1106" s="61">
        <f>IF(REKAP[[#This Row],[Stok Aktual]]&lt;&gt;"",REKAP[[#This Row],[Stok Aktual]]-REKAP[[#This Row],[Stok Akhir]],0)</f>
        <v>0</v>
      </c>
      <c r="S1106" s="132"/>
      <c r="T1106" s="137">
        <f>IF(REKAP[[#This Row],[Selisih]]&lt;=-1,REKAP[[#This Row],[Harga Satuan]]*REKAP[[#This Row],[Selisih]],0)</f>
        <v>0</v>
      </c>
    </row>
    <row r="1107" spans="1:20" x14ac:dyDescent="0.25">
      <c r="A1107" s="55" t="s">
        <v>1433</v>
      </c>
      <c r="B1107" s="55" t="s">
        <v>3616</v>
      </c>
      <c r="C1107" s="55" t="s">
        <v>3616</v>
      </c>
      <c r="D1107" s="56" t="s">
        <v>1965</v>
      </c>
      <c r="E1107" s="57"/>
      <c r="F1107" s="75" t="s">
        <v>898</v>
      </c>
      <c r="G1107" s="55"/>
      <c r="H1107" s="58">
        <v>9930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0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0</v>
      </c>
      <c r="P1107" s="55"/>
      <c r="Q1107" s="62">
        <f>REKAP[[#This Row],[Harga Satuan]]*REKAP[[#This Row],[Stok Akhir]]</f>
        <v>0</v>
      </c>
      <c r="R1107" s="61">
        <f>IF(REKAP[[#This Row],[Stok Aktual]]&lt;&gt;"",REKAP[[#This Row],[Stok Aktual]]-REKAP[[#This Row],[Stok Akhir]],0)</f>
        <v>0</v>
      </c>
      <c r="S1107" s="132"/>
      <c r="T1107" s="137">
        <f>IF(REKAP[[#This Row],[Selisih]]&lt;=-1,REKAP[[#This Row],[Harga Satuan]]*REKAP[[#This Row],[Selisih]],0)</f>
        <v>0</v>
      </c>
    </row>
    <row r="1108" spans="1:20" x14ac:dyDescent="0.25">
      <c r="A1108" s="55" t="s">
        <v>1434</v>
      </c>
      <c r="B1108" s="55" t="s">
        <v>897</v>
      </c>
      <c r="C1108" s="55" t="s">
        <v>897</v>
      </c>
      <c r="D1108" s="56" t="s">
        <v>1966</v>
      </c>
      <c r="E1108" s="57"/>
      <c r="F1108" s="75" t="s">
        <v>898</v>
      </c>
      <c r="G1108" s="55"/>
      <c r="H1108" s="58">
        <v>7000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2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2</v>
      </c>
      <c r="P1108" s="55"/>
      <c r="Q1108" s="62">
        <f>REKAP[[#This Row],[Harga Satuan]]*REKAP[[#This Row],[Stok Akhir]]</f>
        <v>14000</v>
      </c>
      <c r="R1108" s="61">
        <f>IF(REKAP[[#This Row],[Stok Aktual]]&lt;&gt;"",REKAP[[#This Row],[Stok Aktual]]-REKAP[[#This Row],[Stok Akhir]],0)</f>
        <v>0</v>
      </c>
      <c r="S1108" s="132"/>
      <c r="T1108" s="137">
        <f>IF(REKAP[[#This Row],[Selisih]]&lt;=-1,REKAP[[#This Row],[Harga Satuan]]*REKAP[[#This Row],[Selisih]],0)</f>
        <v>0</v>
      </c>
    </row>
    <row r="1109" spans="1:20" x14ac:dyDescent="0.25">
      <c r="A1109" s="63" t="s">
        <v>3767</v>
      </c>
      <c r="B1109" s="55" t="s">
        <v>3768</v>
      </c>
      <c r="C1109" s="55"/>
      <c r="D1109" s="56" t="s">
        <v>3769</v>
      </c>
      <c r="E1109" s="57"/>
      <c r="F1109" s="75" t="s">
        <v>898</v>
      </c>
      <c r="G1109" s="55"/>
      <c r="H1109" s="58"/>
      <c r="I1109" s="59">
        <f>IF(COUNTIF(MASUK[Kode Barang],REKAP[[#This Row],[ID]])=0,0,COUNTIF(MASUK[Kode Barang],REKAP[[#This Row],[ID]]))</f>
        <v>1</v>
      </c>
      <c r="J1109" s="59">
        <f>IF(COUNTIF(MASUK8[Kode Barang],REKAP[[#This Row],[ID]])=0,0,COUNTIF(MASUK8[Kode Barang],REKAP[[#This Row],[ID]]))</f>
        <v>1</v>
      </c>
      <c r="K1109" s="60">
        <f>REKAP[[#This Row],[Trx In]]+REKAP[[#This Row],[Trx Out]]</f>
        <v>2</v>
      </c>
      <c r="L1109" s="55"/>
      <c r="M1109" s="74">
        <f>SUMIF(MASUK!$C:$C,REKAP[[#This Row],[ID]],MASUK!$H:$H)</f>
        <v>16</v>
      </c>
      <c r="N1109" s="74">
        <f>SUMIF(KELUAR!$C:$C,REKAP[[#This Row],[ID]],KELUAR!$H:$H)</f>
        <v>16</v>
      </c>
      <c r="O1109" s="74">
        <f>REKAP[[#This Row],[Stok Awal]]+REKAP[[#This Row],[Masuk]]-REKAP[[#This Row],[Keluar]]</f>
        <v>0</v>
      </c>
      <c r="P1109" s="55">
        <v>0</v>
      </c>
      <c r="Q1109" s="62">
        <f>REKAP[[#This Row],[Harga Satuan]]*REKAP[[#This Row],[Stok Akhir]]</f>
        <v>0</v>
      </c>
      <c r="R1109" s="61">
        <f>IF(REKAP[[#This Row],[Stok Aktual]]&lt;&gt;"",REKAP[[#This Row],[Stok Aktual]]-REKAP[[#This Row],[Stok Akhir]],0)</f>
        <v>0</v>
      </c>
      <c r="S1109" s="132"/>
      <c r="T1109" s="137">
        <f>IF(REKAP[[#This Row],[Selisih]]&lt;=-1,REKAP[[#This Row],[Harga Satuan]]*REKAP[[#This Row],[Selisih]],0)</f>
        <v>0</v>
      </c>
    </row>
    <row r="1110" spans="1:20" x14ac:dyDescent="0.25">
      <c r="A1110" s="63" t="s">
        <v>3788</v>
      </c>
      <c r="B1110" s="55" t="s">
        <v>3789</v>
      </c>
      <c r="C1110" s="55"/>
      <c r="D1110" s="56" t="s">
        <v>3790</v>
      </c>
      <c r="E1110" s="57"/>
      <c r="F1110" s="75" t="s">
        <v>898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4</v>
      </c>
      <c r="N1110" s="74">
        <f>SUMIF(KELUAR!$C:$C,REKAP[[#This Row],[ID]],KELUAR!$H:$H)</f>
        <v>4</v>
      </c>
      <c r="O1110" s="74">
        <f>REKAP[[#This Row],[Stok Awal]]+REKAP[[#This Row],[Masuk]]-REKAP[[#This Row],[Keluar]]</f>
        <v>0</v>
      </c>
      <c r="P1110" s="55">
        <v>0</v>
      </c>
      <c r="Q1110" s="62">
        <f>REKAP[[#This Row],[Harga Satuan]]*REKAP[[#This Row],[Stok Akhir]]</f>
        <v>0</v>
      </c>
      <c r="R1110" s="61">
        <f>IF(REKAP[[#This Row],[Stok Aktual]]&lt;&gt;"",REKAP[[#This Row],[Stok Aktual]]-REKAP[[#This Row],[Stok Akhir]],0)</f>
        <v>0</v>
      </c>
      <c r="S1110" s="132"/>
      <c r="T1110" s="137">
        <f>IF(REKAP[[#This Row],[Selisih]]&lt;=-1,REKAP[[#This Row],[Harga Satuan]]*REKAP[[#This Row],[Selisih]],0)</f>
        <v>0</v>
      </c>
    </row>
    <row r="1111" spans="1:20" x14ac:dyDescent="0.25">
      <c r="A1111" s="63" t="s">
        <v>3793</v>
      </c>
      <c r="B1111" s="55" t="s">
        <v>3794</v>
      </c>
      <c r="C1111" s="55"/>
      <c r="D1111" s="56" t="s">
        <v>3795</v>
      </c>
      <c r="E1111" s="57"/>
      <c r="F1111" s="75" t="s">
        <v>898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/>
      <c r="M1111" s="74">
        <f>SUMIF(MASUK!$C:$C,REKAP[[#This Row],[ID]],MASUK!$H:$H)</f>
        <v>6</v>
      </c>
      <c r="N1111" s="74">
        <f>SUMIF(KELUAR!$C:$C,REKAP[[#This Row],[ID]],KELUAR!$H:$H)</f>
        <v>6</v>
      </c>
      <c r="O1111" s="74">
        <f>REKAP[[#This Row],[Stok Awal]]+REKAP[[#This Row],[Masuk]]-REKAP[[#This Row],[Keluar]]</f>
        <v>0</v>
      </c>
      <c r="P1111" s="55">
        <v>0</v>
      </c>
      <c r="Q1111" s="62">
        <f>REKAP[[#This Row],[Harga Satuan]]*REKAP[[#This Row],[Stok Akhir]]</f>
        <v>0</v>
      </c>
      <c r="R1111" s="61">
        <f>IF(REKAP[[#This Row],[Stok Aktual]]&lt;&gt;"",REKAP[[#This Row],[Stok Aktual]]-REKAP[[#This Row],[Stok Akhir]],0)</f>
        <v>0</v>
      </c>
      <c r="S1111" s="132"/>
      <c r="T1111" s="137">
        <f>IF(REKAP[[#This Row],[Selisih]]&lt;=-1,REKAP[[#This Row],[Harga Satuan]]*REKAP[[#This Row],[Selisih]],0)</f>
        <v>0</v>
      </c>
    </row>
    <row r="1112" spans="1:20" x14ac:dyDescent="0.25">
      <c r="A1112" s="63" t="s">
        <v>3804</v>
      </c>
      <c r="B1112" s="55" t="s">
        <v>865</v>
      </c>
      <c r="C1112" s="55"/>
      <c r="D1112" s="56" t="s">
        <v>3805</v>
      </c>
      <c r="E1112" s="57"/>
      <c r="F1112" s="75" t="s">
        <v>898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2</v>
      </c>
      <c r="N1112" s="74">
        <f>SUMIF(KELUAR!$C:$C,REKAP[[#This Row],[ID]],KELUAR!$H:$H)</f>
        <v>2</v>
      </c>
      <c r="O1112" s="74">
        <f>REKAP[[#This Row],[Stok Awal]]+REKAP[[#This Row],[Masuk]]-REKAP[[#This Row],[Keluar]]</f>
        <v>0</v>
      </c>
      <c r="P1112" s="55">
        <v>0</v>
      </c>
      <c r="Q1112" s="62">
        <f>REKAP[[#This Row],[Harga Satuan]]*REKAP[[#This Row],[Stok Akhir]]</f>
        <v>0</v>
      </c>
      <c r="R1112" s="61">
        <f>IF(REKAP[[#This Row],[Stok Aktual]]&lt;&gt;"",REKAP[[#This Row],[Stok Aktual]]-REKAP[[#This Row],[Stok Akhir]],0)</f>
        <v>0</v>
      </c>
      <c r="S1112" s="132"/>
      <c r="T1112" s="137">
        <f>IF(REKAP[[#This Row],[Selisih]]&lt;=-1,REKAP[[#This Row],[Harga Satuan]]*REKAP[[#This Row],[Selisih]],0)</f>
        <v>0</v>
      </c>
    </row>
    <row r="1113" spans="1:20" x14ac:dyDescent="0.25">
      <c r="A1113" s="63" t="s">
        <v>3812</v>
      </c>
      <c r="B1113" s="55" t="s">
        <v>3813</v>
      </c>
      <c r="C1113" s="55"/>
      <c r="D1113" s="56" t="s">
        <v>3814</v>
      </c>
      <c r="E1113" s="57"/>
      <c r="F1113" s="75" t="s">
        <v>898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4</v>
      </c>
      <c r="N1113" s="74">
        <f>SUMIF(KELUAR!$C:$C,REKAP[[#This Row],[ID]],KELUAR!$H:$H)</f>
        <v>4</v>
      </c>
      <c r="O1113" s="74">
        <f>REKAP[[#This Row],[Stok Awal]]+REKAP[[#This Row],[Masuk]]-REKAP[[#This Row],[Keluar]]</f>
        <v>0</v>
      </c>
      <c r="P1113" s="55">
        <v>0</v>
      </c>
      <c r="Q1113" s="62">
        <f>REKAP[[#This Row],[Harga Satuan]]*REKAP[[#This Row],[Stok Akhir]]</f>
        <v>0</v>
      </c>
      <c r="R1113" s="61">
        <f>IF(REKAP[[#This Row],[Stok Aktual]]&lt;&gt;"",REKAP[[#This Row],[Stok Aktual]]-REKAP[[#This Row],[Stok Akhir]],0)</f>
        <v>0</v>
      </c>
      <c r="S1113" s="132"/>
      <c r="T1113" s="137">
        <f>IF(REKAP[[#This Row],[Selisih]]&lt;=-1,REKAP[[#This Row],[Harga Satuan]]*REKAP[[#This Row],[Selisih]],0)</f>
        <v>0</v>
      </c>
    </row>
    <row r="1114" spans="1:20" x14ac:dyDescent="0.25">
      <c r="A1114" s="63" t="s">
        <v>3815</v>
      </c>
      <c r="B1114" s="55" t="s">
        <v>3813</v>
      </c>
      <c r="C1114" s="55"/>
      <c r="D1114" s="56" t="s">
        <v>3816</v>
      </c>
      <c r="E1114" s="57"/>
      <c r="F1114" s="75" t="s">
        <v>898</v>
      </c>
      <c r="G1114" s="64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4</v>
      </c>
      <c r="O1114" s="74">
        <f>REKAP[[#This Row],[Stok Awal]]+REKAP[[#This Row],[Masuk]]-REKAP[[#This Row],[Keluar]]</f>
        <v>0</v>
      </c>
      <c r="P1114" s="55">
        <v>0</v>
      </c>
      <c r="Q1114" s="62">
        <f>REKAP[[#This Row],[Harga Satuan]]*REKAP[[#This Row],[Stok Akhir]]</f>
        <v>0</v>
      </c>
      <c r="R1114" s="61">
        <f>IF(REKAP[[#This Row],[Stok Aktual]]&lt;&gt;"",REKAP[[#This Row],[Stok Aktual]]-REKAP[[#This Row],[Stok Akhir]],0)</f>
        <v>0</v>
      </c>
      <c r="S1114" s="132"/>
      <c r="T1114" s="137">
        <f>IF(REKAP[[#This Row],[Selisih]]&lt;=-1,REKAP[[#This Row],[Harga Satuan]]*REKAP[[#This Row],[Selisih]],0)</f>
        <v>0</v>
      </c>
    </row>
    <row r="1115" spans="1:20" x14ac:dyDescent="0.25">
      <c r="A1115" s="63" t="s">
        <v>3817</v>
      </c>
      <c r="B1115" s="55" t="s">
        <v>3818</v>
      </c>
      <c r="C1115" s="55"/>
      <c r="D1115" s="56" t="s">
        <v>3819</v>
      </c>
      <c r="E1115" s="57"/>
      <c r="F1115" s="75" t="s">
        <v>898</v>
      </c>
      <c r="G1115" s="64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4</v>
      </c>
      <c r="N1115" s="74">
        <f>SUMIF(KELUAR!$C:$C,REKAP[[#This Row],[ID]],KELUAR!$H:$H)</f>
        <v>4</v>
      </c>
      <c r="O1115" s="74">
        <f>REKAP[[#This Row],[Stok Awal]]+REKAP[[#This Row],[Masuk]]-REKAP[[#This Row],[Keluar]]</f>
        <v>0</v>
      </c>
      <c r="P1115" s="55">
        <v>0</v>
      </c>
      <c r="Q1115" s="62">
        <f>REKAP[[#This Row],[Harga Satuan]]*REKAP[[#This Row],[Stok Akhir]]</f>
        <v>0</v>
      </c>
      <c r="R1115" s="61">
        <f>IF(REKAP[[#This Row],[Stok Aktual]]&lt;&gt;"",REKAP[[#This Row],[Stok Aktual]]-REKAP[[#This Row],[Stok Akhir]],0)</f>
        <v>0</v>
      </c>
      <c r="S1115" s="132"/>
      <c r="T1115" s="137">
        <f>IF(REKAP[[#This Row],[Selisih]]&lt;=-1,REKAP[[#This Row],[Harga Satuan]]*REKAP[[#This Row],[Selisih]],0)</f>
        <v>0</v>
      </c>
    </row>
    <row r="1116" spans="1:20" x14ac:dyDescent="0.25">
      <c r="A1116" s="55" t="s">
        <v>3316</v>
      </c>
      <c r="B1116" s="55" t="s">
        <v>3306</v>
      </c>
      <c r="C1116" s="55"/>
      <c r="D1116" s="56"/>
      <c r="E1116" s="57"/>
      <c r="F1116" s="75" t="s">
        <v>3619</v>
      </c>
      <c r="G1116" s="64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1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1</v>
      </c>
      <c r="P1116" s="55"/>
      <c r="Q1116" s="62">
        <f>REKAP[[#This Row],[Harga Satuan]]*REKAP[[#This Row],[Stok Akhir]]</f>
        <v>0</v>
      </c>
      <c r="R1116" s="61">
        <f>IF(REKAP[[#This Row],[Stok Aktual]]&lt;&gt;"",REKAP[[#This Row],[Stok Aktual]]-REKAP[[#This Row],[Stok Akhir]],0)</f>
        <v>0</v>
      </c>
      <c r="S1116" s="132"/>
      <c r="T1116" s="137">
        <f>IF(REKAP[[#This Row],[Selisih]]&lt;=-1,REKAP[[#This Row],[Harga Satuan]]*REKAP[[#This Row],[Selisih]],0)</f>
        <v>0</v>
      </c>
    </row>
    <row r="1117" spans="1:20" x14ac:dyDescent="0.25">
      <c r="A1117" s="55" t="s">
        <v>3317</v>
      </c>
      <c r="B1117" s="55" t="s">
        <v>3307</v>
      </c>
      <c r="C1117" s="55"/>
      <c r="D1117" s="56"/>
      <c r="E1117" s="57"/>
      <c r="F1117" s="75" t="s">
        <v>3619</v>
      </c>
      <c r="G1117" s="64"/>
      <c r="H1117" s="58">
        <v>95000</v>
      </c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3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3</v>
      </c>
      <c r="P1117" s="55"/>
      <c r="Q1117" s="62">
        <f>REKAP[[#This Row],[Harga Satuan]]*REKAP[[#This Row],[Stok Akhir]]</f>
        <v>285000</v>
      </c>
      <c r="R1117" s="61">
        <f>IF(REKAP[[#This Row],[Stok Aktual]]&lt;&gt;"",REKAP[[#This Row],[Stok Aktual]]-REKAP[[#This Row],[Stok Akhir]],0)</f>
        <v>0</v>
      </c>
      <c r="S1117" s="132"/>
      <c r="T1117" s="137">
        <f>IF(REKAP[[#This Row],[Selisih]]&lt;=-1,REKAP[[#This Row],[Harga Satuan]]*REKAP[[#This Row],[Selisih]],0)</f>
        <v>0</v>
      </c>
    </row>
    <row r="1118" spans="1:20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>
        <f>IF(REKAP[[#This Row],[Stok Aktual]]&lt;&gt;"",REKAP[[#This Row],[Stok Aktual]]-REKAP[[#This Row],[Stok Akhir]],0)</f>
        <v>0</v>
      </c>
      <c r="S1118" s="132"/>
      <c r="T1118" s="137">
        <f>IF(REKAP[[#This Row],[Selisih]]&lt;=-1,REKAP[[#This Row],[Harga Satuan]]*REKAP[[#This Row],[Selisih]],0)</f>
        <v>0</v>
      </c>
    </row>
    <row r="1119" spans="1:20" x14ac:dyDescent="0.25">
      <c r="A1119" s="55" t="s">
        <v>3319</v>
      </c>
      <c r="B1119" s="55" t="s">
        <v>3309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>
        <f>IF(REKAP[[#This Row],[Stok Aktual]]&lt;&gt;"",REKAP[[#This Row],[Stok Aktual]]-REKAP[[#This Row],[Stok Akhir]],0)</f>
        <v>0</v>
      </c>
      <c r="S1119" s="132"/>
      <c r="T1119" s="137">
        <f>IF(REKAP[[#This Row],[Selisih]]&lt;=-1,REKAP[[#This Row],[Harga Satuan]]*REKAP[[#This Row],[Selisih]],0)</f>
        <v>0</v>
      </c>
    </row>
    <row r="1120" spans="1:20" x14ac:dyDescent="0.25">
      <c r="A1120" s="55" t="s">
        <v>3320</v>
      </c>
      <c r="B1120" s="55" t="s">
        <v>3310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>
        <f>IF(REKAP[[#This Row],[Stok Aktual]]&lt;&gt;"",REKAP[[#This Row],[Stok Aktual]]-REKAP[[#This Row],[Stok Akhir]],0)</f>
        <v>0</v>
      </c>
      <c r="S1120" s="132"/>
      <c r="T1120" s="137">
        <f>IF(REKAP[[#This Row],[Selisih]]&lt;=-1,REKAP[[#This Row],[Harga Satuan]]*REKAP[[#This Row],[Selisih]],0)</f>
        <v>0</v>
      </c>
    </row>
    <row r="1121" spans="1:20" x14ac:dyDescent="0.25">
      <c r="A1121" s="55" t="s">
        <v>3321</v>
      </c>
      <c r="B1121" s="55" t="s">
        <v>3311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>
        <f>IF(REKAP[[#This Row],[Stok Aktual]]&lt;&gt;"",REKAP[[#This Row],[Stok Aktual]]-REKAP[[#This Row],[Stok Akhir]],0)</f>
        <v>0</v>
      </c>
      <c r="S1121" s="132"/>
      <c r="T1121" s="137">
        <f>IF(REKAP[[#This Row],[Selisih]]&lt;=-1,REKAP[[#This Row],[Harga Satuan]]*REKAP[[#This Row],[Selisih]],0)</f>
        <v>0</v>
      </c>
    </row>
    <row r="1122" spans="1:20" x14ac:dyDescent="0.25">
      <c r="A1122" s="55" t="s">
        <v>3322</v>
      </c>
      <c r="B1122" s="55" t="s">
        <v>3312</v>
      </c>
      <c r="C1122" s="55"/>
      <c r="D1122" s="56"/>
      <c r="E1122" s="57"/>
      <c r="F1122" s="75" t="s">
        <v>3619</v>
      </c>
      <c r="G1122" s="64"/>
      <c r="H1122" s="58"/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1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1</v>
      </c>
      <c r="P1122" s="55"/>
      <c r="Q1122" s="62">
        <f>REKAP[[#This Row],[Harga Satuan]]*REKAP[[#This Row],[Stok Akhir]]</f>
        <v>0</v>
      </c>
      <c r="R1122" s="61">
        <f>IF(REKAP[[#This Row],[Stok Aktual]]&lt;&gt;"",REKAP[[#This Row],[Stok Aktual]]-REKAP[[#This Row],[Stok Akhir]],0)</f>
        <v>0</v>
      </c>
      <c r="S1122" s="132"/>
      <c r="T1122" s="137">
        <f>IF(REKAP[[#This Row],[Selisih]]&lt;=-1,REKAP[[#This Row],[Harga Satuan]]*REKAP[[#This Row],[Selisih]],0)</f>
        <v>0</v>
      </c>
    </row>
    <row r="1123" spans="1:20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>
        <f>IF(REKAP[[#This Row],[Stok Aktual]]&lt;&gt;"",REKAP[[#This Row],[Stok Aktual]]-REKAP[[#This Row],[Stok Akhir]],0)</f>
        <v>0</v>
      </c>
      <c r="S1123" s="132"/>
      <c r="T1123" s="137">
        <f>IF(REKAP[[#This Row],[Selisih]]&lt;=-1,REKAP[[#This Row],[Harga Satuan]]*REKAP[[#This Row],[Selisih]],0)</f>
        <v>0</v>
      </c>
    </row>
    <row r="1124" spans="1:20" x14ac:dyDescent="0.25">
      <c r="A1124" s="55" t="s">
        <v>3324</v>
      </c>
      <c r="B1124" s="55" t="s">
        <v>3314</v>
      </c>
      <c r="C1124" s="55"/>
      <c r="D1124" s="56"/>
      <c r="E1124" s="57"/>
      <c r="F1124" s="75" t="s">
        <v>3619</v>
      </c>
      <c r="G1124" s="64"/>
      <c r="H1124" s="58">
        <v>30000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0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0</v>
      </c>
      <c r="P1124" s="55"/>
      <c r="Q1124" s="62">
        <f>REKAP[[#This Row],[Harga Satuan]]*REKAP[[#This Row],[Stok Akhir]]</f>
        <v>0</v>
      </c>
      <c r="R1124" s="61">
        <f>IF(REKAP[[#This Row],[Stok Aktual]]&lt;&gt;"",REKAP[[#This Row],[Stok Aktual]]-REKAP[[#This Row],[Stok Akhir]],0)</f>
        <v>0</v>
      </c>
      <c r="S1124" s="132"/>
      <c r="T1124" s="137">
        <f>IF(REKAP[[#This Row],[Selisih]]&lt;=-1,REKAP[[#This Row],[Harga Satuan]]*REKAP[[#This Row],[Selisih]],0)</f>
        <v>0</v>
      </c>
    </row>
    <row r="1125" spans="1:20" x14ac:dyDescent="0.25">
      <c r="A1125" s="55" t="s">
        <v>3325</v>
      </c>
      <c r="B1125" s="55" t="s">
        <v>3315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>
        <f>IF(REKAP[[#This Row],[Stok Aktual]]&lt;&gt;"",REKAP[[#This Row],[Stok Aktual]]-REKAP[[#This Row],[Stok Akhir]],0)</f>
        <v>0</v>
      </c>
      <c r="S1125" s="132"/>
      <c r="T1125" s="137">
        <f>IF(REKAP[[#This Row],[Selisih]]&lt;=-1,REKAP[[#This Row],[Harga Satuan]]*REKAP[[#This Row],[Selisih]],0)</f>
        <v>0</v>
      </c>
    </row>
    <row r="1126" spans="1:20" x14ac:dyDescent="0.25">
      <c r="A1126" s="55" t="s">
        <v>2563</v>
      </c>
      <c r="B1126" s="55" t="s">
        <v>3449</v>
      </c>
      <c r="C1126" s="55" t="s">
        <v>3449</v>
      </c>
      <c r="D1126" s="56" t="s">
        <v>1977</v>
      </c>
      <c r="E1126" s="57"/>
      <c r="F1126" s="75" t="s">
        <v>247</v>
      </c>
      <c r="G1126" s="64"/>
      <c r="H1126" s="58">
        <v>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2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2</v>
      </c>
      <c r="P1126" s="55"/>
      <c r="Q1126" s="62">
        <f>REKAP[[#This Row],[Harga Satuan]]*REKAP[[#This Row],[Stok Akhir]]</f>
        <v>0</v>
      </c>
      <c r="R1126" s="61">
        <f>IF(REKAP[[#This Row],[Stok Aktual]]&lt;&gt;"",REKAP[[#This Row],[Stok Aktual]]-REKAP[[#This Row],[Stok Akhir]],0)</f>
        <v>0</v>
      </c>
      <c r="S1126" s="132"/>
      <c r="T1126" s="137">
        <f>IF(REKAP[[#This Row],[Selisih]]&lt;=-1,REKAP[[#This Row],[Harga Satuan]]*REKAP[[#This Row],[Selisih]],0)</f>
        <v>0</v>
      </c>
    </row>
    <row r="1127" spans="1:20" x14ac:dyDescent="0.25">
      <c r="A1127" s="55" t="s">
        <v>2565</v>
      </c>
      <c r="B1127" s="55" t="s">
        <v>3530</v>
      </c>
      <c r="C1127" s="55" t="s">
        <v>3530</v>
      </c>
      <c r="D1127" s="56" t="s">
        <v>1978</v>
      </c>
      <c r="E1127" s="57"/>
      <c r="F1127" s="75" t="s">
        <v>247</v>
      </c>
      <c r="G1127" s="64" t="s">
        <v>1979</v>
      </c>
      <c r="H1127" s="58">
        <v>73300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10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10</v>
      </c>
      <c r="P1127" s="55"/>
      <c r="Q1127" s="62">
        <f>REKAP[[#This Row],[Harga Satuan]]*REKAP[[#This Row],[Stok Akhir]]</f>
        <v>733000</v>
      </c>
      <c r="R1127" s="61">
        <f>IF(REKAP[[#This Row],[Stok Aktual]]&lt;&gt;"",REKAP[[#This Row],[Stok Aktual]]-REKAP[[#This Row],[Stok Akhir]],0)</f>
        <v>0</v>
      </c>
      <c r="S1127" s="132"/>
      <c r="T1127" s="137">
        <f>IF(REKAP[[#This Row],[Selisih]]&lt;=-1,REKAP[[#This Row],[Harga Satuan]]*REKAP[[#This Row],[Selisih]],0)</f>
        <v>0</v>
      </c>
    </row>
    <row r="1128" spans="1:20" x14ac:dyDescent="0.25">
      <c r="A1128" s="55" t="s">
        <v>2564</v>
      </c>
      <c r="B1128" s="55" t="s">
        <v>3450</v>
      </c>
      <c r="C1128" s="55" t="s">
        <v>3450</v>
      </c>
      <c r="D1128" s="56" t="s">
        <v>1980</v>
      </c>
      <c r="E1128" s="57"/>
      <c r="F1128" s="75" t="s">
        <v>247</v>
      </c>
      <c r="G1128" s="64"/>
      <c r="H1128" s="58">
        <v>72000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11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11</v>
      </c>
      <c r="P1128" s="55"/>
      <c r="Q1128" s="62">
        <f>REKAP[[#This Row],[Harga Satuan]]*REKAP[[#This Row],[Stok Akhir]]</f>
        <v>792000</v>
      </c>
      <c r="R1128" s="61">
        <f>IF(REKAP[[#This Row],[Stok Aktual]]&lt;&gt;"",REKAP[[#This Row],[Stok Aktual]]-REKAP[[#This Row],[Stok Akhir]],0)</f>
        <v>0</v>
      </c>
      <c r="S1128" s="132"/>
      <c r="T1128" s="137">
        <f>IF(REKAP[[#This Row],[Selisih]]&lt;=-1,REKAP[[#This Row],[Harga Satuan]]*REKAP[[#This Row],[Selisih]],0)</f>
        <v>0</v>
      </c>
    </row>
    <row r="1129" spans="1:20" x14ac:dyDescent="0.25">
      <c r="A1129" s="55" t="s">
        <v>2566</v>
      </c>
      <c r="B1129" s="55" t="s">
        <v>3450</v>
      </c>
      <c r="C1129" s="55" t="s">
        <v>3450</v>
      </c>
      <c r="D1129" s="56" t="s">
        <v>1981</v>
      </c>
      <c r="E1129" s="57"/>
      <c r="F1129" s="75" t="s">
        <v>247</v>
      </c>
      <c r="G1129" s="64"/>
      <c r="H1129" s="58">
        <v>33019.199999999997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6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6</v>
      </c>
      <c r="P1129" s="55"/>
      <c r="Q1129" s="62">
        <f>REKAP[[#This Row],[Harga Satuan]]*REKAP[[#This Row],[Stok Akhir]]</f>
        <v>198115.19999999998</v>
      </c>
      <c r="R1129" s="61">
        <f>IF(REKAP[[#This Row],[Stok Aktual]]&lt;&gt;"",REKAP[[#This Row],[Stok Aktual]]-REKAP[[#This Row],[Stok Akhir]],0)</f>
        <v>0</v>
      </c>
      <c r="S1129" s="132"/>
      <c r="T1129" s="137">
        <f>IF(REKAP[[#This Row],[Selisih]]&lt;=-1,REKAP[[#This Row],[Harga Satuan]]*REKAP[[#This Row],[Selisih]],0)</f>
        <v>0</v>
      </c>
    </row>
    <row r="1130" spans="1:20" x14ac:dyDescent="0.25">
      <c r="A1130" s="55" t="s">
        <v>2567</v>
      </c>
      <c r="B1130" s="55" t="s">
        <v>3450</v>
      </c>
      <c r="C1130" s="55" t="s">
        <v>3450</v>
      </c>
      <c r="D1130" s="56" t="s">
        <v>1982</v>
      </c>
      <c r="E1130" s="57"/>
      <c r="F1130" s="75" t="s">
        <v>247</v>
      </c>
      <c r="G1130" s="64" t="s">
        <v>1983</v>
      </c>
      <c r="H1130" s="58">
        <v>332000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10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10</v>
      </c>
      <c r="P1130" s="55"/>
      <c r="Q1130" s="62">
        <f>REKAP[[#This Row],[Harga Satuan]]*REKAP[[#This Row],[Stok Akhir]]</f>
        <v>3320000</v>
      </c>
      <c r="R1130" s="61">
        <f>IF(REKAP[[#This Row],[Stok Aktual]]&lt;&gt;"",REKAP[[#This Row],[Stok Aktual]]-REKAP[[#This Row],[Stok Akhir]],0)</f>
        <v>0</v>
      </c>
      <c r="S1130" s="132"/>
      <c r="T1130" s="137">
        <f>IF(REKAP[[#This Row],[Selisih]]&lt;=-1,REKAP[[#This Row],[Harga Satuan]]*REKAP[[#This Row],[Selisih]],0)</f>
        <v>0</v>
      </c>
    </row>
    <row r="1131" spans="1:20" x14ac:dyDescent="0.25">
      <c r="A1131" s="55" t="s">
        <v>2568</v>
      </c>
      <c r="B1131" s="55" t="s">
        <v>3457</v>
      </c>
      <c r="C1131" s="55" t="s">
        <v>3457</v>
      </c>
      <c r="D1131" s="56" t="s">
        <v>1984</v>
      </c>
      <c r="E1131" s="57"/>
      <c r="F1131" s="75" t="s">
        <v>247</v>
      </c>
      <c r="G1131" s="64" t="s">
        <v>1985</v>
      </c>
      <c r="H1131" s="58">
        <v>92000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10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10</v>
      </c>
      <c r="P1131" s="55"/>
      <c r="Q1131" s="62">
        <f>REKAP[[#This Row],[Harga Satuan]]*REKAP[[#This Row],[Stok Akhir]]</f>
        <v>920000</v>
      </c>
      <c r="R1131" s="61">
        <f>IF(REKAP[[#This Row],[Stok Aktual]]&lt;&gt;"",REKAP[[#This Row],[Stok Aktual]]-REKAP[[#This Row],[Stok Akhir]],0)</f>
        <v>0</v>
      </c>
      <c r="S1131" s="132"/>
      <c r="T1131" s="137">
        <f>IF(REKAP[[#This Row],[Selisih]]&lt;=-1,REKAP[[#This Row],[Harga Satuan]]*REKAP[[#This Row],[Selisih]],0)</f>
        <v>0</v>
      </c>
    </row>
    <row r="1132" spans="1:20" x14ac:dyDescent="0.25">
      <c r="A1132" s="55" t="s">
        <v>2569</v>
      </c>
      <c r="B1132" s="55" t="s">
        <v>3457</v>
      </c>
      <c r="C1132" s="55" t="s">
        <v>3457</v>
      </c>
      <c r="D1132" s="56" t="s">
        <v>1986</v>
      </c>
      <c r="E1132" s="57"/>
      <c r="F1132" s="75" t="s">
        <v>247</v>
      </c>
      <c r="G1132" s="64" t="s">
        <v>1985</v>
      </c>
      <c r="H1132" s="58">
        <v>232000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5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5</v>
      </c>
      <c r="P1132" s="55"/>
      <c r="Q1132" s="62">
        <f>REKAP[[#This Row],[Harga Satuan]]*REKAP[[#This Row],[Stok Akhir]]</f>
        <v>1160000</v>
      </c>
      <c r="R1132" s="61">
        <f>IF(REKAP[[#This Row],[Stok Aktual]]&lt;&gt;"",REKAP[[#This Row],[Stok Aktual]]-REKAP[[#This Row],[Stok Akhir]],0)</f>
        <v>0</v>
      </c>
      <c r="S1132" s="132"/>
      <c r="T1132" s="137">
        <f>IF(REKAP[[#This Row],[Selisih]]&lt;=-1,REKAP[[#This Row],[Harga Satuan]]*REKAP[[#This Row],[Selisih]],0)</f>
        <v>0</v>
      </c>
    </row>
    <row r="1133" spans="1:20" x14ac:dyDescent="0.25">
      <c r="A1133" s="55" t="s">
        <v>2570</v>
      </c>
      <c r="B1133" s="55" t="s">
        <v>3457</v>
      </c>
      <c r="C1133" s="55" t="s">
        <v>3457</v>
      </c>
      <c r="D1133" s="56" t="s">
        <v>1987</v>
      </c>
      <c r="E1133" s="57"/>
      <c r="F1133" s="75" t="s">
        <v>247</v>
      </c>
      <c r="G1133" s="64" t="s">
        <v>1985</v>
      </c>
      <c r="H1133" s="58">
        <v>232000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5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5</v>
      </c>
      <c r="P1133" s="55"/>
      <c r="Q1133" s="62">
        <f>REKAP[[#This Row],[Harga Satuan]]*REKAP[[#This Row],[Stok Akhir]]</f>
        <v>1160000</v>
      </c>
      <c r="R1133" s="61">
        <f>IF(REKAP[[#This Row],[Stok Aktual]]&lt;&gt;"",REKAP[[#This Row],[Stok Aktual]]-REKAP[[#This Row],[Stok Akhir]],0)</f>
        <v>0</v>
      </c>
      <c r="S1133" s="132"/>
      <c r="T1133" s="137">
        <f>IF(REKAP[[#This Row],[Selisih]]&lt;=-1,REKAP[[#This Row],[Harga Satuan]]*REKAP[[#This Row],[Selisih]],0)</f>
        <v>0</v>
      </c>
    </row>
    <row r="1134" spans="1:20" x14ac:dyDescent="0.25">
      <c r="A1134" s="55" t="s">
        <v>2571</v>
      </c>
      <c r="B1134" s="55" t="s">
        <v>3451</v>
      </c>
      <c r="C1134" s="55" t="s">
        <v>3451</v>
      </c>
      <c r="D1134" s="56"/>
      <c r="E1134" s="57"/>
      <c r="F1134" s="75" t="s">
        <v>247</v>
      </c>
      <c r="G1134" s="64"/>
      <c r="H1134" s="58">
        <v>70400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8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8</v>
      </c>
      <c r="P1134" s="55"/>
      <c r="Q1134" s="62">
        <f>REKAP[[#This Row],[Harga Satuan]]*REKAP[[#This Row],[Stok Akhir]]</f>
        <v>563200</v>
      </c>
      <c r="R1134" s="61">
        <f>IF(REKAP[[#This Row],[Stok Aktual]]&lt;&gt;"",REKAP[[#This Row],[Stok Aktual]]-REKAP[[#This Row],[Stok Akhir]],0)</f>
        <v>0</v>
      </c>
      <c r="S1134" s="132"/>
      <c r="T1134" s="137">
        <f>IF(REKAP[[#This Row],[Selisih]]&lt;=-1,REKAP[[#This Row],[Harga Satuan]]*REKAP[[#This Row],[Selisih]],0)</f>
        <v>0</v>
      </c>
    </row>
    <row r="1135" spans="1:20" x14ac:dyDescent="0.25">
      <c r="A1135" s="55" t="s">
        <v>2572</v>
      </c>
      <c r="B1135" s="55" t="s">
        <v>3451</v>
      </c>
      <c r="C1135" s="55" t="s">
        <v>3451</v>
      </c>
      <c r="D1135" s="56" t="s">
        <v>1988</v>
      </c>
      <c r="E1135" s="57"/>
      <c r="F1135" s="75" t="s">
        <v>247</v>
      </c>
      <c r="G1135" s="64" t="s">
        <v>1989</v>
      </c>
      <c r="H1135" s="58">
        <v>99000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8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8</v>
      </c>
      <c r="P1135" s="55"/>
      <c r="Q1135" s="62">
        <f>REKAP[[#This Row],[Harga Satuan]]*REKAP[[#This Row],[Stok Akhir]]</f>
        <v>792000</v>
      </c>
      <c r="R1135" s="61">
        <f>IF(REKAP[[#This Row],[Stok Aktual]]&lt;&gt;"",REKAP[[#This Row],[Stok Aktual]]-REKAP[[#This Row],[Stok Akhir]],0)</f>
        <v>0</v>
      </c>
      <c r="S1135" s="132"/>
      <c r="T1135" s="137">
        <f>IF(REKAP[[#This Row],[Selisih]]&lt;=-1,REKAP[[#This Row],[Harga Satuan]]*REKAP[[#This Row],[Selisih]],0)</f>
        <v>0</v>
      </c>
    </row>
    <row r="1136" spans="1:20" x14ac:dyDescent="0.25">
      <c r="A1136" s="55" t="s">
        <v>2573</v>
      </c>
      <c r="B1136" s="55" t="s">
        <v>3452</v>
      </c>
      <c r="C1136" s="55" t="s">
        <v>3452</v>
      </c>
      <c r="D1136" s="56" t="s">
        <v>1990</v>
      </c>
      <c r="E1136" s="57"/>
      <c r="F1136" s="75" t="s">
        <v>247</v>
      </c>
      <c r="G1136" s="64" t="s">
        <v>1991</v>
      </c>
      <c r="H1136" s="58">
        <v>78000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16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16</v>
      </c>
      <c r="P1136" s="55"/>
      <c r="Q1136" s="62">
        <f>REKAP[[#This Row],[Harga Satuan]]*REKAP[[#This Row],[Stok Akhir]]</f>
        <v>1248000</v>
      </c>
      <c r="R1136" s="61">
        <f>IF(REKAP[[#This Row],[Stok Aktual]]&lt;&gt;"",REKAP[[#This Row],[Stok Aktual]]-REKAP[[#This Row],[Stok Akhir]],0)</f>
        <v>0</v>
      </c>
      <c r="S1136" s="132"/>
      <c r="T1136" s="137">
        <f>IF(REKAP[[#This Row],[Selisih]]&lt;=-1,REKAP[[#This Row],[Harga Satuan]]*REKAP[[#This Row],[Selisih]],0)</f>
        <v>0</v>
      </c>
    </row>
    <row r="1137" spans="1:20" x14ac:dyDescent="0.25">
      <c r="A1137" s="55" t="s">
        <v>2574</v>
      </c>
      <c r="B1137" s="55" t="s">
        <v>3452</v>
      </c>
      <c r="C1137" s="55" t="s">
        <v>3452</v>
      </c>
      <c r="D1137" s="56" t="s">
        <v>1992</v>
      </c>
      <c r="E1137" s="57"/>
      <c r="F1137" s="75" t="s">
        <v>247</v>
      </c>
      <c r="G1137" s="64" t="s">
        <v>1991</v>
      </c>
      <c r="H1137" s="58">
        <v>70550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20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20</v>
      </c>
      <c r="P1137" s="55"/>
      <c r="Q1137" s="62">
        <f>REKAP[[#This Row],[Harga Satuan]]*REKAP[[#This Row],[Stok Akhir]]</f>
        <v>1411000</v>
      </c>
      <c r="R1137" s="61">
        <f>IF(REKAP[[#This Row],[Stok Aktual]]&lt;&gt;"",REKAP[[#This Row],[Stok Aktual]]-REKAP[[#This Row],[Stok Akhir]],0)</f>
        <v>0</v>
      </c>
      <c r="S1137" s="132"/>
      <c r="T1137" s="137">
        <f>IF(REKAP[[#This Row],[Selisih]]&lt;=-1,REKAP[[#This Row],[Harga Satuan]]*REKAP[[#This Row],[Selisih]],0)</f>
        <v>0</v>
      </c>
    </row>
    <row r="1138" spans="1:20" x14ac:dyDescent="0.25">
      <c r="A1138" s="55" t="s">
        <v>2575</v>
      </c>
      <c r="B1138" s="55" t="s">
        <v>3530</v>
      </c>
      <c r="C1138" s="55" t="s">
        <v>3530</v>
      </c>
      <c r="D1138" s="56" t="s">
        <v>1993</v>
      </c>
      <c r="E1138" s="57"/>
      <c r="F1138" s="75" t="s">
        <v>247</v>
      </c>
      <c r="G1138" s="64" t="s">
        <v>1979</v>
      </c>
      <c r="H1138" s="58">
        <v>63300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>
        <f>IF(REKAP[[#This Row],[Stok Aktual]]&lt;&gt;"",REKAP[[#This Row],[Stok Aktual]]-REKAP[[#This Row],[Stok Akhir]],0)</f>
        <v>0</v>
      </c>
      <c r="S1138" s="132"/>
      <c r="T1138" s="137">
        <f>IF(REKAP[[#This Row],[Selisih]]&lt;=-1,REKAP[[#This Row],[Harga Satuan]]*REKAP[[#This Row],[Selisih]],0)</f>
        <v>0</v>
      </c>
    </row>
    <row r="1139" spans="1:20" x14ac:dyDescent="0.25">
      <c r="A1139" s="55" t="s">
        <v>2576</v>
      </c>
      <c r="B1139" s="55" t="s">
        <v>3530</v>
      </c>
      <c r="C1139" s="55" t="s">
        <v>3530</v>
      </c>
      <c r="D1139" s="56" t="s">
        <v>1994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11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11</v>
      </c>
      <c r="P1139" s="55"/>
      <c r="Q1139" s="62">
        <f>REKAP[[#This Row],[Harga Satuan]]*REKAP[[#This Row],[Stok Akhir]]</f>
        <v>696300</v>
      </c>
      <c r="R1139" s="61">
        <f>IF(REKAP[[#This Row],[Stok Aktual]]&lt;&gt;"",REKAP[[#This Row],[Stok Aktual]]-REKAP[[#This Row],[Stok Akhir]],0)</f>
        <v>0</v>
      </c>
      <c r="S1139" s="132"/>
      <c r="T1139" s="137">
        <f>IF(REKAP[[#This Row],[Selisih]]&lt;=-1,REKAP[[#This Row],[Harga Satuan]]*REKAP[[#This Row],[Selisih]],0)</f>
        <v>0</v>
      </c>
    </row>
    <row r="1140" spans="1:20" x14ac:dyDescent="0.25">
      <c r="A1140" s="55" t="s">
        <v>2577</v>
      </c>
      <c r="B1140" s="55" t="s">
        <v>3453</v>
      </c>
      <c r="C1140" s="55" t="s">
        <v>3453</v>
      </c>
      <c r="D1140" s="56" t="s">
        <v>1995</v>
      </c>
      <c r="E1140" s="57"/>
      <c r="F1140" s="75" t="s">
        <v>247</v>
      </c>
      <c r="G1140" s="64" t="s">
        <v>249</v>
      </c>
      <c r="H1140" s="58">
        <v>70000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15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15</v>
      </c>
      <c r="P1140" s="55"/>
      <c r="Q1140" s="62">
        <f>REKAP[[#This Row],[Harga Satuan]]*REKAP[[#This Row],[Stok Akhir]]</f>
        <v>1050000</v>
      </c>
      <c r="R1140" s="61">
        <f>IF(REKAP[[#This Row],[Stok Aktual]]&lt;&gt;"",REKAP[[#This Row],[Stok Aktual]]-REKAP[[#This Row],[Stok Akhir]],0)</f>
        <v>0</v>
      </c>
      <c r="S1140" s="132"/>
      <c r="T1140" s="137">
        <f>IF(REKAP[[#This Row],[Selisih]]&lt;=-1,REKAP[[#This Row],[Harga Satuan]]*REKAP[[#This Row],[Selisih]],0)</f>
        <v>0</v>
      </c>
    </row>
    <row r="1141" spans="1:20" x14ac:dyDescent="0.25">
      <c r="A1141" s="55" t="s">
        <v>2578</v>
      </c>
      <c r="B1141" s="55" t="s">
        <v>3453</v>
      </c>
      <c r="C1141" s="55" t="s">
        <v>3453</v>
      </c>
      <c r="D1141" s="56" t="s">
        <v>1996</v>
      </c>
      <c r="E1141" s="57"/>
      <c r="F1141" s="75" t="s">
        <v>247</v>
      </c>
      <c r="G1141" s="64" t="s">
        <v>249</v>
      </c>
      <c r="H1141" s="58">
        <v>76000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8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8</v>
      </c>
      <c r="P1141" s="55"/>
      <c r="Q1141" s="62">
        <f>REKAP[[#This Row],[Harga Satuan]]*REKAP[[#This Row],[Stok Akhir]]</f>
        <v>608000</v>
      </c>
      <c r="R1141" s="61">
        <f>IF(REKAP[[#This Row],[Stok Aktual]]&lt;&gt;"",REKAP[[#This Row],[Stok Aktual]]-REKAP[[#This Row],[Stok Akhir]],0)</f>
        <v>0</v>
      </c>
      <c r="S1141" s="132"/>
      <c r="T1141" s="137">
        <f>IF(REKAP[[#This Row],[Selisih]]&lt;=-1,REKAP[[#This Row],[Harga Satuan]]*REKAP[[#This Row],[Selisih]],0)</f>
        <v>0</v>
      </c>
    </row>
    <row r="1142" spans="1:20" x14ac:dyDescent="0.25">
      <c r="A1142" s="55" t="s">
        <v>2579</v>
      </c>
      <c r="B1142" s="55" t="s">
        <v>3454</v>
      </c>
      <c r="C1142" s="55" t="s">
        <v>3454</v>
      </c>
      <c r="D1142" s="56" t="s">
        <v>1997</v>
      </c>
      <c r="E1142" s="57"/>
      <c r="F1142" s="75" t="s">
        <v>247</v>
      </c>
      <c r="G1142" s="64" t="s">
        <v>1998</v>
      </c>
      <c r="H1142" s="58">
        <v>123250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14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14</v>
      </c>
      <c r="P1142" s="55"/>
      <c r="Q1142" s="62">
        <f>REKAP[[#This Row],[Harga Satuan]]*REKAP[[#This Row],[Stok Akhir]]</f>
        <v>1725500</v>
      </c>
      <c r="R1142" s="61">
        <f>IF(REKAP[[#This Row],[Stok Aktual]]&lt;&gt;"",REKAP[[#This Row],[Stok Aktual]]-REKAP[[#This Row],[Stok Akhir]],0)</f>
        <v>0</v>
      </c>
      <c r="S1142" s="132"/>
      <c r="T1142" s="137">
        <f>IF(REKAP[[#This Row],[Selisih]]&lt;=-1,REKAP[[#This Row],[Harga Satuan]]*REKAP[[#This Row],[Selisih]],0)</f>
        <v>0</v>
      </c>
    </row>
    <row r="1143" spans="1:20" x14ac:dyDescent="0.25">
      <c r="A1143" s="55" t="s">
        <v>2580</v>
      </c>
      <c r="B1143" s="55" t="s">
        <v>3455</v>
      </c>
      <c r="C1143" s="55" t="s">
        <v>3455</v>
      </c>
      <c r="D1143" s="56" t="s">
        <v>1999</v>
      </c>
      <c r="E1143" s="57"/>
      <c r="F1143" s="75" t="s">
        <v>247</v>
      </c>
      <c r="G1143" s="64"/>
      <c r="H1143" s="58">
        <v>60000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>
        <f>IF(REKAP[[#This Row],[Stok Aktual]]&lt;&gt;"",REKAP[[#This Row],[Stok Aktual]]-REKAP[[#This Row],[Stok Akhir]],0)</f>
        <v>0</v>
      </c>
      <c r="S1143" s="132"/>
      <c r="T1143" s="137">
        <f>IF(REKAP[[#This Row],[Selisih]]&lt;=-1,REKAP[[#This Row],[Harga Satuan]]*REKAP[[#This Row],[Selisih]],0)</f>
        <v>0</v>
      </c>
    </row>
    <row r="1144" spans="1:20" x14ac:dyDescent="0.25">
      <c r="A1144" s="55" t="s">
        <v>2581</v>
      </c>
      <c r="B1144" s="55" t="s">
        <v>3455</v>
      </c>
      <c r="C1144" s="55" t="s">
        <v>3455</v>
      </c>
      <c r="D1144" s="56" t="s">
        <v>2000</v>
      </c>
      <c r="E1144" s="57"/>
      <c r="F1144" s="75" t="s">
        <v>247</v>
      </c>
      <c r="G1144" s="64" t="s">
        <v>2001</v>
      </c>
      <c r="H1144" s="58">
        <v>23500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12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12</v>
      </c>
      <c r="P1144" s="55"/>
      <c r="Q1144" s="62">
        <f>REKAP[[#This Row],[Harga Satuan]]*REKAP[[#This Row],[Stok Akhir]]</f>
        <v>282000</v>
      </c>
      <c r="R1144" s="61">
        <f>IF(REKAP[[#This Row],[Stok Aktual]]&lt;&gt;"",REKAP[[#This Row],[Stok Aktual]]-REKAP[[#This Row],[Stok Akhir]],0)</f>
        <v>0</v>
      </c>
      <c r="S1144" s="132"/>
      <c r="T1144" s="137">
        <f>IF(REKAP[[#This Row],[Selisih]]&lt;=-1,REKAP[[#This Row],[Harga Satuan]]*REKAP[[#This Row],[Selisih]],0)</f>
        <v>0</v>
      </c>
    </row>
    <row r="1145" spans="1:20" x14ac:dyDescent="0.25">
      <c r="A1145" s="55" t="s">
        <v>2582</v>
      </c>
      <c r="B1145" s="55" t="s">
        <v>3456</v>
      </c>
      <c r="C1145" s="55" t="s">
        <v>3456</v>
      </c>
      <c r="D1145" s="56" t="s">
        <v>2002</v>
      </c>
      <c r="E1145" s="57"/>
      <c r="F1145" s="75" t="s">
        <v>247</v>
      </c>
      <c r="G1145" s="64"/>
      <c r="H1145" s="58">
        <v>130000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3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3</v>
      </c>
      <c r="P1145" s="55"/>
      <c r="Q1145" s="62">
        <f>REKAP[[#This Row],[Harga Satuan]]*REKAP[[#This Row],[Stok Akhir]]</f>
        <v>390000</v>
      </c>
      <c r="R1145" s="61">
        <f>IF(REKAP[[#This Row],[Stok Aktual]]&lt;&gt;"",REKAP[[#This Row],[Stok Aktual]]-REKAP[[#This Row],[Stok Akhir]],0)</f>
        <v>0</v>
      </c>
      <c r="S1145" s="132"/>
      <c r="T1145" s="137">
        <f>IF(REKAP[[#This Row],[Selisih]]&lt;=-1,REKAP[[#This Row],[Harga Satuan]]*REKAP[[#This Row],[Selisih]],0)</f>
        <v>0</v>
      </c>
    </row>
    <row r="1146" spans="1:20" x14ac:dyDescent="0.25">
      <c r="A1146" s="55" t="s">
        <v>2583</v>
      </c>
      <c r="B1146" s="55" t="s">
        <v>3456</v>
      </c>
      <c r="C1146" s="55" t="s">
        <v>3456</v>
      </c>
      <c r="D1146" s="56" t="s">
        <v>2003</v>
      </c>
      <c r="E1146" s="57"/>
      <c r="F1146" s="75" t="s">
        <v>247</v>
      </c>
      <c r="G1146" s="64"/>
      <c r="H1146" s="58">
        <v>33500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1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1</v>
      </c>
      <c r="P1146" s="55"/>
      <c r="Q1146" s="62">
        <f>REKAP[[#This Row],[Harga Satuan]]*REKAP[[#This Row],[Stok Akhir]]</f>
        <v>33500</v>
      </c>
      <c r="R1146" s="61">
        <f>IF(REKAP[[#This Row],[Stok Aktual]]&lt;&gt;"",REKAP[[#This Row],[Stok Aktual]]-REKAP[[#This Row],[Stok Akhir]],0)</f>
        <v>0</v>
      </c>
      <c r="S1146" s="132"/>
      <c r="T1146" s="137">
        <f>IF(REKAP[[#This Row],[Selisih]]&lt;=-1,REKAP[[#This Row],[Harga Satuan]]*REKAP[[#This Row],[Selisih]],0)</f>
        <v>0</v>
      </c>
    </row>
    <row r="1147" spans="1:20" x14ac:dyDescent="0.25">
      <c r="A1147" s="55" t="s">
        <v>2584</v>
      </c>
      <c r="B1147" s="55" t="s">
        <v>3456</v>
      </c>
      <c r="C1147" s="55" t="s">
        <v>3456</v>
      </c>
      <c r="D1147" s="56" t="s">
        <v>2004</v>
      </c>
      <c r="E1147" s="57"/>
      <c r="F1147" s="75" t="s">
        <v>247</v>
      </c>
      <c r="G1147" s="64"/>
      <c r="H1147" s="58">
        <v>130000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</v>
      </c>
      <c r="P1147" s="55"/>
      <c r="Q1147" s="62">
        <f>REKAP[[#This Row],[Harga Satuan]]*REKAP[[#This Row],[Stok Akhir]]</f>
        <v>130000</v>
      </c>
      <c r="R1147" s="61">
        <f>IF(REKAP[[#This Row],[Stok Aktual]]&lt;&gt;"",REKAP[[#This Row],[Stok Aktual]]-REKAP[[#This Row],[Stok Akhir]],0)</f>
        <v>0</v>
      </c>
      <c r="S1147" s="132"/>
      <c r="T1147" s="137">
        <f>IF(REKAP[[#This Row],[Selisih]]&lt;=-1,REKAP[[#This Row],[Harga Satuan]]*REKAP[[#This Row],[Selisih]],0)</f>
        <v>0</v>
      </c>
    </row>
    <row r="1148" spans="1:20" x14ac:dyDescent="0.25">
      <c r="A1148" s="55" t="s">
        <v>2585</v>
      </c>
      <c r="B1148" s="55" t="s">
        <v>3456</v>
      </c>
      <c r="C1148" s="55" t="s">
        <v>3456</v>
      </c>
      <c r="D1148" s="56" t="s">
        <v>2005</v>
      </c>
      <c r="E1148" s="57"/>
      <c r="F1148" s="75" t="s">
        <v>247</v>
      </c>
      <c r="G1148" s="64"/>
      <c r="H1148" s="58">
        <v>60000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4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4</v>
      </c>
      <c r="P1148" s="55"/>
      <c r="Q1148" s="62">
        <f>REKAP[[#This Row],[Harga Satuan]]*REKAP[[#This Row],[Stok Akhir]]</f>
        <v>240000</v>
      </c>
      <c r="R1148" s="61">
        <f>IF(REKAP[[#This Row],[Stok Aktual]]&lt;&gt;"",REKAP[[#This Row],[Stok Aktual]]-REKAP[[#This Row],[Stok Akhir]],0)</f>
        <v>0</v>
      </c>
      <c r="S1148" s="132"/>
      <c r="T1148" s="137">
        <f>IF(REKAP[[#This Row],[Selisih]]&lt;=-1,REKAP[[#This Row],[Harga Satuan]]*REKAP[[#This Row],[Selisih]],0)</f>
        <v>0</v>
      </c>
    </row>
    <row r="1149" spans="1:20" x14ac:dyDescent="0.25">
      <c r="A1149" s="55" t="s">
        <v>2586</v>
      </c>
      <c r="B1149" s="55" t="s">
        <v>3460</v>
      </c>
      <c r="C1149" s="55" t="s">
        <v>3459</v>
      </c>
      <c r="D1149" s="56" t="s">
        <v>2006</v>
      </c>
      <c r="E1149" s="57"/>
      <c r="F1149" s="75" t="s">
        <v>247</v>
      </c>
      <c r="G1149" s="64" t="s">
        <v>3578</v>
      </c>
      <c r="H1149" s="58">
        <v>90200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0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0</v>
      </c>
      <c r="P1149" s="55"/>
      <c r="Q1149" s="62">
        <f>REKAP[[#This Row],[Harga Satuan]]*REKAP[[#This Row],[Stok Akhir]]</f>
        <v>0</v>
      </c>
      <c r="R1149" s="61">
        <f>IF(REKAP[[#This Row],[Stok Aktual]]&lt;&gt;"",REKAP[[#This Row],[Stok Aktual]]-REKAP[[#This Row],[Stok Akhir]],0)</f>
        <v>0</v>
      </c>
      <c r="S1149" s="132"/>
      <c r="T1149" s="137">
        <f>IF(REKAP[[#This Row],[Selisih]]&lt;=-1,REKAP[[#This Row],[Harga Satuan]]*REKAP[[#This Row],[Selisih]],0)</f>
        <v>0</v>
      </c>
    </row>
    <row r="1150" spans="1:20" x14ac:dyDescent="0.25">
      <c r="A1150" s="55" t="s">
        <v>2587</v>
      </c>
      <c r="B1150" s="55" t="s">
        <v>3460</v>
      </c>
      <c r="C1150" s="55" t="s">
        <v>3459</v>
      </c>
      <c r="D1150" s="56" t="s">
        <v>2007</v>
      </c>
      <c r="E1150" s="57"/>
      <c r="F1150" s="75" t="s">
        <v>247</v>
      </c>
      <c r="G1150" s="64" t="s">
        <v>3578</v>
      </c>
      <c r="H1150" s="58">
        <v>25000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0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0</v>
      </c>
      <c r="P1150" s="55"/>
      <c r="Q1150" s="62">
        <f>REKAP[[#This Row],[Harga Satuan]]*REKAP[[#This Row],[Stok Akhir]]</f>
        <v>0</v>
      </c>
      <c r="R1150" s="61">
        <f>IF(REKAP[[#This Row],[Stok Aktual]]&lt;&gt;"",REKAP[[#This Row],[Stok Aktual]]-REKAP[[#This Row],[Stok Akhir]],0)</f>
        <v>0</v>
      </c>
      <c r="S1150" s="132"/>
      <c r="T1150" s="137">
        <f>IF(REKAP[[#This Row],[Selisih]]&lt;=-1,REKAP[[#This Row],[Harga Satuan]]*REKAP[[#This Row],[Selisih]],0)</f>
        <v>0</v>
      </c>
    </row>
    <row r="1151" spans="1:20" x14ac:dyDescent="0.25">
      <c r="A1151" s="55" t="s">
        <v>2588</v>
      </c>
      <c r="B1151" s="55" t="s">
        <v>3460</v>
      </c>
      <c r="C1151" s="55" t="s">
        <v>3459</v>
      </c>
      <c r="D1151" s="56" t="s">
        <v>2008</v>
      </c>
      <c r="E1151" s="57"/>
      <c r="F1151" s="75" t="s">
        <v>247</v>
      </c>
      <c r="G1151" s="64" t="s">
        <v>3578</v>
      </c>
      <c r="H1151" s="58">
        <v>90200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0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0</v>
      </c>
      <c r="P1151" s="55"/>
      <c r="Q1151" s="62">
        <f>REKAP[[#This Row],[Harga Satuan]]*REKAP[[#This Row],[Stok Akhir]]</f>
        <v>0</v>
      </c>
      <c r="R1151" s="61">
        <f>IF(REKAP[[#This Row],[Stok Aktual]]&lt;&gt;"",REKAP[[#This Row],[Stok Aktual]]-REKAP[[#This Row],[Stok Akhir]],0)</f>
        <v>0</v>
      </c>
      <c r="S1151" s="132"/>
      <c r="T1151" s="137">
        <f>IF(REKAP[[#This Row],[Selisih]]&lt;=-1,REKAP[[#This Row],[Harga Satuan]]*REKAP[[#This Row],[Selisih]],0)</f>
        <v>0</v>
      </c>
    </row>
    <row r="1152" spans="1:20" x14ac:dyDescent="0.25">
      <c r="A1152" s="55" t="s">
        <v>2589</v>
      </c>
      <c r="B1152" s="55" t="s">
        <v>2009</v>
      </c>
      <c r="C1152" s="55" t="s">
        <v>2009</v>
      </c>
      <c r="D1152" s="56" t="s">
        <v>2010</v>
      </c>
      <c r="E1152" s="57"/>
      <c r="F1152" s="75" t="s">
        <v>247</v>
      </c>
      <c r="G1152" s="64" t="s">
        <v>2011</v>
      </c>
      <c r="H1152" s="58">
        <v>1700000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>
        <f>IF(REKAP[[#This Row],[Stok Aktual]]&lt;&gt;"",REKAP[[#This Row],[Stok Aktual]]-REKAP[[#This Row],[Stok Akhir]],0)</f>
        <v>0</v>
      </c>
      <c r="S1152" s="132"/>
      <c r="T1152" s="137">
        <f>IF(REKAP[[#This Row],[Selisih]]&lt;=-1,REKAP[[#This Row],[Harga Satuan]]*REKAP[[#This Row],[Selisih]],0)</f>
        <v>0</v>
      </c>
    </row>
    <row r="1153" spans="1:20" x14ac:dyDescent="0.25">
      <c r="A1153" s="55" t="s">
        <v>2590</v>
      </c>
      <c r="B1153" s="55" t="s">
        <v>2012</v>
      </c>
      <c r="C1153" s="55" t="s">
        <v>2012</v>
      </c>
      <c r="D1153" s="56" t="s">
        <v>2013</v>
      </c>
      <c r="E1153" s="57"/>
      <c r="F1153" s="75" t="s">
        <v>247</v>
      </c>
      <c r="G1153" s="64" t="s">
        <v>828</v>
      </c>
      <c r="H1153" s="58">
        <v>145000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2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2</v>
      </c>
      <c r="P1153" s="55"/>
      <c r="Q1153" s="62">
        <f>REKAP[[#This Row],[Harga Satuan]]*REKAP[[#This Row],[Stok Akhir]]</f>
        <v>290000</v>
      </c>
      <c r="R1153" s="61">
        <f>IF(REKAP[[#This Row],[Stok Aktual]]&lt;&gt;"",REKAP[[#This Row],[Stok Aktual]]-REKAP[[#This Row],[Stok Akhir]],0)</f>
        <v>0</v>
      </c>
      <c r="S1153" s="132"/>
      <c r="T1153" s="137">
        <f>IF(REKAP[[#This Row],[Selisih]]&lt;=-1,REKAP[[#This Row],[Harga Satuan]]*REKAP[[#This Row],[Selisih]],0)</f>
        <v>0</v>
      </c>
    </row>
    <row r="1154" spans="1:20" x14ac:dyDescent="0.25">
      <c r="A1154" s="55" t="s">
        <v>2591</v>
      </c>
      <c r="B1154" s="55" t="s">
        <v>2014</v>
      </c>
      <c r="C1154" s="55" t="s">
        <v>2014</v>
      </c>
      <c r="D1154" s="56" t="s">
        <v>2015</v>
      </c>
      <c r="E1154" s="57"/>
      <c r="F1154" s="75" t="s">
        <v>247</v>
      </c>
      <c r="G1154" s="64"/>
      <c r="H1154" s="58">
        <v>200000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1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1</v>
      </c>
      <c r="P1154" s="55"/>
      <c r="Q1154" s="62">
        <f>REKAP[[#This Row],[Harga Satuan]]*REKAP[[#This Row],[Stok Akhir]]</f>
        <v>200000</v>
      </c>
      <c r="R1154" s="61">
        <f>IF(REKAP[[#This Row],[Stok Aktual]]&lt;&gt;"",REKAP[[#This Row],[Stok Aktual]]-REKAP[[#This Row],[Stok Akhir]],0)</f>
        <v>0</v>
      </c>
      <c r="S1154" s="132"/>
      <c r="T1154" s="137">
        <f>IF(REKAP[[#This Row],[Selisih]]&lt;=-1,REKAP[[#This Row],[Harga Satuan]]*REKAP[[#This Row],[Selisih]],0)</f>
        <v>0</v>
      </c>
    </row>
    <row r="1155" spans="1:20" x14ac:dyDescent="0.25">
      <c r="A1155" s="55" t="s">
        <v>2592</v>
      </c>
      <c r="B1155" s="55" t="s">
        <v>2016</v>
      </c>
      <c r="C1155" s="55" t="s">
        <v>2016</v>
      </c>
      <c r="D1155" s="56" t="s">
        <v>2017</v>
      </c>
      <c r="E1155" s="57"/>
      <c r="F1155" s="75" t="s">
        <v>247</v>
      </c>
      <c r="G1155" s="64"/>
      <c r="H1155" s="58">
        <v>925500</v>
      </c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1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1</v>
      </c>
      <c r="P1155" s="55"/>
      <c r="Q1155" s="62">
        <f>REKAP[[#This Row],[Harga Satuan]]*REKAP[[#This Row],[Stok Akhir]]</f>
        <v>925500</v>
      </c>
      <c r="R1155" s="61">
        <f>IF(REKAP[[#This Row],[Stok Aktual]]&lt;&gt;"",REKAP[[#This Row],[Stok Aktual]]-REKAP[[#This Row],[Stok Akhir]],0)</f>
        <v>0</v>
      </c>
      <c r="S1155" s="132"/>
      <c r="T1155" s="137">
        <f>IF(REKAP[[#This Row],[Selisih]]&lt;=-1,REKAP[[#This Row],[Harga Satuan]]*REKAP[[#This Row],[Selisih]],0)</f>
        <v>0</v>
      </c>
    </row>
    <row r="1156" spans="1:20" x14ac:dyDescent="0.25">
      <c r="A1156" s="55" t="s">
        <v>2593</v>
      </c>
      <c r="B1156" s="55" t="s">
        <v>3527</v>
      </c>
      <c r="C1156" s="55" t="s">
        <v>3527</v>
      </c>
      <c r="D1156" s="56" t="s">
        <v>2018</v>
      </c>
      <c r="E1156" s="57"/>
      <c r="F1156" s="75" t="s">
        <v>247</v>
      </c>
      <c r="G1156" s="64"/>
      <c r="H1156" s="58">
        <v>302000</v>
      </c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>
        <f>IF(REKAP[[#This Row],[Stok Aktual]]&lt;&gt;"",REKAP[[#This Row],[Stok Aktual]]-REKAP[[#This Row],[Stok Akhir]],0)</f>
        <v>0</v>
      </c>
      <c r="S1156" s="132"/>
      <c r="T1156" s="137">
        <f>IF(REKAP[[#This Row],[Selisih]]&lt;=-1,REKAP[[#This Row],[Harga Satuan]]*REKAP[[#This Row],[Selisih]],0)</f>
        <v>0</v>
      </c>
    </row>
    <row r="1157" spans="1:20" x14ac:dyDescent="0.25">
      <c r="A1157" s="55" t="s">
        <v>2594</v>
      </c>
      <c r="B1157" s="55" t="s">
        <v>3461</v>
      </c>
      <c r="C1157" s="55" t="s">
        <v>3461</v>
      </c>
      <c r="D1157" s="56" t="s">
        <v>248</v>
      </c>
      <c r="E1157" s="57"/>
      <c r="F1157" s="75" t="s">
        <v>247</v>
      </c>
      <c r="G1157" s="64" t="s">
        <v>249</v>
      </c>
      <c r="H1157" s="58">
        <v>494000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0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0</v>
      </c>
      <c r="P1157" s="55"/>
      <c r="Q1157" s="62">
        <f>REKAP[[#This Row],[Harga Satuan]]*REKAP[[#This Row],[Stok Akhir]]</f>
        <v>0</v>
      </c>
      <c r="R1157" s="61">
        <f>IF(REKAP[[#This Row],[Stok Aktual]]&lt;&gt;"",REKAP[[#This Row],[Stok Aktual]]-REKAP[[#This Row],[Stok Akhir]],0)</f>
        <v>0</v>
      </c>
      <c r="S1157" s="132"/>
      <c r="T1157" s="137">
        <f>IF(REKAP[[#This Row],[Selisih]]&lt;=-1,REKAP[[#This Row],[Harga Satuan]]*REKAP[[#This Row],[Selisih]],0)</f>
        <v>0</v>
      </c>
    </row>
    <row r="1158" spans="1:20" x14ac:dyDescent="0.25">
      <c r="A1158" s="55" t="s">
        <v>2595</v>
      </c>
      <c r="B1158" s="55" t="s">
        <v>3461</v>
      </c>
      <c r="C1158" s="55" t="s">
        <v>3461</v>
      </c>
      <c r="D1158" s="56" t="s">
        <v>2019</v>
      </c>
      <c r="E1158" s="57"/>
      <c r="F1158" s="75" t="s">
        <v>247</v>
      </c>
      <c r="G1158" s="64" t="s">
        <v>249</v>
      </c>
      <c r="H1158" s="58">
        <v>429000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>
        <f>IF(REKAP[[#This Row],[Stok Aktual]]&lt;&gt;"",REKAP[[#This Row],[Stok Aktual]]-REKAP[[#This Row],[Stok Akhir]],0)</f>
        <v>0</v>
      </c>
      <c r="S1158" s="132"/>
      <c r="T1158" s="137">
        <f>IF(REKAP[[#This Row],[Selisih]]&lt;=-1,REKAP[[#This Row],[Harga Satuan]]*REKAP[[#This Row],[Selisih]],0)</f>
        <v>0</v>
      </c>
    </row>
    <row r="1159" spans="1:20" x14ac:dyDescent="0.25">
      <c r="A1159" s="55" t="s">
        <v>2596</v>
      </c>
      <c r="B1159" s="55" t="s">
        <v>3461</v>
      </c>
      <c r="C1159" s="55" t="s">
        <v>3461</v>
      </c>
      <c r="D1159" s="56" t="s">
        <v>2020</v>
      </c>
      <c r="E1159" s="57"/>
      <c r="F1159" s="75" t="s">
        <v>247</v>
      </c>
      <c r="G1159" s="64" t="s">
        <v>249</v>
      </c>
      <c r="H1159" s="58">
        <v>320000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0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0</v>
      </c>
      <c r="P1159" s="55"/>
      <c r="Q1159" s="62">
        <f>REKAP[[#This Row],[Harga Satuan]]*REKAP[[#This Row],[Stok Akhir]]</f>
        <v>0</v>
      </c>
      <c r="R1159" s="61">
        <f>IF(REKAP[[#This Row],[Stok Aktual]]&lt;&gt;"",REKAP[[#This Row],[Stok Aktual]]-REKAP[[#This Row],[Stok Akhir]],0)</f>
        <v>0</v>
      </c>
      <c r="S1159" s="132"/>
      <c r="T1159" s="137">
        <f>IF(REKAP[[#This Row],[Selisih]]&lt;=-1,REKAP[[#This Row],[Harga Satuan]]*REKAP[[#This Row],[Selisih]],0)</f>
        <v>0</v>
      </c>
    </row>
    <row r="1160" spans="1:20" x14ac:dyDescent="0.25">
      <c r="A1160" s="55" t="s">
        <v>2597</v>
      </c>
      <c r="B1160" s="55" t="s">
        <v>3462</v>
      </c>
      <c r="C1160" s="55" t="s">
        <v>3462</v>
      </c>
      <c r="D1160" s="56" t="s">
        <v>2021</v>
      </c>
      <c r="E1160" s="57"/>
      <c r="F1160" s="75" t="s">
        <v>247</v>
      </c>
      <c r="G1160" s="64" t="s">
        <v>249</v>
      </c>
      <c r="H1160" s="58">
        <v>396000</v>
      </c>
      <c r="I1160" s="59">
        <f>IF(COUNTIF(MASUK[Kode Barang],REKAP[[#This Row],[ID]])=0,0,COUNTIF(MASUK[Kode Barang],REKAP[[#This Row],[ID]]))</f>
        <v>0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0</v>
      </c>
      <c r="L1160" s="55">
        <v>2</v>
      </c>
      <c r="M1160" s="74">
        <f>SUMIF(MASUK!$C:$C,REKAP[[#This Row],[ID]],MASUK!$H:$H)</f>
        <v>0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/>
      <c r="Q1160" s="62">
        <f>REKAP[[#This Row],[Harga Satuan]]*REKAP[[#This Row],[Stok Akhir]]</f>
        <v>792000</v>
      </c>
      <c r="R1160" s="61">
        <f>IF(REKAP[[#This Row],[Stok Aktual]]&lt;&gt;"",REKAP[[#This Row],[Stok Aktual]]-REKAP[[#This Row],[Stok Akhir]],0)</f>
        <v>0</v>
      </c>
      <c r="S1160" s="132"/>
      <c r="T1160" s="137">
        <f>IF(REKAP[[#This Row],[Selisih]]&lt;=-1,REKAP[[#This Row],[Harga Satuan]]*REKAP[[#This Row],[Selisih]],0)</f>
        <v>0</v>
      </c>
    </row>
    <row r="1161" spans="1:20" x14ac:dyDescent="0.25">
      <c r="A1161" s="55" t="s">
        <v>2598</v>
      </c>
      <c r="B1161" s="55" t="s">
        <v>3463</v>
      </c>
      <c r="C1161" s="55" t="s">
        <v>3463</v>
      </c>
      <c r="D1161" s="56" t="s">
        <v>2022</v>
      </c>
      <c r="E1161" s="57"/>
      <c r="F1161" s="75" t="s">
        <v>247</v>
      </c>
      <c r="G1161" s="64" t="s">
        <v>249</v>
      </c>
      <c r="H1161" s="58">
        <v>423000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2</v>
      </c>
      <c r="K1161" s="60">
        <f>REKAP[[#This Row],[Trx In]]+REKAP[[#This Row],[Trx Out]]</f>
        <v>3</v>
      </c>
      <c r="L1161" s="55">
        <v>2</v>
      </c>
      <c r="M1161" s="74">
        <f>SUMIF(MASUK!$C:$C,REKAP[[#This Row],[ID]],MASUK!$H:$H)</f>
        <v>2</v>
      </c>
      <c r="N1161" s="74">
        <f>SUMIF(KELUAR!$C:$C,REKAP[[#This Row],[ID]],KELUAR!$H:$H)</f>
        <v>2</v>
      </c>
      <c r="O1161" s="74">
        <f>REKAP[[#This Row],[Stok Awal]]+REKAP[[#This Row],[Masuk]]-REKAP[[#This Row],[Keluar]]</f>
        <v>2</v>
      </c>
      <c r="P1161" s="55">
        <v>2</v>
      </c>
      <c r="Q1161" s="62">
        <f>REKAP[[#This Row],[Harga Satuan]]*REKAP[[#This Row],[Stok Akhir]]</f>
        <v>846000</v>
      </c>
      <c r="R1161" s="61">
        <f>IF(REKAP[[#This Row],[Stok Aktual]]&lt;&gt;"",REKAP[[#This Row],[Stok Aktual]]-REKAP[[#This Row],[Stok Akhir]],0)</f>
        <v>0</v>
      </c>
      <c r="S1161" s="132"/>
      <c r="T1161" s="137">
        <f>IF(REKAP[[#This Row],[Selisih]]&lt;=-1,REKAP[[#This Row],[Harga Satuan]]*REKAP[[#This Row],[Selisih]],0)</f>
        <v>0</v>
      </c>
    </row>
    <row r="1162" spans="1:20" x14ac:dyDescent="0.25">
      <c r="A1162" s="55" t="s">
        <v>2599</v>
      </c>
      <c r="B1162" s="55" t="s">
        <v>3461</v>
      </c>
      <c r="C1162" s="55" t="s">
        <v>3461</v>
      </c>
      <c r="D1162" s="56" t="s">
        <v>3746</v>
      </c>
      <c r="E1162" s="57"/>
      <c r="F1162" s="75" t="s">
        <v>247</v>
      </c>
      <c r="G1162" s="64" t="s">
        <v>249</v>
      </c>
      <c r="H1162" s="58">
        <v>710000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0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0</v>
      </c>
      <c r="P1162" s="55"/>
      <c r="Q1162" s="62">
        <f>REKAP[[#This Row],[Harga Satuan]]*REKAP[[#This Row],[Stok Akhir]]</f>
        <v>0</v>
      </c>
      <c r="R1162" s="61">
        <f>IF(REKAP[[#This Row],[Stok Aktual]]&lt;&gt;"",REKAP[[#This Row],[Stok Aktual]]-REKAP[[#This Row],[Stok Akhir]],0)</f>
        <v>0</v>
      </c>
      <c r="S1162" s="132"/>
      <c r="T1162" s="137">
        <f>IF(REKAP[[#This Row],[Selisih]]&lt;=-1,REKAP[[#This Row],[Harga Satuan]]*REKAP[[#This Row],[Selisih]],0)</f>
        <v>0</v>
      </c>
    </row>
    <row r="1163" spans="1:20" x14ac:dyDescent="0.25">
      <c r="A1163" s="55" t="s">
        <v>2600</v>
      </c>
      <c r="B1163" s="55" t="s">
        <v>3461</v>
      </c>
      <c r="C1163" s="55" t="s">
        <v>3461</v>
      </c>
      <c r="D1163" s="56" t="s">
        <v>3747</v>
      </c>
      <c r="E1163" s="57"/>
      <c r="F1163" s="75" t="s">
        <v>247</v>
      </c>
      <c r="G1163" s="64" t="s">
        <v>249</v>
      </c>
      <c r="H1163" s="58">
        <v>861000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>
        <f>IF(REKAP[[#This Row],[Stok Aktual]]&lt;&gt;"",REKAP[[#This Row],[Stok Aktual]]-REKAP[[#This Row],[Stok Akhir]],0)</f>
        <v>0</v>
      </c>
      <c r="S1163" s="132"/>
      <c r="T1163" s="137">
        <f>IF(REKAP[[#This Row],[Selisih]]&lt;=-1,REKAP[[#This Row],[Harga Satuan]]*REKAP[[#This Row],[Selisih]],0)</f>
        <v>0</v>
      </c>
    </row>
    <row r="1164" spans="1:20" x14ac:dyDescent="0.25">
      <c r="A1164" s="55" t="s">
        <v>2601</v>
      </c>
      <c r="B1164" s="55" t="s">
        <v>3464</v>
      </c>
      <c r="C1164" s="55" t="s">
        <v>3464</v>
      </c>
      <c r="D1164" s="56" t="s">
        <v>3748</v>
      </c>
      <c r="E1164" s="57"/>
      <c r="F1164" s="75" t="s">
        <v>247</v>
      </c>
      <c r="G1164" s="64" t="s">
        <v>249</v>
      </c>
      <c r="H1164" s="58">
        <v>423000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2</v>
      </c>
      <c r="K1164" s="60">
        <f>REKAP[[#This Row],[Trx In]]+REKAP[[#This Row],[Trx Out]]</f>
        <v>2</v>
      </c>
      <c r="L1164" s="55">
        <v>2</v>
      </c>
      <c r="M1164" s="74">
        <f>SUMIF(MASUK!$C:$C,REKAP[[#This Row],[ID]],MASUK!$H:$H)</f>
        <v>0</v>
      </c>
      <c r="N1164" s="74">
        <f>SUMIF(KELUAR!$C:$C,REKAP[[#This Row],[ID]],KELUAR!$H:$H)</f>
        <v>2</v>
      </c>
      <c r="O1164" s="74">
        <f>REKAP[[#This Row],[Stok Awal]]+REKAP[[#This Row],[Masuk]]-REKAP[[#This Row],[Keluar]]</f>
        <v>0</v>
      </c>
      <c r="P1164" s="55">
        <v>0</v>
      </c>
      <c r="Q1164" s="62">
        <f>REKAP[[#This Row],[Harga Satuan]]*REKAP[[#This Row],[Stok Akhir]]</f>
        <v>0</v>
      </c>
      <c r="R1164" s="61">
        <f>IF(REKAP[[#This Row],[Stok Aktual]]&lt;&gt;"",REKAP[[#This Row],[Stok Aktual]]-REKAP[[#This Row],[Stok Akhir]],0)</f>
        <v>0</v>
      </c>
      <c r="S1164" s="132"/>
      <c r="T1164" s="137">
        <f>IF(REKAP[[#This Row],[Selisih]]&lt;=-1,REKAP[[#This Row],[Harga Satuan]]*REKAP[[#This Row],[Selisih]],0)</f>
        <v>0</v>
      </c>
    </row>
    <row r="1165" spans="1:20" x14ac:dyDescent="0.25">
      <c r="A1165" s="55" t="s">
        <v>2602</v>
      </c>
      <c r="B1165" s="55" t="s">
        <v>3465</v>
      </c>
      <c r="C1165" s="55" t="s">
        <v>3465</v>
      </c>
      <c r="D1165" s="56" t="s">
        <v>2023</v>
      </c>
      <c r="E1165" s="57"/>
      <c r="F1165" s="75" t="s">
        <v>247</v>
      </c>
      <c r="G1165" s="64" t="s">
        <v>249</v>
      </c>
      <c r="H1165" s="58">
        <v>423000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2</v>
      </c>
      <c r="L1165" s="55">
        <v>1</v>
      </c>
      <c r="M1165" s="74">
        <f>SUMIF(MASUK!$C:$C,REKAP[[#This Row],[ID]],MASUK!$H:$H)</f>
        <v>2</v>
      </c>
      <c r="N1165" s="74">
        <f>SUMIF(KELUAR!$C:$C,REKAP[[#This Row],[ID]],KELUAR!$H:$H)</f>
        <v>1</v>
      </c>
      <c r="O1165" s="74">
        <f>REKAP[[#This Row],[Stok Awal]]+REKAP[[#This Row],[Masuk]]-REKAP[[#This Row],[Keluar]]</f>
        <v>2</v>
      </c>
      <c r="P1165" s="55">
        <v>2</v>
      </c>
      <c r="Q1165" s="62">
        <f>REKAP[[#This Row],[Harga Satuan]]*REKAP[[#This Row],[Stok Akhir]]</f>
        <v>846000</v>
      </c>
      <c r="R1165" s="61">
        <f>IF(REKAP[[#This Row],[Stok Aktual]]&lt;&gt;"",REKAP[[#This Row],[Stok Aktual]]-REKAP[[#This Row],[Stok Akhir]],0)</f>
        <v>0</v>
      </c>
      <c r="S1165" s="132"/>
      <c r="T1165" s="137">
        <f>IF(REKAP[[#This Row],[Selisih]]&lt;=-1,REKAP[[#This Row],[Harga Satuan]]*REKAP[[#This Row],[Selisih]],0)</f>
        <v>0</v>
      </c>
    </row>
    <row r="1166" spans="1:20" x14ac:dyDescent="0.25">
      <c r="A1166" s="55" t="s">
        <v>2603</v>
      </c>
      <c r="B1166" s="55" t="s">
        <v>3466</v>
      </c>
      <c r="C1166" s="55" t="s">
        <v>3466</v>
      </c>
      <c r="D1166" s="56" t="s">
        <v>2024</v>
      </c>
      <c r="E1166" s="57"/>
      <c r="F1166" s="75" t="s">
        <v>247</v>
      </c>
      <c r="G1166" s="64" t="s">
        <v>249</v>
      </c>
      <c r="H1166" s="58">
        <v>423000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1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1</v>
      </c>
      <c r="P1166" s="55"/>
      <c r="Q1166" s="62">
        <f>REKAP[[#This Row],[Harga Satuan]]*REKAP[[#This Row],[Stok Akhir]]</f>
        <v>423000</v>
      </c>
      <c r="R1166" s="61">
        <f>IF(REKAP[[#This Row],[Stok Aktual]]&lt;&gt;"",REKAP[[#This Row],[Stok Aktual]]-REKAP[[#This Row],[Stok Akhir]],0)</f>
        <v>0</v>
      </c>
      <c r="S1166" s="132"/>
      <c r="T1166" s="137">
        <f>IF(REKAP[[#This Row],[Selisih]]&lt;=-1,REKAP[[#This Row],[Harga Satuan]]*REKAP[[#This Row],[Selisih]],0)</f>
        <v>0</v>
      </c>
    </row>
    <row r="1167" spans="1:20" x14ac:dyDescent="0.25">
      <c r="A1167" s="55" t="s">
        <v>2604</v>
      </c>
      <c r="B1167" s="55" t="s">
        <v>3467</v>
      </c>
      <c r="C1167" s="55" t="s">
        <v>3467</v>
      </c>
      <c r="D1167" s="56" t="s">
        <v>2025</v>
      </c>
      <c r="E1167" s="57"/>
      <c r="F1167" s="75" t="s">
        <v>247</v>
      </c>
      <c r="G1167" s="64" t="s">
        <v>249</v>
      </c>
      <c r="H1167" s="58">
        <v>756000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40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40</v>
      </c>
      <c r="P1167" s="55"/>
      <c r="Q1167" s="62">
        <f>REKAP[[#This Row],[Harga Satuan]]*REKAP[[#This Row],[Stok Akhir]]</f>
        <v>30240000</v>
      </c>
      <c r="R1167" s="61">
        <f>IF(REKAP[[#This Row],[Stok Aktual]]&lt;&gt;"",REKAP[[#This Row],[Stok Aktual]]-REKAP[[#This Row],[Stok Akhir]],0)</f>
        <v>0</v>
      </c>
      <c r="S1167" s="132"/>
      <c r="T1167" s="137">
        <f>IF(REKAP[[#This Row],[Selisih]]&lt;=-1,REKAP[[#This Row],[Harga Satuan]]*REKAP[[#This Row],[Selisih]],0)</f>
        <v>0</v>
      </c>
    </row>
    <row r="1168" spans="1:20" x14ac:dyDescent="0.25">
      <c r="A1168" s="55" t="s">
        <v>2605</v>
      </c>
      <c r="B1168" s="55" t="s">
        <v>3468</v>
      </c>
      <c r="C1168" s="55" t="s">
        <v>3468</v>
      </c>
      <c r="D1168" s="56" t="s">
        <v>2026</v>
      </c>
      <c r="E1168" s="57"/>
      <c r="F1168" s="75" t="s">
        <v>247</v>
      </c>
      <c r="G1168" s="64" t="s">
        <v>249</v>
      </c>
      <c r="H1168" s="58">
        <v>1331000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2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2</v>
      </c>
      <c r="P1168" s="55"/>
      <c r="Q1168" s="62">
        <f>REKAP[[#This Row],[Harga Satuan]]*REKAP[[#This Row],[Stok Akhir]]</f>
        <v>2662000</v>
      </c>
      <c r="R1168" s="61">
        <f>IF(REKAP[[#This Row],[Stok Aktual]]&lt;&gt;"",REKAP[[#This Row],[Stok Aktual]]-REKAP[[#This Row],[Stok Akhir]],0)</f>
        <v>0</v>
      </c>
      <c r="S1168" s="132"/>
      <c r="T1168" s="137">
        <f>IF(REKAP[[#This Row],[Selisih]]&lt;=-1,REKAP[[#This Row],[Harga Satuan]]*REKAP[[#This Row],[Selisih]],0)</f>
        <v>0</v>
      </c>
    </row>
    <row r="1169" spans="1:20" x14ac:dyDescent="0.25">
      <c r="A1169" s="55" t="s">
        <v>2606</v>
      </c>
      <c r="B1169" s="55" t="s">
        <v>3469</v>
      </c>
      <c r="C1169" s="55" t="s">
        <v>3469</v>
      </c>
      <c r="D1169" s="56" t="s">
        <v>2027</v>
      </c>
      <c r="E1169" s="57"/>
      <c r="F1169" s="75" t="s">
        <v>247</v>
      </c>
      <c r="G1169" s="64" t="s">
        <v>249</v>
      </c>
      <c r="H1169" s="58">
        <v>1523000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2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2</v>
      </c>
      <c r="P1169" s="55"/>
      <c r="Q1169" s="62">
        <f>REKAP[[#This Row],[Harga Satuan]]*REKAP[[#This Row],[Stok Akhir]]</f>
        <v>3046000</v>
      </c>
      <c r="R1169" s="61">
        <f>IF(REKAP[[#This Row],[Stok Aktual]]&lt;&gt;"",REKAP[[#This Row],[Stok Aktual]]-REKAP[[#This Row],[Stok Akhir]],0)</f>
        <v>0</v>
      </c>
      <c r="S1169" s="132"/>
      <c r="T1169" s="137">
        <f>IF(REKAP[[#This Row],[Selisih]]&lt;=-1,REKAP[[#This Row],[Harga Satuan]]*REKAP[[#This Row],[Selisih]],0)</f>
        <v>0</v>
      </c>
    </row>
    <row r="1170" spans="1:20" x14ac:dyDescent="0.25">
      <c r="A1170" s="55" t="s">
        <v>2607</v>
      </c>
      <c r="B1170" s="55" t="s">
        <v>3470</v>
      </c>
      <c r="C1170" s="55" t="s">
        <v>3470</v>
      </c>
      <c r="D1170" s="56" t="s">
        <v>2028</v>
      </c>
      <c r="E1170" s="57"/>
      <c r="F1170" s="75" t="s">
        <v>247</v>
      </c>
      <c r="G1170" s="64" t="s">
        <v>2029</v>
      </c>
      <c r="H1170" s="58">
        <v>525000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0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0</v>
      </c>
      <c r="P1170" s="55"/>
      <c r="Q1170" s="62">
        <f>REKAP[[#This Row],[Harga Satuan]]*REKAP[[#This Row],[Stok Akhir]]</f>
        <v>0</v>
      </c>
      <c r="R1170" s="61">
        <f>IF(REKAP[[#This Row],[Stok Aktual]]&lt;&gt;"",REKAP[[#This Row],[Stok Aktual]]-REKAP[[#This Row],[Stok Akhir]],0)</f>
        <v>0</v>
      </c>
      <c r="S1170" s="132"/>
      <c r="T1170" s="137">
        <f>IF(REKAP[[#This Row],[Selisih]]&lt;=-1,REKAP[[#This Row],[Harga Satuan]]*REKAP[[#This Row],[Selisih]],0)</f>
        <v>0</v>
      </c>
    </row>
    <row r="1171" spans="1:20" x14ac:dyDescent="0.25">
      <c r="A1171" s="55" t="s">
        <v>2608</v>
      </c>
      <c r="B1171" s="55" t="s">
        <v>3471</v>
      </c>
      <c r="C1171" s="55" t="s">
        <v>3471</v>
      </c>
      <c r="D1171" s="56" t="s">
        <v>2030</v>
      </c>
      <c r="E1171" s="57"/>
      <c r="F1171" s="75" t="s">
        <v>247</v>
      </c>
      <c r="G1171" s="64" t="s">
        <v>2029</v>
      </c>
      <c r="H1171" s="58">
        <v>513000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4</v>
      </c>
      <c r="M1171" s="74">
        <f>SUMIF(MASUK!$C:$C,REKAP[[#This Row],[ID]],MASUK!$H:$H)</f>
        <v>2</v>
      </c>
      <c r="N1171" s="74">
        <f>SUMIF(KELUAR!$C:$C,REKAP[[#This Row],[ID]],KELUAR!$H:$H)</f>
        <v>4</v>
      </c>
      <c r="O1171" s="74">
        <f>REKAP[[#This Row],[Stok Awal]]+REKAP[[#This Row],[Masuk]]-REKAP[[#This Row],[Keluar]]</f>
        <v>2</v>
      </c>
      <c r="P1171" s="55">
        <v>2</v>
      </c>
      <c r="Q1171" s="62">
        <f>REKAP[[#This Row],[Harga Satuan]]*REKAP[[#This Row],[Stok Akhir]]</f>
        <v>1026000</v>
      </c>
      <c r="R1171" s="61">
        <f>IF(REKAP[[#This Row],[Stok Aktual]]&lt;&gt;"",REKAP[[#This Row],[Stok Aktual]]-REKAP[[#This Row],[Stok Akhir]],0)</f>
        <v>0</v>
      </c>
      <c r="S1171" s="132"/>
      <c r="T1171" s="137">
        <f>IF(REKAP[[#This Row],[Selisih]]&lt;=-1,REKAP[[#This Row],[Harga Satuan]]*REKAP[[#This Row],[Selisih]],0)</f>
        <v>0</v>
      </c>
    </row>
    <row r="1172" spans="1:20" x14ac:dyDescent="0.25">
      <c r="A1172" s="55" t="s">
        <v>2609</v>
      </c>
      <c r="B1172" s="55" t="s">
        <v>3472</v>
      </c>
      <c r="C1172" s="55" t="s">
        <v>3472</v>
      </c>
      <c r="D1172" s="56" t="s">
        <v>2031</v>
      </c>
      <c r="E1172" s="57"/>
      <c r="F1172" s="75" t="s">
        <v>247</v>
      </c>
      <c r="G1172" s="64" t="s">
        <v>2029</v>
      </c>
      <c r="H1172" s="58">
        <v>597000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0</v>
      </c>
      <c r="K1172" s="60">
        <f>REKAP[[#This Row],[Trx In]]+REKAP[[#This Row],[Trx Out]]</f>
        <v>0</v>
      </c>
      <c r="L1172" s="55">
        <v>0</v>
      </c>
      <c r="M1172" s="74">
        <f>SUMIF(MASUK!$C:$C,REKAP[[#This Row],[ID]],MASUK!$H:$H)</f>
        <v>0</v>
      </c>
      <c r="N1172" s="74">
        <f>SUMIF(KELUAR!$C:$C,REKAP[[#This Row],[ID]],KELUAR!$H:$H)</f>
        <v>0</v>
      </c>
      <c r="O1172" s="74">
        <f>REKAP[[#This Row],[Stok Awal]]+REKAP[[#This Row],[Masuk]]-REKAP[[#This Row],[Keluar]]</f>
        <v>0</v>
      </c>
      <c r="P1172" s="55"/>
      <c r="Q1172" s="62">
        <f>REKAP[[#This Row],[Harga Satuan]]*REKAP[[#This Row],[Stok Akhir]]</f>
        <v>0</v>
      </c>
      <c r="R1172" s="61">
        <f>IF(REKAP[[#This Row],[Stok Aktual]]&lt;&gt;"",REKAP[[#This Row],[Stok Aktual]]-REKAP[[#This Row],[Stok Akhir]],0)</f>
        <v>0</v>
      </c>
      <c r="S1172" s="132"/>
      <c r="T1172" s="137">
        <f>IF(REKAP[[#This Row],[Selisih]]&lt;=-1,REKAP[[#This Row],[Harga Satuan]]*REKAP[[#This Row],[Selisih]],0)</f>
        <v>0</v>
      </c>
    </row>
    <row r="1173" spans="1:20" x14ac:dyDescent="0.25">
      <c r="A1173" s="55" t="s">
        <v>2610</v>
      </c>
      <c r="B1173" s="55" t="s">
        <v>3473</v>
      </c>
      <c r="C1173" s="55" t="s">
        <v>3473</v>
      </c>
      <c r="D1173" s="56" t="s">
        <v>2032</v>
      </c>
      <c r="E1173" s="57"/>
      <c r="F1173" s="75" t="s">
        <v>247</v>
      </c>
      <c r="G1173" s="64" t="s">
        <v>2029</v>
      </c>
      <c r="H1173" s="58">
        <v>1031000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0</v>
      </c>
      <c r="K1173" s="60">
        <f>REKAP[[#This Row],[Trx In]]+REKAP[[#This Row],[Trx Out]]</f>
        <v>0</v>
      </c>
      <c r="L1173" s="55">
        <v>0</v>
      </c>
      <c r="M1173" s="74">
        <f>SUMIF(MASUK!$C:$C,REKAP[[#This Row],[ID]],MASUK!$H:$H)</f>
        <v>0</v>
      </c>
      <c r="N1173" s="74">
        <f>SUMIF(KELUAR!$C:$C,REKAP[[#This Row],[ID]],KELUAR!$H:$H)</f>
        <v>0</v>
      </c>
      <c r="O1173" s="74">
        <f>REKAP[[#This Row],[Stok Awal]]+REKAP[[#This Row],[Masuk]]-REKAP[[#This Row],[Keluar]]</f>
        <v>0</v>
      </c>
      <c r="P1173" s="55"/>
      <c r="Q1173" s="62">
        <f>REKAP[[#This Row],[Harga Satuan]]*REKAP[[#This Row],[Stok Akhir]]</f>
        <v>0</v>
      </c>
      <c r="R1173" s="61">
        <f>IF(REKAP[[#This Row],[Stok Aktual]]&lt;&gt;"",REKAP[[#This Row],[Stok Aktual]]-REKAP[[#This Row],[Stok Akhir]],0)</f>
        <v>0</v>
      </c>
      <c r="S1173" s="132"/>
      <c r="T1173" s="137">
        <f>IF(REKAP[[#This Row],[Selisih]]&lt;=-1,REKAP[[#This Row],[Harga Satuan]]*REKAP[[#This Row],[Selisih]],0)</f>
        <v>0</v>
      </c>
    </row>
    <row r="1174" spans="1:20" x14ac:dyDescent="0.25">
      <c r="A1174" s="55" t="s">
        <v>2611</v>
      </c>
      <c r="B1174" s="55" t="s">
        <v>3474</v>
      </c>
      <c r="C1174" s="55" t="s">
        <v>3474</v>
      </c>
      <c r="D1174" s="56" t="s">
        <v>2033</v>
      </c>
      <c r="E1174" s="57"/>
      <c r="F1174" s="75" t="s">
        <v>247</v>
      </c>
      <c r="G1174" s="64" t="s">
        <v>2029</v>
      </c>
      <c r="H1174" s="58">
        <v>898000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34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34</v>
      </c>
      <c r="P1174" s="55"/>
      <c r="Q1174" s="62">
        <f>REKAP[[#This Row],[Harga Satuan]]*REKAP[[#This Row],[Stok Akhir]]</f>
        <v>30532000</v>
      </c>
      <c r="R1174" s="61">
        <f>IF(REKAP[[#This Row],[Stok Aktual]]&lt;&gt;"",REKAP[[#This Row],[Stok Aktual]]-REKAP[[#This Row],[Stok Akhir]],0)</f>
        <v>0</v>
      </c>
      <c r="S1174" s="132"/>
      <c r="T1174" s="137">
        <f>IF(REKAP[[#This Row],[Selisih]]&lt;=-1,REKAP[[#This Row],[Harga Satuan]]*REKAP[[#This Row],[Selisih]],0)</f>
        <v>0</v>
      </c>
    </row>
    <row r="1175" spans="1:20" x14ac:dyDescent="0.25">
      <c r="A1175" s="55" t="s">
        <v>2612</v>
      </c>
      <c r="B1175" s="55" t="s">
        <v>3475</v>
      </c>
      <c r="C1175" s="55" t="s">
        <v>3475</v>
      </c>
      <c r="D1175" s="56" t="s">
        <v>2034</v>
      </c>
      <c r="E1175" s="57"/>
      <c r="F1175" s="75" t="s">
        <v>247</v>
      </c>
      <c r="G1175" s="64" t="s">
        <v>2029</v>
      </c>
      <c r="H1175" s="58">
        <v>1285000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2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2</v>
      </c>
      <c r="P1175" s="55"/>
      <c r="Q1175" s="62">
        <f>REKAP[[#This Row],[Harga Satuan]]*REKAP[[#This Row],[Stok Akhir]]</f>
        <v>2570000</v>
      </c>
      <c r="R1175" s="61">
        <f>IF(REKAP[[#This Row],[Stok Aktual]]&lt;&gt;"",REKAP[[#This Row],[Stok Aktual]]-REKAP[[#This Row],[Stok Akhir]],0)</f>
        <v>0</v>
      </c>
      <c r="S1175" s="132"/>
      <c r="T1175" s="137">
        <f>IF(REKAP[[#This Row],[Selisih]]&lt;=-1,REKAP[[#This Row],[Harga Satuan]]*REKAP[[#This Row],[Selisih]],0)</f>
        <v>0</v>
      </c>
    </row>
    <row r="1176" spans="1:20" x14ac:dyDescent="0.25">
      <c r="A1176" s="55" t="s">
        <v>2613</v>
      </c>
      <c r="B1176" s="55" t="s">
        <v>3476</v>
      </c>
      <c r="C1176" s="55" t="s">
        <v>3476</v>
      </c>
      <c r="D1176" s="56" t="s">
        <v>2035</v>
      </c>
      <c r="E1176" s="57"/>
      <c r="F1176" s="75" t="s">
        <v>247</v>
      </c>
      <c r="G1176" s="64" t="s">
        <v>2029</v>
      </c>
      <c r="H1176" s="58">
        <v>1587000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3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/>
      <c r="Q1176" s="62">
        <f>REKAP[[#This Row],[Harga Satuan]]*REKAP[[#This Row],[Stok Akhir]]</f>
        <v>4761000</v>
      </c>
      <c r="R1176" s="61">
        <f>IF(REKAP[[#This Row],[Stok Aktual]]&lt;&gt;"",REKAP[[#This Row],[Stok Aktual]]-REKAP[[#This Row],[Stok Akhir]],0)</f>
        <v>0</v>
      </c>
      <c r="S1176" s="132"/>
      <c r="T1176" s="137">
        <f>IF(REKAP[[#This Row],[Selisih]]&lt;=-1,REKAP[[#This Row],[Harga Satuan]]*REKAP[[#This Row],[Selisih]],0)</f>
        <v>0</v>
      </c>
    </row>
    <row r="1177" spans="1:20" x14ac:dyDescent="0.25">
      <c r="A1177" s="55" t="s">
        <v>2614</v>
      </c>
      <c r="B1177" s="55" t="s">
        <v>3477</v>
      </c>
      <c r="C1177" s="55" t="s">
        <v>3477</v>
      </c>
      <c r="D1177" s="56" t="s">
        <v>2036</v>
      </c>
      <c r="E1177" s="57"/>
      <c r="F1177" s="75" t="s">
        <v>247</v>
      </c>
      <c r="G1177" s="64" t="s">
        <v>2029</v>
      </c>
      <c r="H1177" s="58">
        <v>543000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0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0</v>
      </c>
      <c r="P1177" s="55"/>
      <c r="Q1177" s="62">
        <f>REKAP[[#This Row],[Harga Satuan]]*REKAP[[#This Row],[Stok Akhir]]</f>
        <v>0</v>
      </c>
      <c r="R1177" s="61">
        <f>IF(REKAP[[#This Row],[Stok Aktual]]&lt;&gt;"",REKAP[[#This Row],[Stok Aktual]]-REKAP[[#This Row],[Stok Akhir]],0)</f>
        <v>0</v>
      </c>
      <c r="S1177" s="132"/>
      <c r="T1177" s="137">
        <f>IF(REKAP[[#This Row],[Selisih]]&lt;=-1,REKAP[[#This Row],[Harga Satuan]]*REKAP[[#This Row],[Selisih]],0)</f>
        <v>0</v>
      </c>
    </row>
    <row r="1178" spans="1:20" x14ac:dyDescent="0.25">
      <c r="A1178" s="55" t="s">
        <v>2615</v>
      </c>
      <c r="B1178" s="55" t="s">
        <v>3478</v>
      </c>
      <c r="C1178" s="55" t="s">
        <v>3478</v>
      </c>
      <c r="D1178" s="56" t="s">
        <v>2037</v>
      </c>
      <c r="E1178" s="57"/>
      <c r="F1178" s="75" t="s">
        <v>247</v>
      </c>
      <c r="G1178" s="64" t="s">
        <v>2029</v>
      </c>
      <c r="H1178" s="58">
        <v>1003000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0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0</v>
      </c>
      <c r="P1178" s="55"/>
      <c r="Q1178" s="62">
        <f>REKAP[[#This Row],[Harga Satuan]]*REKAP[[#This Row],[Stok Akhir]]</f>
        <v>0</v>
      </c>
      <c r="R1178" s="61">
        <f>IF(REKAP[[#This Row],[Stok Aktual]]&lt;&gt;"",REKAP[[#This Row],[Stok Aktual]]-REKAP[[#This Row],[Stok Akhir]],0)</f>
        <v>0</v>
      </c>
      <c r="S1178" s="132"/>
      <c r="T1178" s="137">
        <f>IF(REKAP[[#This Row],[Selisih]]&lt;=-1,REKAP[[#This Row],[Harga Satuan]]*REKAP[[#This Row],[Selisih]],0)</f>
        <v>0</v>
      </c>
    </row>
    <row r="1179" spans="1:20" x14ac:dyDescent="0.25">
      <c r="A1179" s="55" t="s">
        <v>2616</v>
      </c>
      <c r="B1179" s="55" t="s">
        <v>3479</v>
      </c>
      <c r="C1179" s="55" t="s">
        <v>3479</v>
      </c>
      <c r="D1179" s="56" t="s">
        <v>2038</v>
      </c>
      <c r="E1179" s="57"/>
      <c r="F1179" s="75" t="s">
        <v>247</v>
      </c>
      <c r="G1179" s="64" t="s">
        <v>2029</v>
      </c>
      <c r="H1179" s="58">
        <v>515000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3</v>
      </c>
      <c r="K1179" s="60">
        <f>REKAP[[#This Row],[Trx In]]+REKAP[[#This Row],[Trx Out]]</f>
        <v>3</v>
      </c>
      <c r="L1179" s="55">
        <v>44</v>
      </c>
      <c r="M1179" s="74">
        <f>SUMIF(MASUK!$C:$C,REKAP[[#This Row],[ID]],MASUK!$H:$H)</f>
        <v>0</v>
      </c>
      <c r="N1179" s="74">
        <f>SUMIF(KELUAR!$C:$C,REKAP[[#This Row],[ID]],KELUAR!$H:$H)</f>
        <v>8</v>
      </c>
      <c r="O1179" s="74">
        <f>REKAP[[#This Row],[Stok Awal]]+REKAP[[#This Row],[Masuk]]-REKAP[[#This Row],[Keluar]]</f>
        <v>36</v>
      </c>
      <c r="P1179" s="55">
        <v>36</v>
      </c>
      <c r="Q1179" s="62">
        <f>REKAP[[#This Row],[Harga Satuan]]*REKAP[[#This Row],[Stok Akhir]]</f>
        <v>18540000</v>
      </c>
      <c r="R1179" s="61">
        <f>IF(REKAP[[#This Row],[Stok Aktual]]&lt;&gt;"",REKAP[[#This Row],[Stok Aktual]]-REKAP[[#This Row],[Stok Akhir]],0)</f>
        <v>0</v>
      </c>
      <c r="S1179" s="132"/>
      <c r="T1179" s="137">
        <f>IF(REKAP[[#This Row],[Selisih]]&lt;=-1,REKAP[[#This Row],[Harga Satuan]]*REKAP[[#This Row],[Selisih]],0)</f>
        <v>0</v>
      </c>
    </row>
    <row r="1180" spans="1:20" x14ac:dyDescent="0.25">
      <c r="A1180" s="55" t="s">
        <v>2617</v>
      </c>
      <c r="B1180" s="55" t="s">
        <v>3480</v>
      </c>
      <c r="C1180" s="55" t="s">
        <v>3480</v>
      </c>
      <c r="D1180" s="56" t="s">
        <v>2039</v>
      </c>
      <c r="E1180" s="57"/>
      <c r="F1180" s="75" t="s">
        <v>247</v>
      </c>
      <c r="G1180" s="64" t="s">
        <v>2029</v>
      </c>
      <c r="H1180" s="58">
        <v>878000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2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2</v>
      </c>
      <c r="P1180" s="55"/>
      <c r="Q1180" s="62">
        <f>REKAP[[#This Row],[Harga Satuan]]*REKAP[[#This Row],[Stok Akhir]]</f>
        <v>1756000</v>
      </c>
      <c r="R1180" s="61">
        <f>IF(REKAP[[#This Row],[Stok Aktual]]&lt;&gt;"",REKAP[[#This Row],[Stok Aktual]]-REKAP[[#This Row],[Stok Akhir]],0)</f>
        <v>0</v>
      </c>
      <c r="S1180" s="132"/>
      <c r="T1180" s="137">
        <f>IF(REKAP[[#This Row],[Selisih]]&lt;=-1,REKAP[[#This Row],[Harga Satuan]]*REKAP[[#This Row],[Selisih]],0)</f>
        <v>0</v>
      </c>
    </row>
    <row r="1181" spans="1:20" x14ac:dyDescent="0.25">
      <c r="A1181" s="55" t="s">
        <v>2618</v>
      </c>
      <c r="B1181" s="55" t="s">
        <v>3481</v>
      </c>
      <c r="C1181" s="55" t="s">
        <v>3481</v>
      </c>
      <c r="D1181" s="56" t="s">
        <v>2040</v>
      </c>
      <c r="E1181" s="57"/>
      <c r="F1181" s="75" t="s">
        <v>247</v>
      </c>
      <c r="G1181" s="64" t="s">
        <v>2029</v>
      </c>
      <c r="H1181" s="58">
        <v>1504000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2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2</v>
      </c>
      <c r="P1181" s="55"/>
      <c r="Q1181" s="62">
        <f>REKAP[[#This Row],[Harga Satuan]]*REKAP[[#This Row],[Stok Akhir]]</f>
        <v>3008000</v>
      </c>
      <c r="R1181" s="61">
        <f>IF(REKAP[[#This Row],[Stok Aktual]]&lt;&gt;"",REKAP[[#This Row],[Stok Aktual]]-REKAP[[#This Row],[Stok Akhir]],0)</f>
        <v>0</v>
      </c>
      <c r="S1181" s="132"/>
      <c r="T1181" s="137">
        <f>IF(REKAP[[#This Row],[Selisih]]&lt;=-1,REKAP[[#This Row],[Harga Satuan]]*REKAP[[#This Row],[Selisih]],0)</f>
        <v>0</v>
      </c>
    </row>
    <row r="1182" spans="1:20" x14ac:dyDescent="0.25">
      <c r="A1182" s="55" t="s">
        <v>2619</v>
      </c>
      <c r="B1182" s="55" t="s">
        <v>3482</v>
      </c>
      <c r="C1182" s="55" t="s">
        <v>3482</v>
      </c>
      <c r="D1182" s="56" t="s">
        <v>2041</v>
      </c>
      <c r="E1182" s="57"/>
      <c r="F1182" s="75" t="s">
        <v>247</v>
      </c>
      <c r="G1182" s="64" t="s">
        <v>2029</v>
      </c>
      <c r="H1182" s="58">
        <v>574000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2</v>
      </c>
      <c r="K1182" s="60">
        <f>REKAP[[#This Row],[Trx In]]+REKAP[[#This Row],[Trx Out]]</f>
        <v>2</v>
      </c>
      <c r="L1182" s="55">
        <v>18</v>
      </c>
      <c r="M1182" s="74">
        <f>SUMIF(MASUK!$C:$C,REKAP[[#This Row],[ID]],MASUK!$H:$H)</f>
        <v>0</v>
      </c>
      <c r="N1182" s="74">
        <f>SUMIF(KELUAR!$C:$C,REKAP[[#This Row],[ID]],KELUAR!$H:$H)</f>
        <v>2</v>
      </c>
      <c r="O1182" s="74">
        <f>REKAP[[#This Row],[Stok Awal]]+REKAP[[#This Row],[Masuk]]-REKAP[[#This Row],[Keluar]]</f>
        <v>16</v>
      </c>
      <c r="P1182" s="55">
        <v>16</v>
      </c>
      <c r="Q1182" s="62">
        <f>REKAP[[#This Row],[Harga Satuan]]*REKAP[[#This Row],[Stok Akhir]]</f>
        <v>9184000</v>
      </c>
      <c r="R1182" s="61">
        <f>IF(REKAP[[#This Row],[Stok Aktual]]&lt;&gt;"",REKAP[[#This Row],[Stok Aktual]]-REKAP[[#This Row],[Stok Akhir]],0)</f>
        <v>0</v>
      </c>
      <c r="S1182" s="132"/>
      <c r="T1182" s="137">
        <f>IF(REKAP[[#This Row],[Selisih]]&lt;=-1,REKAP[[#This Row],[Harga Satuan]]*REKAP[[#This Row],[Selisih]],0)</f>
        <v>0</v>
      </c>
    </row>
    <row r="1183" spans="1:20" x14ac:dyDescent="0.25">
      <c r="A1183" s="55" t="s">
        <v>2620</v>
      </c>
      <c r="B1183" s="55" t="s">
        <v>3483</v>
      </c>
      <c r="C1183" s="55" t="s">
        <v>3483</v>
      </c>
      <c r="D1183" s="56" t="s">
        <v>2042</v>
      </c>
      <c r="E1183" s="57"/>
      <c r="F1183" s="75" t="s">
        <v>247</v>
      </c>
      <c r="G1183" s="64" t="s">
        <v>2029</v>
      </c>
      <c r="H1183" s="58">
        <v>689000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28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28</v>
      </c>
      <c r="P1183" s="55"/>
      <c r="Q1183" s="62">
        <f>REKAP[[#This Row],[Harga Satuan]]*REKAP[[#This Row],[Stok Akhir]]</f>
        <v>19292000</v>
      </c>
      <c r="R1183" s="61">
        <f>IF(REKAP[[#This Row],[Stok Aktual]]&lt;&gt;"",REKAP[[#This Row],[Stok Aktual]]-REKAP[[#This Row],[Stok Akhir]],0)</f>
        <v>0</v>
      </c>
      <c r="S1183" s="132"/>
      <c r="T1183" s="137">
        <f>IF(REKAP[[#This Row],[Selisih]]&lt;=-1,REKAP[[#This Row],[Harga Satuan]]*REKAP[[#This Row],[Selisih]],0)</f>
        <v>0</v>
      </c>
    </row>
    <row r="1184" spans="1:20" x14ac:dyDescent="0.25">
      <c r="A1184" s="55" t="s">
        <v>2621</v>
      </c>
      <c r="B1184" s="55" t="s">
        <v>3484</v>
      </c>
      <c r="C1184" s="55" t="s">
        <v>3484</v>
      </c>
      <c r="D1184" s="56" t="s">
        <v>2043</v>
      </c>
      <c r="E1184" s="57"/>
      <c r="F1184" s="75" t="s">
        <v>247</v>
      </c>
      <c r="G1184" s="64" t="s">
        <v>2029</v>
      </c>
      <c r="H1184" s="58">
        <v>1760000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2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2</v>
      </c>
      <c r="P1184" s="55"/>
      <c r="Q1184" s="62">
        <f>REKAP[[#This Row],[Harga Satuan]]*REKAP[[#This Row],[Stok Akhir]]</f>
        <v>3520000</v>
      </c>
      <c r="R1184" s="61">
        <f>IF(REKAP[[#This Row],[Stok Aktual]]&lt;&gt;"",REKAP[[#This Row],[Stok Aktual]]-REKAP[[#This Row],[Stok Akhir]],0)</f>
        <v>0</v>
      </c>
      <c r="S1184" s="132"/>
      <c r="T1184" s="137">
        <f>IF(REKAP[[#This Row],[Selisih]]&lt;=-1,REKAP[[#This Row],[Harga Satuan]]*REKAP[[#This Row],[Selisih]],0)</f>
        <v>0</v>
      </c>
    </row>
    <row r="1185" spans="1:20" x14ac:dyDescent="0.25">
      <c r="A1185" s="55" t="s">
        <v>2622</v>
      </c>
      <c r="B1185" s="55" t="s">
        <v>3483</v>
      </c>
      <c r="C1185" s="55" t="s">
        <v>3483</v>
      </c>
      <c r="D1185" s="56" t="s">
        <v>2044</v>
      </c>
      <c r="E1185" s="57"/>
      <c r="F1185" s="75" t="s">
        <v>247</v>
      </c>
      <c r="G1185" s="64" t="s">
        <v>2029</v>
      </c>
      <c r="H1185" s="58">
        <v>2649000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>
        <f>IF(REKAP[[#This Row],[Stok Aktual]]&lt;&gt;"",REKAP[[#This Row],[Stok Aktual]]-REKAP[[#This Row],[Stok Akhir]],0)</f>
        <v>0</v>
      </c>
      <c r="S1185" s="132"/>
      <c r="T1185" s="137">
        <f>IF(REKAP[[#This Row],[Selisih]]&lt;=-1,REKAP[[#This Row],[Harga Satuan]]*REKAP[[#This Row],[Selisih]],0)</f>
        <v>0</v>
      </c>
    </row>
    <row r="1186" spans="1:20" x14ac:dyDescent="0.25">
      <c r="A1186" s="55" t="s">
        <v>2623</v>
      </c>
      <c r="B1186" s="55" t="s">
        <v>3485</v>
      </c>
      <c r="C1186" s="55" t="s">
        <v>3485</v>
      </c>
      <c r="D1186" s="56" t="s">
        <v>2044</v>
      </c>
      <c r="E1186" s="57"/>
      <c r="F1186" s="75" t="s">
        <v>247</v>
      </c>
      <c r="G1186" s="64" t="s">
        <v>2029</v>
      </c>
      <c r="H1186" s="58">
        <v>2569000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3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3</v>
      </c>
      <c r="P1186" s="55"/>
      <c r="Q1186" s="62">
        <f>REKAP[[#This Row],[Harga Satuan]]*REKAP[[#This Row],[Stok Akhir]]</f>
        <v>7707000</v>
      </c>
      <c r="R1186" s="61">
        <f>IF(REKAP[[#This Row],[Stok Aktual]]&lt;&gt;"",REKAP[[#This Row],[Stok Aktual]]-REKAP[[#This Row],[Stok Akhir]],0)</f>
        <v>0</v>
      </c>
      <c r="S1186" s="132"/>
      <c r="T1186" s="137">
        <f>IF(REKAP[[#This Row],[Selisih]]&lt;=-1,REKAP[[#This Row],[Harga Satuan]]*REKAP[[#This Row],[Selisih]],0)</f>
        <v>0</v>
      </c>
    </row>
    <row r="1187" spans="1:20" x14ac:dyDescent="0.25">
      <c r="A1187" s="55" t="s">
        <v>2624</v>
      </c>
      <c r="B1187" s="55" t="s">
        <v>3461</v>
      </c>
      <c r="C1187" s="55" t="s">
        <v>3461</v>
      </c>
      <c r="D1187" s="56" t="s">
        <v>2045</v>
      </c>
      <c r="E1187" s="57"/>
      <c r="F1187" s="75" t="s">
        <v>247</v>
      </c>
      <c r="G1187" s="64" t="s">
        <v>2029</v>
      </c>
      <c r="H1187" s="58">
        <v>409000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0</v>
      </c>
      <c r="K1187" s="60">
        <f>REKAP[[#This Row],[Trx In]]+REKAP[[#This Row],[Trx Out]]</f>
        <v>0</v>
      </c>
      <c r="L1187" s="55">
        <v>0</v>
      </c>
      <c r="M1187" s="74">
        <f>SUMIF(MASUK!$C:$C,REKAP[[#This Row],[ID]],MASUK!$H:$H)</f>
        <v>0</v>
      </c>
      <c r="N1187" s="74">
        <f>SUMIF(KELUAR!$C:$C,REKAP[[#This Row],[ID]],KELUAR!$H:$H)</f>
        <v>0</v>
      </c>
      <c r="O1187" s="74">
        <f>REKAP[[#This Row],[Stok Awal]]+REKAP[[#This Row],[Masuk]]-REKAP[[#This Row],[Keluar]]</f>
        <v>0</v>
      </c>
      <c r="P1187" s="55"/>
      <c r="Q1187" s="62">
        <f>REKAP[[#This Row],[Harga Satuan]]*REKAP[[#This Row],[Stok Akhir]]</f>
        <v>0</v>
      </c>
      <c r="R1187" s="61">
        <f>IF(REKAP[[#This Row],[Stok Aktual]]&lt;&gt;"",REKAP[[#This Row],[Stok Aktual]]-REKAP[[#This Row],[Stok Akhir]],0)</f>
        <v>0</v>
      </c>
      <c r="S1187" s="132"/>
      <c r="T1187" s="137">
        <f>IF(REKAP[[#This Row],[Selisih]]&lt;=-1,REKAP[[#This Row],[Harga Satuan]]*REKAP[[#This Row],[Selisih]],0)</f>
        <v>0</v>
      </c>
    </row>
    <row r="1188" spans="1:20" x14ac:dyDescent="0.25">
      <c r="A1188" s="55" t="s">
        <v>2625</v>
      </c>
      <c r="B1188" s="55" t="s">
        <v>3486</v>
      </c>
      <c r="C1188" s="55" t="s">
        <v>3486</v>
      </c>
      <c r="D1188" s="56" t="s">
        <v>2046</v>
      </c>
      <c r="E1188" s="57"/>
      <c r="F1188" s="75" t="s">
        <v>247</v>
      </c>
      <c r="G1188" s="64" t="s">
        <v>2029</v>
      </c>
      <c r="H1188" s="58">
        <v>663000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0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0</v>
      </c>
      <c r="P1188" s="55"/>
      <c r="Q1188" s="62">
        <f>REKAP[[#This Row],[Harga Satuan]]*REKAP[[#This Row],[Stok Akhir]]</f>
        <v>0</v>
      </c>
      <c r="R1188" s="61">
        <f>IF(REKAP[[#This Row],[Stok Aktual]]&lt;&gt;"",REKAP[[#This Row],[Stok Aktual]]-REKAP[[#This Row],[Stok Akhir]],0)</f>
        <v>0</v>
      </c>
      <c r="S1188" s="132"/>
      <c r="T1188" s="137">
        <f>IF(REKAP[[#This Row],[Selisih]]&lt;=-1,REKAP[[#This Row],[Harga Satuan]]*REKAP[[#This Row],[Selisih]],0)</f>
        <v>0</v>
      </c>
    </row>
    <row r="1189" spans="1:20" x14ac:dyDescent="0.25">
      <c r="A1189" s="55" t="s">
        <v>2626</v>
      </c>
      <c r="B1189" s="55" t="s">
        <v>3486</v>
      </c>
      <c r="C1189" s="55" t="s">
        <v>3486</v>
      </c>
      <c r="D1189" s="56" t="s">
        <v>2047</v>
      </c>
      <c r="E1189" s="57"/>
      <c r="F1189" s="75" t="s">
        <v>247</v>
      </c>
      <c r="G1189" s="64" t="s">
        <v>2029</v>
      </c>
      <c r="H1189" s="58">
        <v>358000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0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0</v>
      </c>
      <c r="P1189" s="55"/>
      <c r="Q1189" s="62">
        <f>REKAP[[#This Row],[Harga Satuan]]*REKAP[[#This Row],[Stok Akhir]]</f>
        <v>0</v>
      </c>
      <c r="R1189" s="61">
        <f>IF(REKAP[[#This Row],[Stok Aktual]]&lt;&gt;"",REKAP[[#This Row],[Stok Aktual]]-REKAP[[#This Row],[Stok Akhir]],0)</f>
        <v>0</v>
      </c>
      <c r="S1189" s="132"/>
      <c r="T1189" s="137">
        <f>IF(REKAP[[#This Row],[Selisih]]&lt;=-1,REKAP[[#This Row],[Harga Satuan]]*REKAP[[#This Row],[Selisih]],0)</f>
        <v>0</v>
      </c>
    </row>
    <row r="1190" spans="1:20" x14ac:dyDescent="0.25">
      <c r="A1190" s="55" t="s">
        <v>2627</v>
      </c>
      <c r="B1190" s="55" t="s">
        <v>2048</v>
      </c>
      <c r="C1190" s="55" t="s">
        <v>2048</v>
      </c>
      <c r="D1190" s="56" t="s">
        <v>2049</v>
      </c>
      <c r="E1190" s="57"/>
      <c r="F1190" s="75" t="s">
        <v>247</v>
      </c>
      <c r="G1190" s="64"/>
      <c r="H1190" s="58">
        <v>400000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400000</v>
      </c>
      <c r="R1190" s="61">
        <f>IF(REKAP[[#This Row],[Stok Aktual]]&lt;&gt;"",REKAP[[#This Row],[Stok Aktual]]-REKAP[[#This Row],[Stok Akhir]],0)</f>
        <v>0</v>
      </c>
      <c r="S1190" s="132"/>
      <c r="T1190" s="137">
        <f>IF(REKAP[[#This Row],[Selisih]]&lt;=-1,REKAP[[#This Row],[Harga Satuan]]*REKAP[[#This Row],[Selisih]],0)</f>
        <v>0</v>
      </c>
    </row>
    <row r="1191" spans="1:20" x14ac:dyDescent="0.25">
      <c r="A1191" s="55" t="s">
        <v>2628</v>
      </c>
      <c r="B1191" s="55" t="s">
        <v>2050</v>
      </c>
      <c r="C1191" s="55" t="s">
        <v>2050</v>
      </c>
      <c r="D1191" s="56" t="s">
        <v>2051</v>
      </c>
      <c r="E1191" s="57"/>
      <c r="F1191" s="75" t="s">
        <v>247</v>
      </c>
      <c r="G1191" s="64"/>
      <c r="H1191" s="58">
        <v>378000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>
        <f>IF(REKAP[[#This Row],[Stok Aktual]]&lt;&gt;"",REKAP[[#This Row],[Stok Aktual]]-REKAP[[#This Row],[Stok Akhir]],0)</f>
        <v>0</v>
      </c>
      <c r="S1191" s="132"/>
      <c r="T1191" s="137">
        <f>IF(REKAP[[#This Row],[Selisih]]&lt;=-1,REKAP[[#This Row],[Harga Satuan]]*REKAP[[#This Row],[Selisih]],0)</f>
        <v>0</v>
      </c>
    </row>
    <row r="1192" spans="1:20" x14ac:dyDescent="0.25">
      <c r="A1192" s="55" t="s">
        <v>2629</v>
      </c>
      <c r="B1192" s="55" t="s">
        <v>2052</v>
      </c>
      <c r="C1192" s="55" t="s">
        <v>2052</v>
      </c>
      <c r="D1192" s="56" t="s">
        <v>2053</v>
      </c>
      <c r="E1192" s="57"/>
      <c r="F1192" s="75" t="s">
        <v>247</v>
      </c>
      <c r="G1192" s="64"/>
      <c r="H1192" s="58">
        <v>337000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>
        <f>IF(REKAP[[#This Row],[Stok Aktual]]&lt;&gt;"",REKAP[[#This Row],[Stok Aktual]]-REKAP[[#This Row],[Stok Akhir]],0)</f>
        <v>0</v>
      </c>
      <c r="S1192" s="132"/>
      <c r="T1192" s="137">
        <f>IF(REKAP[[#This Row],[Selisih]]&lt;=-1,REKAP[[#This Row],[Harga Satuan]]*REKAP[[#This Row],[Selisih]],0)</f>
        <v>0</v>
      </c>
    </row>
    <row r="1193" spans="1:20" x14ac:dyDescent="0.25">
      <c r="A1193" s="55" t="s">
        <v>2630</v>
      </c>
      <c r="B1193" s="55" t="s">
        <v>2054</v>
      </c>
      <c r="C1193" s="55" t="s">
        <v>2054</v>
      </c>
      <c r="D1193" s="56" t="s">
        <v>2053</v>
      </c>
      <c r="E1193" s="57"/>
      <c r="F1193" s="75" t="s">
        <v>247</v>
      </c>
      <c r="G1193" s="64"/>
      <c r="H1193" s="58">
        <v>389800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0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0</v>
      </c>
      <c r="P1193" s="55"/>
      <c r="Q1193" s="62">
        <f>REKAP[[#This Row],[Harga Satuan]]*REKAP[[#This Row],[Stok Akhir]]</f>
        <v>0</v>
      </c>
      <c r="R1193" s="61">
        <f>IF(REKAP[[#This Row],[Stok Aktual]]&lt;&gt;"",REKAP[[#This Row],[Stok Aktual]]-REKAP[[#This Row],[Stok Akhir]],0)</f>
        <v>0</v>
      </c>
      <c r="S1193" s="132"/>
      <c r="T1193" s="137">
        <f>IF(REKAP[[#This Row],[Selisih]]&lt;=-1,REKAP[[#This Row],[Harga Satuan]]*REKAP[[#This Row],[Selisih]],0)</f>
        <v>0</v>
      </c>
    </row>
    <row r="1194" spans="1:20" x14ac:dyDescent="0.25">
      <c r="A1194" s="55" t="s">
        <v>2631</v>
      </c>
      <c r="B1194" s="55" t="s">
        <v>2055</v>
      </c>
      <c r="C1194" s="55" t="s">
        <v>2055</v>
      </c>
      <c r="D1194" s="56" t="s">
        <v>2056</v>
      </c>
      <c r="E1194" s="57"/>
      <c r="F1194" s="75" t="s">
        <v>247</v>
      </c>
      <c r="G1194" s="64" t="s">
        <v>1985</v>
      </c>
      <c r="H1194" s="58">
        <v>226200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2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2</v>
      </c>
      <c r="P1194" s="55"/>
      <c r="Q1194" s="62">
        <f>REKAP[[#This Row],[Harga Satuan]]*REKAP[[#This Row],[Stok Akhir]]</f>
        <v>452400</v>
      </c>
      <c r="R1194" s="61">
        <f>IF(REKAP[[#This Row],[Stok Aktual]]&lt;&gt;"",REKAP[[#This Row],[Stok Aktual]]-REKAP[[#This Row],[Stok Akhir]],0)</f>
        <v>0</v>
      </c>
      <c r="S1194" s="132"/>
      <c r="T1194" s="137">
        <f>IF(REKAP[[#This Row],[Selisih]]&lt;=-1,REKAP[[#This Row],[Harga Satuan]]*REKAP[[#This Row],[Selisih]],0)</f>
        <v>0</v>
      </c>
    </row>
    <row r="1195" spans="1:20" x14ac:dyDescent="0.25">
      <c r="A1195" s="55" t="s">
        <v>2632</v>
      </c>
      <c r="B1195" s="55" t="s">
        <v>2055</v>
      </c>
      <c r="C1195" s="55" t="s">
        <v>2055</v>
      </c>
      <c r="D1195" s="56" t="s">
        <v>2057</v>
      </c>
      <c r="E1195" s="57"/>
      <c r="F1195" s="75" t="s">
        <v>247</v>
      </c>
      <c r="G1195" s="64" t="s">
        <v>1985</v>
      </c>
      <c r="H1195" s="58">
        <v>232200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232200</v>
      </c>
      <c r="R1195" s="61">
        <f>IF(REKAP[[#This Row],[Stok Aktual]]&lt;&gt;"",REKAP[[#This Row],[Stok Aktual]]-REKAP[[#This Row],[Stok Akhir]],0)</f>
        <v>0</v>
      </c>
      <c r="S1195" s="132"/>
      <c r="T1195" s="137">
        <f>IF(REKAP[[#This Row],[Selisih]]&lt;=-1,REKAP[[#This Row],[Harga Satuan]]*REKAP[[#This Row],[Selisih]],0)</f>
        <v>0</v>
      </c>
    </row>
    <row r="1196" spans="1:20" x14ac:dyDescent="0.25">
      <c r="A1196" s="55" t="s">
        <v>2633</v>
      </c>
      <c r="B1196" s="55" t="s">
        <v>2055</v>
      </c>
      <c r="C1196" s="55" t="s">
        <v>2055</v>
      </c>
      <c r="D1196" s="56" t="s">
        <v>2058</v>
      </c>
      <c r="E1196" s="57"/>
      <c r="F1196" s="75" t="s">
        <v>247</v>
      </c>
      <c r="G1196" s="64" t="s">
        <v>1985</v>
      </c>
      <c r="H1196" s="58">
        <v>251500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>
        <f>IF(REKAP[[#This Row],[Stok Aktual]]&lt;&gt;"",REKAP[[#This Row],[Stok Aktual]]-REKAP[[#This Row],[Stok Akhir]],0)</f>
        <v>0</v>
      </c>
      <c r="S1196" s="132"/>
      <c r="T1196" s="137">
        <f>IF(REKAP[[#This Row],[Selisih]]&lt;=-1,REKAP[[#This Row],[Harga Satuan]]*REKAP[[#This Row],[Selisih]],0)</f>
        <v>0</v>
      </c>
    </row>
    <row r="1197" spans="1:20" x14ac:dyDescent="0.25">
      <c r="A1197" s="55" t="s">
        <v>2634</v>
      </c>
      <c r="B1197" s="55" t="s">
        <v>2055</v>
      </c>
      <c r="C1197" s="55" t="s">
        <v>2055</v>
      </c>
      <c r="D1197" s="56" t="s">
        <v>2059</v>
      </c>
      <c r="E1197" s="57"/>
      <c r="F1197" s="75" t="s">
        <v>247</v>
      </c>
      <c r="G1197" s="64" t="s">
        <v>1985</v>
      </c>
      <c r="H1197" s="58">
        <v>232200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1</v>
      </c>
      <c r="K1197" s="60">
        <f>REKAP[[#This Row],[Trx In]]+REKAP[[#This Row],[Trx Out]]</f>
        <v>1</v>
      </c>
      <c r="L1197" s="55">
        <v>2</v>
      </c>
      <c r="M1197" s="74">
        <f>SUMIF(MASUK!$C:$C,REKAP[[#This Row],[ID]],MASUK!$H:$H)</f>
        <v>0</v>
      </c>
      <c r="N1197" s="74">
        <f>SUMIF(KELUAR!$C:$C,REKAP[[#This Row],[ID]],KELUAR!$H:$H)</f>
        <v>2</v>
      </c>
      <c r="O1197" s="74">
        <f>REKAP[[#This Row],[Stok Awal]]+REKAP[[#This Row],[Masuk]]-REKAP[[#This Row],[Keluar]]</f>
        <v>0</v>
      </c>
      <c r="P1197" s="55">
        <v>0</v>
      </c>
      <c r="Q1197" s="62">
        <f>REKAP[[#This Row],[Harga Satuan]]*REKAP[[#This Row],[Stok Akhir]]</f>
        <v>0</v>
      </c>
      <c r="R1197" s="61">
        <f>IF(REKAP[[#This Row],[Stok Aktual]]&lt;&gt;"",REKAP[[#This Row],[Stok Aktual]]-REKAP[[#This Row],[Stok Akhir]],0)</f>
        <v>0</v>
      </c>
      <c r="S1197" s="132"/>
      <c r="T1197" s="137">
        <f>IF(REKAP[[#This Row],[Selisih]]&lt;=-1,REKAP[[#This Row],[Harga Satuan]]*REKAP[[#This Row],[Selisih]],0)</f>
        <v>0</v>
      </c>
    </row>
    <row r="1198" spans="1:20" x14ac:dyDescent="0.25">
      <c r="A1198" s="55" t="s">
        <v>2635</v>
      </c>
      <c r="B1198" s="55" t="s">
        <v>2055</v>
      </c>
      <c r="C1198" s="55" t="s">
        <v>2055</v>
      </c>
      <c r="D1198" s="56" t="s">
        <v>2060</v>
      </c>
      <c r="E1198" s="57"/>
      <c r="F1198" s="75" t="s">
        <v>247</v>
      </c>
      <c r="G1198" s="64" t="s">
        <v>1985</v>
      </c>
      <c r="H1198" s="58">
        <v>168000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1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1</v>
      </c>
      <c r="P1198" s="55"/>
      <c r="Q1198" s="62">
        <f>REKAP[[#This Row],[Harga Satuan]]*REKAP[[#This Row],[Stok Akhir]]</f>
        <v>168000</v>
      </c>
      <c r="R1198" s="61">
        <f>IF(REKAP[[#This Row],[Stok Aktual]]&lt;&gt;"",REKAP[[#This Row],[Stok Aktual]]-REKAP[[#This Row],[Stok Akhir]],0)</f>
        <v>0</v>
      </c>
      <c r="S1198" s="132"/>
      <c r="T1198" s="137">
        <f>IF(REKAP[[#This Row],[Selisih]]&lt;=-1,REKAP[[#This Row],[Harga Satuan]]*REKAP[[#This Row],[Selisih]],0)</f>
        <v>0</v>
      </c>
    </row>
    <row r="1199" spans="1:20" x14ac:dyDescent="0.25">
      <c r="A1199" s="55" t="s">
        <v>2636</v>
      </c>
      <c r="B1199" s="55" t="s">
        <v>2055</v>
      </c>
      <c r="C1199" s="55" t="s">
        <v>2055</v>
      </c>
      <c r="D1199" s="56" t="s">
        <v>2061</v>
      </c>
      <c r="E1199" s="57"/>
      <c r="F1199" s="75" t="s">
        <v>247</v>
      </c>
      <c r="G1199" s="64" t="s">
        <v>1985</v>
      </c>
      <c r="H1199" s="58">
        <v>162600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>
        <f>IF(REKAP[[#This Row],[Stok Aktual]]&lt;&gt;"",REKAP[[#This Row],[Stok Aktual]]-REKAP[[#This Row],[Stok Akhir]],0)</f>
        <v>0</v>
      </c>
      <c r="S1199" s="132"/>
      <c r="T1199" s="137">
        <f>IF(REKAP[[#This Row],[Selisih]]&lt;=-1,REKAP[[#This Row],[Harga Satuan]]*REKAP[[#This Row],[Selisih]],0)</f>
        <v>0</v>
      </c>
    </row>
    <row r="1200" spans="1:20" x14ac:dyDescent="0.25">
      <c r="A1200" s="55" t="s">
        <v>2637</v>
      </c>
      <c r="B1200" s="55" t="s">
        <v>2055</v>
      </c>
      <c r="C1200" s="55" t="s">
        <v>2055</v>
      </c>
      <c r="D1200" s="56" t="s">
        <v>2062</v>
      </c>
      <c r="E1200" s="57"/>
      <c r="F1200" s="75" t="s">
        <v>247</v>
      </c>
      <c r="G1200" s="64" t="s">
        <v>1985</v>
      </c>
      <c r="H1200" s="58">
        <v>171600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4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4</v>
      </c>
      <c r="P1200" s="55"/>
      <c r="Q1200" s="62">
        <f>REKAP[[#This Row],[Harga Satuan]]*REKAP[[#This Row],[Stok Akhir]]</f>
        <v>686400</v>
      </c>
      <c r="R1200" s="61">
        <f>IF(REKAP[[#This Row],[Stok Aktual]]&lt;&gt;"",REKAP[[#This Row],[Stok Aktual]]-REKAP[[#This Row],[Stok Akhir]],0)</f>
        <v>0</v>
      </c>
      <c r="S1200" s="132"/>
      <c r="T1200" s="137">
        <f>IF(REKAP[[#This Row],[Selisih]]&lt;=-1,REKAP[[#This Row],[Harga Satuan]]*REKAP[[#This Row],[Selisih]],0)</f>
        <v>0</v>
      </c>
    </row>
    <row r="1201" spans="1:20" x14ac:dyDescent="0.25">
      <c r="A1201" s="55" t="s">
        <v>2638</v>
      </c>
      <c r="B1201" s="55" t="s">
        <v>2055</v>
      </c>
      <c r="C1201" s="55" t="s">
        <v>2055</v>
      </c>
      <c r="D1201" s="56" t="s">
        <v>2063</v>
      </c>
      <c r="E1201" s="57"/>
      <c r="F1201" s="75" t="s">
        <v>247</v>
      </c>
      <c r="G1201" s="64" t="s">
        <v>1985</v>
      </c>
      <c r="H1201" s="58">
        <v>183600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>
        <f>IF(REKAP[[#This Row],[Stok Aktual]]&lt;&gt;"",REKAP[[#This Row],[Stok Aktual]]-REKAP[[#This Row],[Stok Akhir]],0)</f>
        <v>0</v>
      </c>
      <c r="S1201" s="132"/>
      <c r="T1201" s="137">
        <f>IF(REKAP[[#This Row],[Selisih]]&lt;=-1,REKAP[[#This Row],[Harga Satuan]]*REKAP[[#This Row],[Selisih]],0)</f>
        <v>0</v>
      </c>
    </row>
    <row r="1202" spans="1:20" x14ac:dyDescent="0.25">
      <c r="A1202" s="55" t="s">
        <v>2639</v>
      </c>
      <c r="B1202" s="55" t="s">
        <v>2055</v>
      </c>
      <c r="C1202" s="55" t="s">
        <v>2055</v>
      </c>
      <c r="D1202" s="56" t="s">
        <v>2064</v>
      </c>
      <c r="E1202" s="57"/>
      <c r="F1202" s="75" t="s">
        <v>247</v>
      </c>
      <c r="G1202" s="64" t="s">
        <v>1985</v>
      </c>
      <c r="H1202" s="58">
        <v>180200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>
        <f>IF(REKAP[[#This Row],[Stok Aktual]]&lt;&gt;"",REKAP[[#This Row],[Stok Aktual]]-REKAP[[#This Row],[Stok Akhir]],0)</f>
        <v>0</v>
      </c>
      <c r="S1202" s="132"/>
      <c r="T1202" s="137">
        <f>IF(REKAP[[#This Row],[Selisih]]&lt;=-1,REKAP[[#This Row],[Harga Satuan]]*REKAP[[#This Row],[Selisih]],0)</f>
        <v>0</v>
      </c>
    </row>
    <row r="1203" spans="1:20" x14ac:dyDescent="0.25">
      <c r="A1203" s="55" t="s">
        <v>2640</v>
      </c>
      <c r="B1203" s="55" t="s">
        <v>2055</v>
      </c>
      <c r="C1203" s="55" t="s">
        <v>2055</v>
      </c>
      <c r="D1203" s="56" t="s">
        <v>2065</v>
      </c>
      <c r="E1203" s="57"/>
      <c r="F1203" s="75" t="s">
        <v>247</v>
      </c>
      <c r="G1203" s="64" t="s">
        <v>1985</v>
      </c>
      <c r="H1203" s="58">
        <v>188400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>
        <f>IF(REKAP[[#This Row],[Stok Aktual]]&lt;&gt;"",REKAP[[#This Row],[Stok Aktual]]-REKAP[[#This Row],[Stok Akhir]],0)</f>
        <v>0</v>
      </c>
      <c r="S1203" s="132"/>
      <c r="T1203" s="137">
        <f>IF(REKAP[[#This Row],[Selisih]]&lt;=-1,REKAP[[#This Row],[Harga Satuan]]*REKAP[[#This Row],[Selisih]],0)</f>
        <v>0</v>
      </c>
    </row>
    <row r="1204" spans="1:20" x14ac:dyDescent="0.25">
      <c r="A1204" s="55" t="s">
        <v>2641</v>
      </c>
      <c r="B1204" s="55" t="s">
        <v>2055</v>
      </c>
      <c r="C1204" s="55" t="s">
        <v>2055</v>
      </c>
      <c r="D1204" s="56" t="s">
        <v>2066</v>
      </c>
      <c r="E1204" s="57"/>
      <c r="F1204" s="75" t="s">
        <v>247</v>
      </c>
      <c r="G1204" s="64" t="s">
        <v>1985</v>
      </c>
      <c r="H1204" s="58">
        <v>186550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>
        <f>IF(REKAP[[#This Row],[Stok Aktual]]&lt;&gt;"",REKAP[[#This Row],[Stok Aktual]]-REKAP[[#This Row],[Stok Akhir]],0)</f>
        <v>0</v>
      </c>
      <c r="S1204" s="132"/>
      <c r="T1204" s="137">
        <f>IF(REKAP[[#This Row],[Selisih]]&lt;=-1,REKAP[[#This Row],[Harga Satuan]]*REKAP[[#This Row],[Selisih]],0)</f>
        <v>0</v>
      </c>
    </row>
    <row r="1205" spans="1:20" x14ac:dyDescent="0.25">
      <c r="A1205" s="55" t="s">
        <v>2642</v>
      </c>
      <c r="B1205" s="55" t="s">
        <v>2055</v>
      </c>
      <c r="C1205" s="55" t="s">
        <v>2055</v>
      </c>
      <c r="D1205" s="56" t="s">
        <v>2067</v>
      </c>
      <c r="E1205" s="57"/>
      <c r="F1205" s="75" t="s">
        <v>247</v>
      </c>
      <c r="G1205" s="64" t="s">
        <v>1985</v>
      </c>
      <c r="H1205" s="58">
        <v>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3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3</v>
      </c>
      <c r="P1205" s="55"/>
      <c r="Q1205" s="62">
        <f>REKAP[[#This Row],[Harga Satuan]]*REKAP[[#This Row],[Stok Akhir]]</f>
        <v>0</v>
      </c>
      <c r="R1205" s="61">
        <f>IF(REKAP[[#This Row],[Stok Aktual]]&lt;&gt;"",REKAP[[#This Row],[Stok Aktual]]-REKAP[[#This Row],[Stok Akhir]],0)</f>
        <v>0</v>
      </c>
      <c r="S1205" s="132"/>
      <c r="T1205" s="137">
        <f>IF(REKAP[[#This Row],[Selisih]]&lt;=-1,REKAP[[#This Row],[Harga Satuan]]*REKAP[[#This Row],[Selisih]],0)</f>
        <v>0</v>
      </c>
    </row>
    <row r="1206" spans="1:20" x14ac:dyDescent="0.25">
      <c r="A1206" s="55" t="s">
        <v>2643</v>
      </c>
      <c r="B1206" s="55" t="s">
        <v>2055</v>
      </c>
      <c r="C1206" s="55" t="s">
        <v>2055</v>
      </c>
      <c r="D1206" s="56" t="s">
        <v>2068</v>
      </c>
      <c r="E1206" s="57"/>
      <c r="F1206" s="75" t="s">
        <v>247</v>
      </c>
      <c r="G1206" s="64" t="s">
        <v>1985</v>
      </c>
      <c r="H1206" s="58">
        <v>188400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0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0</v>
      </c>
      <c r="P1206" s="55"/>
      <c r="Q1206" s="62">
        <f>REKAP[[#This Row],[Harga Satuan]]*REKAP[[#This Row],[Stok Akhir]]</f>
        <v>0</v>
      </c>
      <c r="R1206" s="61">
        <f>IF(REKAP[[#This Row],[Stok Aktual]]&lt;&gt;"",REKAP[[#This Row],[Stok Aktual]]-REKAP[[#This Row],[Stok Akhir]],0)</f>
        <v>0</v>
      </c>
      <c r="S1206" s="132"/>
      <c r="T1206" s="137">
        <f>IF(REKAP[[#This Row],[Selisih]]&lt;=-1,REKAP[[#This Row],[Harga Satuan]]*REKAP[[#This Row],[Selisih]],0)</f>
        <v>0</v>
      </c>
    </row>
    <row r="1207" spans="1:20" x14ac:dyDescent="0.25">
      <c r="A1207" s="55" t="s">
        <v>2644</v>
      </c>
      <c r="B1207" s="55" t="s">
        <v>2055</v>
      </c>
      <c r="C1207" s="55" t="s">
        <v>2055</v>
      </c>
      <c r="D1207" s="56" t="s">
        <v>2069</v>
      </c>
      <c r="E1207" s="57"/>
      <c r="F1207" s="75" t="s">
        <v>247</v>
      </c>
      <c r="G1207" s="64" t="s">
        <v>1985</v>
      </c>
      <c r="H1207" s="58">
        <v>238800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>
        <f>IF(REKAP[[#This Row],[Stok Aktual]]&lt;&gt;"",REKAP[[#This Row],[Stok Aktual]]-REKAP[[#This Row],[Stok Akhir]],0)</f>
        <v>0</v>
      </c>
      <c r="S1207" s="132"/>
      <c r="T1207" s="137">
        <f>IF(REKAP[[#This Row],[Selisih]]&lt;=-1,REKAP[[#This Row],[Harga Satuan]]*REKAP[[#This Row],[Selisih]],0)</f>
        <v>0</v>
      </c>
    </row>
    <row r="1208" spans="1:20" x14ac:dyDescent="0.25">
      <c r="A1208" s="55" t="s">
        <v>2645</v>
      </c>
      <c r="B1208" s="55" t="s">
        <v>2055</v>
      </c>
      <c r="C1208" s="55" t="s">
        <v>2055</v>
      </c>
      <c r="D1208" s="56" t="s">
        <v>2070</v>
      </c>
      <c r="E1208" s="57"/>
      <c r="F1208" s="75" t="s">
        <v>247</v>
      </c>
      <c r="G1208" s="64" t="s">
        <v>1985</v>
      </c>
      <c r="H1208" s="58">
        <v>219600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1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1</v>
      </c>
      <c r="P1208" s="55"/>
      <c r="Q1208" s="62">
        <f>REKAP[[#This Row],[Harga Satuan]]*REKAP[[#This Row],[Stok Akhir]]</f>
        <v>219600</v>
      </c>
      <c r="R1208" s="61">
        <f>IF(REKAP[[#This Row],[Stok Aktual]]&lt;&gt;"",REKAP[[#This Row],[Stok Aktual]]-REKAP[[#This Row],[Stok Akhir]],0)</f>
        <v>0</v>
      </c>
      <c r="S1208" s="132"/>
      <c r="T1208" s="137">
        <f>IF(REKAP[[#This Row],[Selisih]]&lt;=-1,REKAP[[#This Row],[Harga Satuan]]*REKAP[[#This Row],[Selisih]],0)</f>
        <v>0</v>
      </c>
    </row>
    <row r="1209" spans="1:20" x14ac:dyDescent="0.25">
      <c r="A1209" s="55" t="s">
        <v>2646</v>
      </c>
      <c r="B1209" s="55" t="s">
        <v>2055</v>
      </c>
      <c r="C1209" s="55" t="s">
        <v>2055</v>
      </c>
      <c r="D1209" s="56" t="s">
        <v>2071</v>
      </c>
      <c r="E1209" s="57"/>
      <c r="F1209" s="75" t="s">
        <v>247</v>
      </c>
      <c r="G1209" s="64" t="s">
        <v>1985</v>
      </c>
      <c r="H1209" s="58">
        <v>258000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1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1</v>
      </c>
      <c r="P1209" s="55"/>
      <c r="Q1209" s="62">
        <f>REKAP[[#This Row],[Harga Satuan]]*REKAP[[#This Row],[Stok Akhir]]</f>
        <v>258000</v>
      </c>
      <c r="R1209" s="61">
        <f>IF(REKAP[[#This Row],[Stok Aktual]]&lt;&gt;"",REKAP[[#This Row],[Stok Aktual]]-REKAP[[#This Row],[Stok Akhir]],0)</f>
        <v>0</v>
      </c>
      <c r="S1209" s="132"/>
      <c r="T1209" s="137">
        <f>IF(REKAP[[#This Row],[Selisih]]&lt;=-1,REKAP[[#This Row],[Harga Satuan]]*REKAP[[#This Row],[Selisih]],0)</f>
        <v>0</v>
      </c>
    </row>
    <row r="1210" spans="1:20" x14ac:dyDescent="0.25">
      <c r="A1210" s="55" t="s">
        <v>2647</v>
      </c>
      <c r="B1210" s="55" t="s">
        <v>2055</v>
      </c>
      <c r="C1210" s="55" t="s">
        <v>2055</v>
      </c>
      <c r="D1210" s="56" t="s">
        <v>2072</v>
      </c>
      <c r="E1210" s="57"/>
      <c r="F1210" s="75" t="s">
        <v>247</v>
      </c>
      <c r="G1210" s="64" t="s">
        <v>1985</v>
      </c>
      <c r="H1210" s="58">
        <v>238850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</v>
      </c>
      <c r="P1210" s="55"/>
      <c r="Q1210" s="62">
        <f>REKAP[[#This Row],[Harga Satuan]]*REKAP[[#This Row],[Stok Akhir]]</f>
        <v>716550</v>
      </c>
      <c r="R1210" s="61">
        <f>IF(REKAP[[#This Row],[Stok Aktual]]&lt;&gt;"",REKAP[[#This Row],[Stok Aktual]]-REKAP[[#This Row],[Stok Akhir]],0)</f>
        <v>0</v>
      </c>
      <c r="S1210" s="132"/>
      <c r="T1210" s="137">
        <f>IF(REKAP[[#This Row],[Selisih]]&lt;=-1,REKAP[[#This Row],[Harga Satuan]]*REKAP[[#This Row],[Selisih]],0)</f>
        <v>0</v>
      </c>
    </row>
    <row r="1211" spans="1:20" x14ac:dyDescent="0.25">
      <c r="A1211" s="55" t="s">
        <v>2648</v>
      </c>
      <c r="B1211" s="55" t="s">
        <v>2055</v>
      </c>
      <c r="C1211" s="55" t="s">
        <v>2055</v>
      </c>
      <c r="D1211" s="56" t="s">
        <v>2073</v>
      </c>
      <c r="E1211" s="57"/>
      <c r="F1211" s="75" t="s">
        <v>247</v>
      </c>
      <c r="G1211" s="64" t="s">
        <v>1985</v>
      </c>
      <c r="H1211" s="58">
        <v>251500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>
        <f>IF(REKAP[[#This Row],[Stok Aktual]]&lt;&gt;"",REKAP[[#This Row],[Stok Aktual]]-REKAP[[#This Row],[Stok Akhir]],0)</f>
        <v>0</v>
      </c>
      <c r="S1211" s="132"/>
      <c r="T1211" s="137">
        <f>IF(REKAP[[#This Row],[Selisih]]&lt;=-1,REKAP[[#This Row],[Harga Satuan]]*REKAP[[#This Row],[Selisih]],0)</f>
        <v>0</v>
      </c>
    </row>
    <row r="1212" spans="1:20" x14ac:dyDescent="0.25">
      <c r="A1212" s="55" t="s">
        <v>2649</v>
      </c>
      <c r="B1212" s="55" t="s">
        <v>2055</v>
      </c>
      <c r="C1212" s="55" t="s">
        <v>2055</v>
      </c>
      <c r="D1212" s="56" t="s">
        <v>2074</v>
      </c>
      <c r="E1212" s="57"/>
      <c r="F1212" s="75" t="s">
        <v>247</v>
      </c>
      <c r="G1212" s="64" t="s">
        <v>1985</v>
      </c>
      <c r="H1212" s="58">
        <v>277800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833400</v>
      </c>
      <c r="R1212" s="61">
        <f>IF(REKAP[[#This Row],[Stok Aktual]]&lt;&gt;"",REKAP[[#This Row],[Stok Aktual]]-REKAP[[#This Row],[Stok Akhir]],0)</f>
        <v>0</v>
      </c>
      <c r="S1212" s="132"/>
      <c r="T1212" s="137">
        <f>IF(REKAP[[#This Row],[Selisih]]&lt;=-1,REKAP[[#This Row],[Harga Satuan]]*REKAP[[#This Row],[Selisih]],0)</f>
        <v>0</v>
      </c>
    </row>
    <row r="1213" spans="1:20" x14ac:dyDescent="0.25">
      <c r="A1213" s="55" t="s">
        <v>2650</v>
      </c>
      <c r="B1213" s="55" t="s">
        <v>2055</v>
      </c>
      <c r="C1213" s="55" t="s">
        <v>2055</v>
      </c>
      <c r="D1213" s="56" t="s">
        <v>2075</v>
      </c>
      <c r="E1213" s="57"/>
      <c r="F1213" s="75" t="s">
        <v>247</v>
      </c>
      <c r="G1213" s="64" t="s">
        <v>1985</v>
      </c>
      <c r="H1213" s="58">
        <v>253800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0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0</v>
      </c>
      <c r="P1213" s="55"/>
      <c r="Q1213" s="62">
        <f>REKAP[[#This Row],[Harga Satuan]]*REKAP[[#This Row],[Stok Akhir]]</f>
        <v>0</v>
      </c>
      <c r="R1213" s="61">
        <f>IF(REKAP[[#This Row],[Stok Aktual]]&lt;&gt;"",REKAP[[#This Row],[Stok Aktual]]-REKAP[[#This Row],[Stok Akhir]],0)</f>
        <v>0</v>
      </c>
      <c r="S1213" s="132"/>
      <c r="T1213" s="137">
        <f>IF(REKAP[[#This Row],[Selisih]]&lt;=-1,REKAP[[#This Row],[Harga Satuan]]*REKAP[[#This Row],[Selisih]],0)</f>
        <v>0</v>
      </c>
    </row>
    <row r="1214" spans="1:20" x14ac:dyDescent="0.25">
      <c r="A1214" s="55" t="s">
        <v>2651</v>
      </c>
      <c r="B1214" s="55" t="s">
        <v>2055</v>
      </c>
      <c r="C1214" s="55" t="s">
        <v>2055</v>
      </c>
      <c r="D1214" s="56" t="s">
        <v>2076</v>
      </c>
      <c r="E1214" s="57"/>
      <c r="F1214" s="75" t="s">
        <v>247</v>
      </c>
      <c r="G1214" s="64" t="s">
        <v>1985</v>
      </c>
      <c r="H1214" s="58">
        <v>264000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</v>
      </c>
      <c r="P1214" s="55"/>
      <c r="Q1214" s="62">
        <f>REKAP[[#This Row],[Harga Satuan]]*REKAP[[#This Row],[Stok Akhir]]</f>
        <v>1056000</v>
      </c>
      <c r="R1214" s="61">
        <f>IF(REKAP[[#This Row],[Stok Aktual]]&lt;&gt;"",REKAP[[#This Row],[Stok Aktual]]-REKAP[[#This Row],[Stok Akhir]],0)</f>
        <v>0</v>
      </c>
      <c r="S1214" s="132"/>
      <c r="T1214" s="137">
        <f>IF(REKAP[[#This Row],[Selisih]]&lt;=-1,REKAP[[#This Row],[Harga Satuan]]*REKAP[[#This Row],[Selisih]],0)</f>
        <v>0</v>
      </c>
    </row>
    <row r="1215" spans="1:20" x14ac:dyDescent="0.25">
      <c r="A1215" s="55" t="s">
        <v>2652</v>
      </c>
      <c r="B1215" s="55" t="s">
        <v>2055</v>
      </c>
      <c r="C1215" s="55" t="s">
        <v>2055</v>
      </c>
      <c r="D1215" s="56" t="s">
        <v>2077</v>
      </c>
      <c r="E1215" s="57"/>
      <c r="F1215" s="75" t="s">
        <v>247</v>
      </c>
      <c r="G1215" s="64" t="s">
        <v>1985</v>
      </c>
      <c r="H1215" s="58">
        <v>273500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3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3</v>
      </c>
      <c r="P1215" s="55"/>
      <c r="Q1215" s="62">
        <f>REKAP[[#This Row],[Harga Satuan]]*REKAP[[#This Row],[Stok Akhir]]</f>
        <v>820500</v>
      </c>
      <c r="R1215" s="61">
        <f>IF(REKAP[[#This Row],[Stok Aktual]]&lt;&gt;"",REKAP[[#This Row],[Stok Aktual]]-REKAP[[#This Row],[Stok Akhir]],0)</f>
        <v>0</v>
      </c>
      <c r="S1215" s="132"/>
      <c r="T1215" s="137">
        <f>IF(REKAP[[#This Row],[Selisih]]&lt;=-1,REKAP[[#This Row],[Harga Satuan]]*REKAP[[#This Row],[Selisih]],0)</f>
        <v>0</v>
      </c>
    </row>
    <row r="1216" spans="1:20" x14ac:dyDescent="0.25">
      <c r="A1216" s="55" t="s">
        <v>2653</v>
      </c>
      <c r="B1216" s="55" t="s">
        <v>2055</v>
      </c>
      <c r="C1216" s="55" t="s">
        <v>2055</v>
      </c>
      <c r="D1216" s="56" t="s">
        <v>2078</v>
      </c>
      <c r="E1216" s="57"/>
      <c r="F1216" s="75" t="s">
        <v>247</v>
      </c>
      <c r="G1216" s="64" t="s">
        <v>1985</v>
      </c>
      <c r="H1216" s="58">
        <v>204900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409800</v>
      </c>
      <c r="R1216" s="61">
        <f>IF(REKAP[[#This Row],[Stok Aktual]]&lt;&gt;"",REKAP[[#This Row],[Stok Aktual]]-REKAP[[#This Row],[Stok Akhir]],0)</f>
        <v>0</v>
      </c>
      <c r="S1216" s="132"/>
      <c r="T1216" s="137">
        <f>IF(REKAP[[#This Row],[Selisih]]&lt;=-1,REKAP[[#This Row],[Harga Satuan]]*REKAP[[#This Row],[Selisih]],0)</f>
        <v>0</v>
      </c>
    </row>
    <row r="1217" spans="1:20" x14ac:dyDescent="0.25">
      <c r="A1217" s="55" t="s">
        <v>2654</v>
      </c>
      <c r="B1217" s="55" t="s">
        <v>2055</v>
      </c>
      <c r="C1217" s="55" t="s">
        <v>2055</v>
      </c>
      <c r="D1217" s="56" t="s">
        <v>2079</v>
      </c>
      <c r="E1217" s="57"/>
      <c r="F1217" s="75" t="s">
        <v>247</v>
      </c>
      <c r="G1217" s="64" t="s">
        <v>1985</v>
      </c>
      <c r="H1217" s="58">
        <v>204000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4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4</v>
      </c>
      <c r="P1217" s="55"/>
      <c r="Q1217" s="62">
        <f>REKAP[[#This Row],[Harga Satuan]]*REKAP[[#This Row],[Stok Akhir]]</f>
        <v>816000</v>
      </c>
      <c r="R1217" s="61">
        <f>IF(REKAP[[#This Row],[Stok Aktual]]&lt;&gt;"",REKAP[[#This Row],[Stok Aktual]]-REKAP[[#This Row],[Stok Akhir]],0)</f>
        <v>0</v>
      </c>
      <c r="S1217" s="132"/>
      <c r="T1217" s="137">
        <f>IF(REKAP[[#This Row],[Selisih]]&lt;=-1,REKAP[[#This Row],[Harga Satuan]]*REKAP[[#This Row],[Selisih]],0)</f>
        <v>0</v>
      </c>
    </row>
    <row r="1218" spans="1:20" x14ac:dyDescent="0.25">
      <c r="A1218" s="55" t="s">
        <v>2655</v>
      </c>
      <c r="B1218" s="55" t="s">
        <v>2055</v>
      </c>
      <c r="C1218" s="55" t="s">
        <v>2055</v>
      </c>
      <c r="D1218" s="56" t="s">
        <v>2080</v>
      </c>
      <c r="E1218" s="57"/>
      <c r="F1218" s="75" t="s">
        <v>247</v>
      </c>
      <c r="G1218" s="64" t="s">
        <v>1985</v>
      </c>
      <c r="H1218" s="58">
        <v>369200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4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4</v>
      </c>
      <c r="P1218" s="55"/>
      <c r="Q1218" s="62">
        <f>REKAP[[#This Row],[Harga Satuan]]*REKAP[[#This Row],[Stok Akhir]]</f>
        <v>1476800</v>
      </c>
      <c r="R1218" s="61">
        <f>IF(REKAP[[#This Row],[Stok Aktual]]&lt;&gt;"",REKAP[[#This Row],[Stok Aktual]]-REKAP[[#This Row],[Stok Akhir]],0)</f>
        <v>0</v>
      </c>
      <c r="S1218" s="132"/>
      <c r="T1218" s="137">
        <f>IF(REKAP[[#This Row],[Selisih]]&lt;=-1,REKAP[[#This Row],[Harga Satuan]]*REKAP[[#This Row],[Selisih]],0)</f>
        <v>0</v>
      </c>
    </row>
    <row r="1219" spans="1:20" x14ac:dyDescent="0.25">
      <c r="A1219" s="55" t="s">
        <v>2656</v>
      </c>
      <c r="B1219" s="55" t="s">
        <v>2055</v>
      </c>
      <c r="C1219" s="55" t="s">
        <v>2055</v>
      </c>
      <c r="D1219" s="56" t="s">
        <v>2081</v>
      </c>
      <c r="E1219" s="57"/>
      <c r="F1219" s="75" t="s">
        <v>247</v>
      </c>
      <c r="G1219" s="64" t="s">
        <v>1985</v>
      </c>
      <c r="H1219" s="58">
        <v>485800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3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3</v>
      </c>
      <c r="P1219" s="55"/>
      <c r="Q1219" s="62">
        <f>REKAP[[#This Row],[Harga Satuan]]*REKAP[[#This Row],[Stok Akhir]]</f>
        <v>1457400</v>
      </c>
      <c r="R1219" s="61">
        <f>IF(REKAP[[#This Row],[Stok Aktual]]&lt;&gt;"",REKAP[[#This Row],[Stok Aktual]]-REKAP[[#This Row],[Stok Akhir]],0)</f>
        <v>0</v>
      </c>
      <c r="S1219" s="132"/>
      <c r="T1219" s="137">
        <f>IF(REKAP[[#This Row],[Selisih]]&lt;=-1,REKAP[[#This Row],[Harga Satuan]]*REKAP[[#This Row],[Selisih]],0)</f>
        <v>0</v>
      </c>
    </row>
    <row r="1220" spans="1:20" x14ac:dyDescent="0.25">
      <c r="A1220" s="55" t="s">
        <v>2657</v>
      </c>
      <c r="B1220" s="55" t="s">
        <v>2055</v>
      </c>
      <c r="C1220" s="55" t="s">
        <v>2055</v>
      </c>
      <c r="D1220" s="56" t="s">
        <v>2082</v>
      </c>
      <c r="E1220" s="57"/>
      <c r="F1220" s="75" t="s">
        <v>247</v>
      </c>
      <c r="G1220" s="64" t="s">
        <v>1985</v>
      </c>
      <c r="H1220" s="58">
        <v>800800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5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5</v>
      </c>
      <c r="P1220" s="55"/>
      <c r="Q1220" s="62">
        <f>REKAP[[#This Row],[Harga Satuan]]*REKAP[[#This Row],[Stok Akhir]]</f>
        <v>4004000</v>
      </c>
      <c r="R1220" s="61">
        <f>IF(REKAP[[#This Row],[Stok Aktual]]&lt;&gt;"",REKAP[[#This Row],[Stok Aktual]]-REKAP[[#This Row],[Stok Akhir]],0)</f>
        <v>0</v>
      </c>
      <c r="S1220" s="132"/>
      <c r="T1220" s="137">
        <f>IF(REKAP[[#This Row],[Selisih]]&lt;=-1,REKAP[[#This Row],[Harga Satuan]]*REKAP[[#This Row],[Selisih]],0)</f>
        <v>0</v>
      </c>
    </row>
    <row r="1221" spans="1:20" x14ac:dyDescent="0.25">
      <c r="A1221" s="55" t="s">
        <v>2658</v>
      </c>
      <c r="B1221" s="55" t="s">
        <v>2083</v>
      </c>
      <c r="C1221" s="55" t="s">
        <v>2083</v>
      </c>
      <c r="D1221" s="56" t="s">
        <v>2084</v>
      </c>
      <c r="E1221" s="57"/>
      <c r="F1221" s="75" t="s">
        <v>247</v>
      </c>
      <c r="G1221" s="64" t="s">
        <v>1985</v>
      </c>
      <c r="H1221" s="58">
        <v>230000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3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3</v>
      </c>
      <c r="P1221" s="55"/>
      <c r="Q1221" s="62">
        <f>REKAP[[#This Row],[Harga Satuan]]*REKAP[[#This Row],[Stok Akhir]]</f>
        <v>690000</v>
      </c>
      <c r="R1221" s="61">
        <f>IF(REKAP[[#This Row],[Stok Aktual]]&lt;&gt;"",REKAP[[#This Row],[Stok Aktual]]-REKAP[[#This Row],[Stok Akhir]],0)</f>
        <v>0</v>
      </c>
      <c r="S1221" s="132"/>
      <c r="T1221" s="137">
        <f>IF(REKAP[[#This Row],[Selisih]]&lt;=-1,REKAP[[#This Row],[Harga Satuan]]*REKAP[[#This Row],[Selisih]],0)</f>
        <v>0</v>
      </c>
    </row>
    <row r="1222" spans="1:20" x14ac:dyDescent="0.25">
      <c r="A1222" s="55" t="s">
        <v>2659</v>
      </c>
      <c r="B1222" s="55" t="s">
        <v>2083</v>
      </c>
      <c r="C1222" s="55" t="s">
        <v>2083</v>
      </c>
      <c r="D1222" s="56" t="s">
        <v>2085</v>
      </c>
      <c r="E1222" s="57"/>
      <c r="F1222" s="75" t="s">
        <v>247</v>
      </c>
      <c r="G1222" s="64" t="s">
        <v>1985</v>
      </c>
      <c r="H1222" s="58">
        <v>245400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2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2</v>
      </c>
      <c r="P1222" s="55"/>
      <c r="Q1222" s="62">
        <f>REKAP[[#This Row],[Harga Satuan]]*REKAP[[#This Row],[Stok Akhir]]</f>
        <v>490800</v>
      </c>
      <c r="R1222" s="61">
        <f>IF(REKAP[[#This Row],[Stok Aktual]]&lt;&gt;"",REKAP[[#This Row],[Stok Aktual]]-REKAP[[#This Row],[Stok Akhir]],0)</f>
        <v>0</v>
      </c>
      <c r="S1222" s="132"/>
      <c r="T1222" s="137">
        <f>IF(REKAP[[#This Row],[Selisih]]&lt;=-1,REKAP[[#This Row],[Harga Satuan]]*REKAP[[#This Row],[Selisih]],0)</f>
        <v>0</v>
      </c>
    </row>
    <row r="1223" spans="1:20" x14ac:dyDescent="0.25">
      <c r="A1223" s="55" t="s">
        <v>2660</v>
      </c>
      <c r="B1223" s="55" t="s">
        <v>2083</v>
      </c>
      <c r="C1223" s="55" t="s">
        <v>2083</v>
      </c>
      <c r="D1223" s="56" t="s">
        <v>2086</v>
      </c>
      <c r="E1223" s="57"/>
      <c r="F1223" s="75" t="s">
        <v>247</v>
      </c>
      <c r="G1223" s="64" t="s">
        <v>1985</v>
      </c>
      <c r="H1223" s="58">
        <v>375000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750000</v>
      </c>
      <c r="R1223" s="61">
        <f>IF(REKAP[[#This Row],[Stok Aktual]]&lt;&gt;"",REKAP[[#This Row],[Stok Aktual]]-REKAP[[#This Row],[Stok Akhir]],0)</f>
        <v>0</v>
      </c>
      <c r="S1223" s="132"/>
      <c r="T1223" s="137">
        <f>IF(REKAP[[#This Row],[Selisih]]&lt;=-1,REKAP[[#This Row],[Harga Satuan]]*REKAP[[#This Row],[Selisih]],0)</f>
        <v>0</v>
      </c>
    </row>
    <row r="1224" spans="1:20" x14ac:dyDescent="0.25">
      <c r="A1224" s="55" t="s">
        <v>2661</v>
      </c>
      <c r="B1224" s="55" t="s">
        <v>2083</v>
      </c>
      <c r="C1224" s="55" t="s">
        <v>2083</v>
      </c>
      <c r="D1224" s="56" t="s">
        <v>2087</v>
      </c>
      <c r="E1224" s="57"/>
      <c r="F1224" s="75" t="s">
        <v>247</v>
      </c>
      <c r="G1224" s="64" t="s">
        <v>1985</v>
      </c>
      <c r="H1224" s="58">
        <v>520000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</v>
      </c>
      <c r="P1224" s="55"/>
      <c r="Q1224" s="62">
        <f>REKAP[[#This Row],[Harga Satuan]]*REKAP[[#This Row],[Stok Akhir]]</f>
        <v>1040000</v>
      </c>
      <c r="R1224" s="61">
        <f>IF(REKAP[[#This Row],[Stok Aktual]]&lt;&gt;"",REKAP[[#This Row],[Stok Aktual]]-REKAP[[#This Row],[Stok Akhir]],0)</f>
        <v>0</v>
      </c>
      <c r="S1224" s="132"/>
      <c r="T1224" s="137">
        <f>IF(REKAP[[#This Row],[Selisih]]&lt;=-1,REKAP[[#This Row],[Harga Satuan]]*REKAP[[#This Row],[Selisih]],0)</f>
        <v>0</v>
      </c>
    </row>
    <row r="1225" spans="1:20" x14ac:dyDescent="0.25">
      <c r="A1225" s="55" t="s">
        <v>2662</v>
      </c>
      <c r="B1225" s="55" t="s">
        <v>2083</v>
      </c>
      <c r="C1225" s="55" t="s">
        <v>2083</v>
      </c>
      <c r="D1225" s="56" t="s">
        <v>2088</v>
      </c>
      <c r="E1225" s="57"/>
      <c r="F1225" s="75" t="s">
        <v>247</v>
      </c>
      <c r="G1225" s="64" t="s">
        <v>1985</v>
      </c>
      <c r="H1225" s="58">
        <v>322000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2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2</v>
      </c>
      <c r="P1225" s="55"/>
      <c r="Q1225" s="62">
        <f>REKAP[[#This Row],[Harga Satuan]]*REKAP[[#This Row],[Stok Akhir]]</f>
        <v>644000</v>
      </c>
      <c r="R1225" s="61">
        <f>IF(REKAP[[#This Row],[Stok Aktual]]&lt;&gt;"",REKAP[[#This Row],[Stok Aktual]]-REKAP[[#This Row],[Stok Akhir]],0)</f>
        <v>0</v>
      </c>
      <c r="S1225" s="132"/>
      <c r="T1225" s="137">
        <f>IF(REKAP[[#This Row],[Selisih]]&lt;=-1,REKAP[[#This Row],[Harga Satuan]]*REKAP[[#This Row],[Selisih]],0)</f>
        <v>0</v>
      </c>
    </row>
    <row r="1226" spans="1:20" x14ac:dyDescent="0.25">
      <c r="A1226" s="55" t="s">
        <v>2663</v>
      </c>
      <c r="B1226" s="55" t="s">
        <v>2083</v>
      </c>
      <c r="C1226" s="55" t="s">
        <v>2083</v>
      </c>
      <c r="D1226" s="56" t="s">
        <v>2089</v>
      </c>
      <c r="E1226" s="57"/>
      <c r="F1226" s="75" t="s">
        <v>247</v>
      </c>
      <c r="G1226" s="64" t="s">
        <v>1985</v>
      </c>
      <c r="H1226" s="58">
        <v>252000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2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2</v>
      </c>
      <c r="P1226" s="55"/>
      <c r="Q1226" s="62">
        <f>REKAP[[#This Row],[Harga Satuan]]*REKAP[[#This Row],[Stok Akhir]]</f>
        <v>504000</v>
      </c>
      <c r="R1226" s="61">
        <f>IF(REKAP[[#This Row],[Stok Aktual]]&lt;&gt;"",REKAP[[#This Row],[Stok Aktual]]-REKAP[[#This Row],[Stok Akhir]],0)</f>
        <v>0</v>
      </c>
      <c r="S1226" s="132"/>
      <c r="T1226" s="137">
        <f>IF(REKAP[[#This Row],[Selisih]]&lt;=-1,REKAP[[#This Row],[Harga Satuan]]*REKAP[[#This Row],[Selisih]],0)</f>
        <v>0</v>
      </c>
    </row>
    <row r="1227" spans="1:20" x14ac:dyDescent="0.25">
      <c r="A1227" s="55" t="s">
        <v>2664</v>
      </c>
      <c r="B1227" s="55" t="s">
        <v>2083</v>
      </c>
      <c r="C1227" s="55" t="s">
        <v>2083</v>
      </c>
      <c r="D1227" s="56" t="s">
        <v>2090</v>
      </c>
      <c r="E1227" s="57"/>
      <c r="F1227" s="75" t="s">
        <v>247</v>
      </c>
      <c r="G1227" s="64" t="s">
        <v>1985</v>
      </c>
      <c r="H1227" s="58">
        <v>240000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4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4</v>
      </c>
      <c r="P1227" s="55"/>
      <c r="Q1227" s="62">
        <f>REKAP[[#This Row],[Harga Satuan]]*REKAP[[#This Row],[Stok Akhir]]</f>
        <v>960000</v>
      </c>
      <c r="R1227" s="61">
        <f>IF(REKAP[[#This Row],[Stok Aktual]]&lt;&gt;"",REKAP[[#This Row],[Stok Aktual]]-REKAP[[#This Row],[Stok Akhir]],0)</f>
        <v>0</v>
      </c>
      <c r="S1227" s="132"/>
      <c r="T1227" s="137">
        <f>IF(REKAP[[#This Row],[Selisih]]&lt;=-1,REKAP[[#This Row],[Harga Satuan]]*REKAP[[#This Row],[Selisih]],0)</f>
        <v>0</v>
      </c>
    </row>
    <row r="1228" spans="1:20" x14ac:dyDescent="0.25">
      <c r="A1228" s="55" t="s">
        <v>2665</v>
      </c>
      <c r="B1228" s="55" t="s">
        <v>2083</v>
      </c>
      <c r="C1228" s="55" t="s">
        <v>2083</v>
      </c>
      <c r="D1228" s="56" t="s">
        <v>2091</v>
      </c>
      <c r="E1228" s="57"/>
      <c r="F1228" s="75" t="s">
        <v>247</v>
      </c>
      <c r="G1228" s="64" t="s">
        <v>1985</v>
      </c>
      <c r="H1228" s="58">
        <v>222600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5</v>
      </c>
      <c r="P1228" s="55"/>
      <c r="Q1228" s="62">
        <f>REKAP[[#This Row],[Harga Satuan]]*REKAP[[#This Row],[Stok Akhir]]</f>
        <v>1113000</v>
      </c>
      <c r="R1228" s="61">
        <f>IF(REKAP[[#This Row],[Stok Aktual]]&lt;&gt;"",REKAP[[#This Row],[Stok Aktual]]-REKAP[[#This Row],[Stok Akhir]],0)</f>
        <v>0</v>
      </c>
      <c r="S1228" s="132"/>
      <c r="T1228" s="137">
        <f>IF(REKAP[[#This Row],[Selisih]]&lt;=-1,REKAP[[#This Row],[Harga Satuan]]*REKAP[[#This Row],[Selisih]],0)</f>
        <v>0</v>
      </c>
    </row>
    <row r="1229" spans="1:20" x14ac:dyDescent="0.25">
      <c r="A1229" s="55" t="s">
        <v>2666</v>
      </c>
      <c r="B1229" s="55" t="s">
        <v>2083</v>
      </c>
      <c r="C1229" s="55" t="s">
        <v>2083</v>
      </c>
      <c r="D1229" s="56" t="s">
        <v>2092</v>
      </c>
      <c r="E1229" s="57"/>
      <c r="F1229" s="75" t="s">
        <v>247</v>
      </c>
      <c r="G1229" s="64" t="s">
        <v>1985</v>
      </c>
      <c r="H1229" s="58">
        <v>315000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3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3</v>
      </c>
      <c r="P1229" s="55"/>
      <c r="Q1229" s="62">
        <f>REKAP[[#This Row],[Harga Satuan]]*REKAP[[#This Row],[Stok Akhir]]</f>
        <v>945000</v>
      </c>
      <c r="R1229" s="61">
        <f>IF(REKAP[[#This Row],[Stok Aktual]]&lt;&gt;"",REKAP[[#This Row],[Stok Aktual]]-REKAP[[#This Row],[Stok Akhir]],0)</f>
        <v>0</v>
      </c>
      <c r="S1229" s="132"/>
      <c r="T1229" s="137">
        <f>IF(REKAP[[#This Row],[Selisih]]&lt;=-1,REKAP[[#This Row],[Harga Satuan]]*REKAP[[#This Row],[Selisih]],0)</f>
        <v>0</v>
      </c>
    </row>
    <row r="1230" spans="1:20" x14ac:dyDescent="0.25">
      <c r="A1230" s="55" t="s">
        <v>2667</v>
      </c>
      <c r="B1230" s="55" t="s">
        <v>2083</v>
      </c>
      <c r="C1230" s="55" t="s">
        <v>2083</v>
      </c>
      <c r="D1230" s="56" t="s">
        <v>2093</v>
      </c>
      <c r="E1230" s="57"/>
      <c r="F1230" s="75" t="s">
        <v>247</v>
      </c>
      <c r="G1230" s="64" t="s">
        <v>1985</v>
      </c>
      <c r="H1230" s="58">
        <v>326400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3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3</v>
      </c>
      <c r="P1230" s="55"/>
      <c r="Q1230" s="62">
        <f>REKAP[[#This Row],[Harga Satuan]]*REKAP[[#This Row],[Stok Akhir]]</f>
        <v>979200</v>
      </c>
      <c r="R1230" s="61">
        <f>IF(REKAP[[#This Row],[Stok Aktual]]&lt;&gt;"",REKAP[[#This Row],[Stok Aktual]]-REKAP[[#This Row],[Stok Akhir]],0)</f>
        <v>0</v>
      </c>
      <c r="S1230" s="132"/>
      <c r="T1230" s="137">
        <f>IF(REKAP[[#This Row],[Selisih]]&lt;=-1,REKAP[[#This Row],[Harga Satuan]]*REKAP[[#This Row],[Selisih]],0)</f>
        <v>0</v>
      </c>
    </row>
    <row r="1231" spans="1:20" x14ac:dyDescent="0.25">
      <c r="A1231" s="55" t="s">
        <v>2668</v>
      </c>
      <c r="B1231" s="55" t="s">
        <v>2083</v>
      </c>
      <c r="C1231" s="55" t="s">
        <v>2083</v>
      </c>
      <c r="D1231" s="56" t="s">
        <v>2094</v>
      </c>
      <c r="E1231" s="57"/>
      <c r="F1231" s="75" t="s">
        <v>247</v>
      </c>
      <c r="G1231" s="64" t="s">
        <v>1985</v>
      </c>
      <c r="H1231" s="58">
        <v>340000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6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6</v>
      </c>
      <c r="P1231" s="55"/>
      <c r="Q1231" s="62">
        <f>REKAP[[#This Row],[Harga Satuan]]*REKAP[[#This Row],[Stok Akhir]]</f>
        <v>2040000</v>
      </c>
      <c r="R1231" s="61">
        <f>IF(REKAP[[#This Row],[Stok Aktual]]&lt;&gt;"",REKAP[[#This Row],[Stok Aktual]]-REKAP[[#This Row],[Stok Akhir]],0)</f>
        <v>0</v>
      </c>
      <c r="S1231" s="132"/>
      <c r="T1231" s="137">
        <f>IF(REKAP[[#This Row],[Selisih]]&lt;=-1,REKAP[[#This Row],[Harga Satuan]]*REKAP[[#This Row],[Selisih]],0)</f>
        <v>0</v>
      </c>
    </row>
    <row r="1232" spans="1:20" x14ac:dyDescent="0.25">
      <c r="A1232" s="55" t="s">
        <v>2669</v>
      </c>
      <c r="B1232" s="55" t="s">
        <v>2083</v>
      </c>
      <c r="C1232" s="55" t="s">
        <v>2083</v>
      </c>
      <c r="D1232" s="56" t="s">
        <v>2095</v>
      </c>
      <c r="E1232" s="57"/>
      <c r="F1232" s="75" t="s">
        <v>247</v>
      </c>
      <c r="G1232" s="64" t="s">
        <v>1985</v>
      </c>
      <c r="H1232" s="58">
        <v>686000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4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4</v>
      </c>
      <c r="P1232" s="55"/>
      <c r="Q1232" s="62">
        <f>REKAP[[#This Row],[Harga Satuan]]*REKAP[[#This Row],[Stok Akhir]]</f>
        <v>2744000</v>
      </c>
      <c r="R1232" s="61">
        <f>IF(REKAP[[#This Row],[Stok Aktual]]&lt;&gt;"",REKAP[[#This Row],[Stok Aktual]]-REKAP[[#This Row],[Stok Akhir]],0)</f>
        <v>0</v>
      </c>
      <c r="S1232" s="132"/>
      <c r="T1232" s="137">
        <f>IF(REKAP[[#This Row],[Selisih]]&lt;=-1,REKAP[[#This Row],[Harga Satuan]]*REKAP[[#This Row],[Selisih]],0)</f>
        <v>0</v>
      </c>
    </row>
    <row r="1233" spans="1:20" x14ac:dyDescent="0.25">
      <c r="A1233" s="55" t="s">
        <v>2670</v>
      </c>
      <c r="B1233" s="55" t="s">
        <v>2096</v>
      </c>
      <c r="C1233" s="55" t="s">
        <v>2096</v>
      </c>
      <c r="D1233" s="56" t="s">
        <v>2097</v>
      </c>
      <c r="E1233" s="57"/>
      <c r="F1233" s="75" t="s">
        <v>247</v>
      </c>
      <c r="G1233" s="64"/>
      <c r="H1233" s="58">
        <v>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0</v>
      </c>
      <c r="R1233" s="61">
        <f>IF(REKAP[[#This Row],[Stok Aktual]]&lt;&gt;"",REKAP[[#This Row],[Stok Aktual]]-REKAP[[#This Row],[Stok Akhir]],0)</f>
        <v>0</v>
      </c>
      <c r="S1233" s="132"/>
      <c r="T1233" s="137">
        <f>IF(REKAP[[#This Row],[Selisih]]&lt;=-1,REKAP[[#This Row],[Harga Satuan]]*REKAP[[#This Row],[Selisih]],0)</f>
        <v>0</v>
      </c>
    </row>
    <row r="1234" spans="1:20" x14ac:dyDescent="0.25">
      <c r="A1234" s="55" t="s">
        <v>2671</v>
      </c>
      <c r="B1234" s="55" t="s">
        <v>2098</v>
      </c>
      <c r="C1234" s="55" t="s">
        <v>2098</v>
      </c>
      <c r="D1234" s="56" t="s">
        <v>2099</v>
      </c>
      <c r="E1234" s="57"/>
      <c r="F1234" s="75" t="s">
        <v>247</v>
      </c>
      <c r="G1234" s="64" t="s">
        <v>828</v>
      </c>
      <c r="H1234" s="58">
        <v>138000</v>
      </c>
      <c r="I1234" s="59">
        <f>IF(COUNTIF(MASUK[Kode Barang],REKAP[[#This Row],[ID]])=0,0,COUNTIF(MASUK[Kode Barang],REKAP[[#This Row],[ID]]))</f>
        <v>1</v>
      </c>
      <c r="J1234" s="59">
        <f>IF(COUNTIF(MASUK8[Kode Barang],REKAP[[#This Row],[ID]])=0,0,COUNTIF(MASUK8[Kode Barang],REKAP[[#This Row],[ID]]))</f>
        <v>2</v>
      </c>
      <c r="K1234" s="60">
        <f>REKAP[[#This Row],[Trx In]]+REKAP[[#This Row],[Trx Out]]</f>
        <v>3</v>
      </c>
      <c r="L1234" s="55">
        <v>2</v>
      </c>
      <c r="M1234" s="74">
        <f>SUMIF(MASUK!$C:$C,REKAP[[#This Row],[ID]],MASUK!$H:$H)</f>
        <v>3</v>
      </c>
      <c r="N1234" s="74">
        <f>SUMIF(KELUAR!$C:$C,REKAP[[#This Row],[ID]],KELUAR!$H:$H)</f>
        <v>2</v>
      </c>
      <c r="O1234" s="74">
        <f>REKAP[[#This Row],[Stok Awal]]+REKAP[[#This Row],[Masuk]]-REKAP[[#This Row],[Keluar]]</f>
        <v>3</v>
      </c>
      <c r="P1234" s="55">
        <v>3</v>
      </c>
      <c r="Q1234" s="62">
        <f>REKAP[[#This Row],[Harga Satuan]]*REKAP[[#This Row],[Stok Akhir]]</f>
        <v>414000</v>
      </c>
      <c r="R1234" s="61">
        <f>IF(REKAP[[#This Row],[Stok Aktual]]&lt;&gt;"",REKAP[[#This Row],[Stok Aktual]]-REKAP[[#This Row],[Stok Akhir]],0)</f>
        <v>0</v>
      </c>
      <c r="S1234" s="132"/>
      <c r="T1234" s="137">
        <f>IF(REKAP[[#This Row],[Selisih]]&lt;=-1,REKAP[[#This Row],[Harga Satuan]]*REKAP[[#This Row],[Selisih]],0)</f>
        <v>0</v>
      </c>
    </row>
    <row r="1235" spans="1:20" x14ac:dyDescent="0.25">
      <c r="A1235" s="55" t="s">
        <v>2672</v>
      </c>
      <c r="B1235" s="55" t="s">
        <v>2100</v>
      </c>
      <c r="C1235" s="55" t="s">
        <v>2100</v>
      </c>
      <c r="D1235" s="56" t="s">
        <v>2101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2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2</v>
      </c>
      <c r="P1235" s="55"/>
      <c r="Q1235" s="62">
        <f>REKAP[[#This Row],[Harga Satuan]]*REKAP[[#This Row],[Stok Akhir]]</f>
        <v>80000</v>
      </c>
      <c r="R1235" s="61">
        <f>IF(REKAP[[#This Row],[Stok Aktual]]&lt;&gt;"",REKAP[[#This Row],[Stok Aktual]]-REKAP[[#This Row],[Stok Akhir]],0)</f>
        <v>0</v>
      </c>
      <c r="S1235" s="132"/>
      <c r="T1235" s="137">
        <f>IF(REKAP[[#This Row],[Selisih]]&lt;=-1,REKAP[[#This Row],[Harga Satuan]]*REKAP[[#This Row],[Selisih]],0)</f>
        <v>0</v>
      </c>
    </row>
    <row r="1236" spans="1:20" x14ac:dyDescent="0.25">
      <c r="A1236" s="55" t="s">
        <v>2673</v>
      </c>
      <c r="B1236" s="55" t="s">
        <v>3488</v>
      </c>
      <c r="C1236" s="55" t="s">
        <v>3488</v>
      </c>
      <c r="D1236" s="56" t="s">
        <v>2102</v>
      </c>
      <c r="E1236" s="57"/>
      <c r="F1236" s="75" t="s">
        <v>247</v>
      </c>
      <c r="G1236" s="64"/>
      <c r="H1236" s="58">
        <v>1466000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1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1</v>
      </c>
      <c r="P1236" s="55"/>
      <c r="Q1236" s="62">
        <f>REKAP[[#This Row],[Harga Satuan]]*REKAP[[#This Row],[Stok Akhir]]</f>
        <v>1466000</v>
      </c>
      <c r="R1236" s="61">
        <f>IF(REKAP[[#This Row],[Stok Aktual]]&lt;&gt;"",REKAP[[#This Row],[Stok Aktual]]-REKAP[[#This Row],[Stok Akhir]],0)</f>
        <v>0</v>
      </c>
      <c r="S1236" s="132"/>
      <c r="T1236" s="137">
        <f>IF(REKAP[[#This Row],[Selisih]]&lt;=-1,REKAP[[#This Row],[Harga Satuan]]*REKAP[[#This Row],[Selisih]],0)</f>
        <v>0</v>
      </c>
    </row>
    <row r="1237" spans="1:20" x14ac:dyDescent="0.25">
      <c r="A1237" s="55" t="s">
        <v>2674</v>
      </c>
      <c r="B1237" s="55" t="s">
        <v>3489</v>
      </c>
      <c r="C1237" s="55" t="s">
        <v>3489</v>
      </c>
      <c r="D1237" s="56" t="s">
        <v>2103</v>
      </c>
      <c r="E1237" s="57"/>
      <c r="F1237" s="75" t="s">
        <v>247</v>
      </c>
      <c r="G1237" s="64" t="s">
        <v>1985</v>
      </c>
      <c r="H1237" s="58">
        <v>658800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>
        <f>IF(REKAP[[#This Row],[Stok Aktual]]&lt;&gt;"",REKAP[[#This Row],[Stok Aktual]]-REKAP[[#This Row],[Stok Akhir]],0)</f>
        <v>0</v>
      </c>
      <c r="S1237" s="132"/>
      <c r="T1237" s="137">
        <f>IF(REKAP[[#This Row],[Selisih]]&lt;=-1,REKAP[[#This Row],[Harga Satuan]]*REKAP[[#This Row],[Selisih]],0)</f>
        <v>0</v>
      </c>
    </row>
    <row r="1238" spans="1:20" x14ac:dyDescent="0.25">
      <c r="A1238" s="55" t="s">
        <v>2675</v>
      </c>
      <c r="B1238" s="55" t="s">
        <v>3489</v>
      </c>
      <c r="C1238" s="55" t="s">
        <v>3489</v>
      </c>
      <c r="D1238" s="56" t="s">
        <v>2104</v>
      </c>
      <c r="E1238" s="57"/>
      <c r="F1238" s="75" t="s">
        <v>247</v>
      </c>
      <c r="G1238" s="64" t="s">
        <v>1985</v>
      </c>
      <c r="H1238" s="58">
        <v>720000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>
        <f>IF(REKAP[[#This Row],[Stok Aktual]]&lt;&gt;"",REKAP[[#This Row],[Stok Aktual]]-REKAP[[#This Row],[Stok Akhir]],0)</f>
        <v>0</v>
      </c>
      <c r="S1238" s="132"/>
      <c r="T1238" s="137">
        <f>IF(REKAP[[#This Row],[Selisih]]&lt;=-1,REKAP[[#This Row],[Harga Satuan]]*REKAP[[#This Row],[Selisih]],0)</f>
        <v>0</v>
      </c>
    </row>
    <row r="1239" spans="1:20" x14ac:dyDescent="0.25">
      <c r="A1239" s="55" t="s">
        <v>2676</v>
      </c>
      <c r="B1239" s="55" t="s">
        <v>3489</v>
      </c>
      <c r="C1239" s="55" t="s">
        <v>3489</v>
      </c>
      <c r="D1239" s="56" t="s">
        <v>2105</v>
      </c>
      <c r="E1239" s="57"/>
      <c r="F1239" s="75" t="s">
        <v>247</v>
      </c>
      <c r="G1239" s="64" t="s">
        <v>1985</v>
      </c>
      <c r="H1239" s="58">
        <v>926400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>
        <f>IF(REKAP[[#This Row],[Stok Aktual]]&lt;&gt;"",REKAP[[#This Row],[Stok Aktual]]-REKAP[[#This Row],[Stok Akhir]],0)</f>
        <v>0</v>
      </c>
      <c r="S1239" s="132"/>
      <c r="T1239" s="137">
        <f>IF(REKAP[[#This Row],[Selisih]]&lt;=-1,REKAP[[#This Row],[Harga Satuan]]*REKAP[[#This Row],[Selisih]],0)</f>
        <v>0</v>
      </c>
    </row>
    <row r="1240" spans="1:20" x14ac:dyDescent="0.25">
      <c r="A1240" s="55" t="s">
        <v>2677</v>
      </c>
      <c r="B1240" s="55" t="s">
        <v>3490</v>
      </c>
      <c r="C1240" s="55" t="s">
        <v>3490</v>
      </c>
      <c r="D1240" s="56" t="s">
        <v>2106</v>
      </c>
      <c r="E1240" s="57"/>
      <c r="F1240" s="75" t="s">
        <v>247</v>
      </c>
      <c r="G1240" s="64"/>
      <c r="H1240" s="58">
        <v>90000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1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1</v>
      </c>
      <c r="P1240" s="55"/>
      <c r="Q1240" s="62">
        <f>REKAP[[#This Row],[Harga Satuan]]*REKAP[[#This Row],[Stok Akhir]]</f>
        <v>90000</v>
      </c>
      <c r="R1240" s="61">
        <f>IF(REKAP[[#This Row],[Stok Aktual]]&lt;&gt;"",REKAP[[#This Row],[Stok Aktual]]-REKAP[[#This Row],[Stok Akhir]],0)</f>
        <v>0</v>
      </c>
      <c r="S1240" s="132"/>
      <c r="T1240" s="137">
        <f>IF(REKAP[[#This Row],[Selisih]]&lt;=-1,REKAP[[#This Row],[Harga Satuan]]*REKAP[[#This Row],[Selisih]],0)</f>
        <v>0</v>
      </c>
    </row>
    <row r="1241" spans="1:20" x14ac:dyDescent="0.25">
      <c r="A1241" s="55" t="s">
        <v>2678</v>
      </c>
      <c r="B1241" s="55" t="s">
        <v>3490</v>
      </c>
      <c r="C1241" s="55" t="s">
        <v>3490</v>
      </c>
      <c r="D1241" s="56" t="s">
        <v>2107</v>
      </c>
      <c r="E1241" s="57"/>
      <c r="F1241" s="75" t="s">
        <v>247</v>
      </c>
      <c r="G1241" s="64"/>
      <c r="H1241" s="58">
        <v>120000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120000</v>
      </c>
      <c r="R1241" s="61">
        <f>IF(REKAP[[#This Row],[Stok Aktual]]&lt;&gt;"",REKAP[[#This Row],[Stok Aktual]]-REKAP[[#This Row],[Stok Akhir]],0)</f>
        <v>0</v>
      </c>
      <c r="S1241" s="132"/>
      <c r="T1241" s="137">
        <f>IF(REKAP[[#This Row],[Selisih]]&lt;=-1,REKAP[[#This Row],[Harga Satuan]]*REKAP[[#This Row],[Selisih]],0)</f>
        <v>0</v>
      </c>
    </row>
    <row r="1242" spans="1:20" x14ac:dyDescent="0.25">
      <c r="A1242" s="55" t="s">
        <v>2679</v>
      </c>
      <c r="B1242" s="55" t="s">
        <v>3490</v>
      </c>
      <c r="C1242" s="55" t="s">
        <v>3490</v>
      </c>
      <c r="D1242" s="56" t="s">
        <v>2108</v>
      </c>
      <c r="E1242" s="57"/>
      <c r="F1242" s="75" t="s">
        <v>247</v>
      </c>
      <c r="G1242" s="64"/>
      <c r="H1242" s="58">
        <v>150000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1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1</v>
      </c>
      <c r="P1242" s="55"/>
      <c r="Q1242" s="62">
        <f>REKAP[[#This Row],[Harga Satuan]]*REKAP[[#This Row],[Stok Akhir]]</f>
        <v>150000</v>
      </c>
      <c r="R1242" s="61">
        <f>IF(REKAP[[#This Row],[Stok Aktual]]&lt;&gt;"",REKAP[[#This Row],[Stok Aktual]]-REKAP[[#This Row],[Stok Akhir]],0)</f>
        <v>0</v>
      </c>
      <c r="S1242" s="132"/>
      <c r="T1242" s="137">
        <f>IF(REKAP[[#This Row],[Selisih]]&lt;=-1,REKAP[[#This Row],[Harga Satuan]]*REKAP[[#This Row],[Selisih]],0)</f>
        <v>0</v>
      </c>
    </row>
    <row r="1243" spans="1:20" x14ac:dyDescent="0.25">
      <c r="A1243" s="55" t="s">
        <v>2680</v>
      </c>
      <c r="B1243" s="55" t="s">
        <v>2109</v>
      </c>
      <c r="C1243" s="55" t="s">
        <v>2109</v>
      </c>
      <c r="D1243" s="56" t="s">
        <v>2110</v>
      </c>
      <c r="E1243" s="57"/>
      <c r="F1243" s="75" t="s">
        <v>247</v>
      </c>
      <c r="G1243" s="64" t="s">
        <v>2111</v>
      </c>
      <c r="H1243" s="58">
        <v>150000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2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2</v>
      </c>
      <c r="P1243" s="55"/>
      <c r="Q1243" s="62">
        <f>REKAP[[#This Row],[Harga Satuan]]*REKAP[[#This Row],[Stok Akhir]]</f>
        <v>300000</v>
      </c>
      <c r="R1243" s="61">
        <f>IF(REKAP[[#This Row],[Stok Aktual]]&lt;&gt;"",REKAP[[#This Row],[Stok Aktual]]-REKAP[[#This Row],[Stok Akhir]],0)</f>
        <v>0</v>
      </c>
      <c r="S1243" s="132"/>
      <c r="T1243" s="137">
        <f>IF(REKAP[[#This Row],[Selisih]]&lt;=-1,REKAP[[#This Row],[Harga Satuan]]*REKAP[[#This Row],[Selisih]],0)</f>
        <v>0</v>
      </c>
    </row>
    <row r="1244" spans="1:20" x14ac:dyDescent="0.25">
      <c r="A1244" s="55" t="s">
        <v>2681</v>
      </c>
      <c r="B1244" s="55" t="s">
        <v>2109</v>
      </c>
      <c r="C1244" s="55" t="s">
        <v>2109</v>
      </c>
      <c r="D1244" s="56" t="s">
        <v>2112</v>
      </c>
      <c r="E1244" s="57"/>
      <c r="F1244" s="75" t="s">
        <v>247</v>
      </c>
      <c r="G1244" s="64" t="s">
        <v>2111</v>
      </c>
      <c r="H1244" s="58">
        <v>410000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410000</v>
      </c>
      <c r="R1244" s="61">
        <f>IF(REKAP[[#This Row],[Stok Aktual]]&lt;&gt;"",REKAP[[#This Row],[Stok Aktual]]-REKAP[[#This Row],[Stok Akhir]],0)</f>
        <v>0</v>
      </c>
      <c r="S1244" s="132"/>
      <c r="T1244" s="137">
        <f>IF(REKAP[[#This Row],[Selisih]]&lt;=-1,REKAP[[#This Row],[Harga Satuan]]*REKAP[[#This Row],[Selisih]],0)</f>
        <v>0</v>
      </c>
    </row>
    <row r="1245" spans="1:20" x14ac:dyDescent="0.25">
      <c r="A1245" s="55" t="s">
        <v>2682</v>
      </c>
      <c r="B1245" s="55" t="s">
        <v>3491</v>
      </c>
      <c r="C1245" s="55" t="s">
        <v>3491</v>
      </c>
      <c r="D1245" s="56" t="s">
        <v>2113</v>
      </c>
      <c r="E1245" s="57"/>
      <c r="F1245" s="75" t="s">
        <v>247</v>
      </c>
      <c r="G1245" s="64" t="s">
        <v>828</v>
      </c>
      <c r="H1245" s="58">
        <v>1130000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</v>
      </c>
      <c r="P1245" s="55"/>
      <c r="Q1245" s="62">
        <f>REKAP[[#This Row],[Harga Satuan]]*REKAP[[#This Row],[Stok Akhir]]</f>
        <v>1130000</v>
      </c>
      <c r="R1245" s="61">
        <f>IF(REKAP[[#This Row],[Stok Aktual]]&lt;&gt;"",REKAP[[#This Row],[Stok Aktual]]-REKAP[[#This Row],[Stok Akhir]],0)</f>
        <v>0</v>
      </c>
      <c r="S1245" s="132"/>
      <c r="T1245" s="137">
        <f>IF(REKAP[[#This Row],[Selisih]]&lt;=-1,REKAP[[#This Row],[Harga Satuan]]*REKAP[[#This Row],[Selisih]],0)</f>
        <v>0</v>
      </c>
    </row>
    <row r="1246" spans="1:20" x14ac:dyDescent="0.25">
      <c r="A1246" s="55" t="s">
        <v>2683</v>
      </c>
      <c r="B1246" s="55" t="s">
        <v>2114</v>
      </c>
      <c r="C1246" s="55" t="s">
        <v>2114</v>
      </c>
      <c r="D1246" s="56" t="s">
        <v>2115</v>
      </c>
      <c r="E1246" s="57"/>
      <c r="F1246" s="75" t="s">
        <v>247</v>
      </c>
      <c r="G1246" s="64" t="s">
        <v>2116</v>
      </c>
      <c r="H1246" s="58">
        <v>21000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7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7</v>
      </c>
      <c r="P1246" s="55"/>
      <c r="Q1246" s="62">
        <f>REKAP[[#This Row],[Harga Satuan]]*REKAP[[#This Row],[Stok Akhir]]</f>
        <v>147000</v>
      </c>
      <c r="R1246" s="61">
        <f>IF(REKAP[[#This Row],[Stok Aktual]]&lt;&gt;"",REKAP[[#This Row],[Stok Aktual]]-REKAP[[#This Row],[Stok Akhir]],0)</f>
        <v>0</v>
      </c>
      <c r="S1246" s="132"/>
      <c r="T1246" s="137">
        <f>IF(REKAP[[#This Row],[Selisih]]&lt;=-1,REKAP[[#This Row],[Harga Satuan]]*REKAP[[#This Row],[Selisih]],0)</f>
        <v>0</v>
      </c>
    </row>
    <row r="1247" spans="1:20" x14ac:dyDescent="0.25">
      <c r="A1247" s="55" t="s">
        <v>2684</v>
      </c>
      <c r="B1247" s="55" t="s">
        <v>2114</v>
      </c>
      <c r="C1247" s="55" t="s">
        <v>2114</v>
      </c>
      <c r="D1247" s="56" t="s">
        <v>2117</v>
      </c>
      <c r="E1247" s="57"/>
      <c r="F1247" s="75" t="s">
        <v>247</v>
      </c>
      <c r="G1247" s="64" t="s">
        <v>828</v>
      </c>
      <c r="H1247" s="58">
        <v>19000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0</v>
      </c>
      <c r="P1247" s="55"/>
      <c r="Q1247" s="62">
        <f>REKAP[[#This Row],[Harga Satuan]]*REKAP[[#This Row],[Stok Akhir]]</f>
        <v>0</v>
      </c>
      <c r="R1247" s="61">
        <f>IF(REKAP[[#This Row],[Stok Aktual]]&lt;&gt;"",REKAP[[#This Row],[Stok Aktual]]-REKAP[[#This Row],[Stok Akhir]],0)</f>
        <v>0</v>
      </c>
      <c r="S1247" s="132"/>
      <c r="T1247" s="137">
        <f>IF(REKAP[[#This Row],[Selisih]]&lt;=-1,REKAP[[#This Row],[Harga Satuan]]*REKAP[[#This Row],[Selisih]],0)</f>
        <v>0</v>
      </c>
    </row>
    <row r="1248" spans="1:20" x14ac:dyDescent="0.25">
      <c r="A1248" s="55" t="s">
        <v>2685</v>
      </c>
      <c r="B1248" s="55" t="s">
        <v>2114</v>
      </c>
      <c r="C1248" s="55" t="s">
        <v>2114</v>
      </c>
      <c r="D1248" s="56" t="s">
        <v>2118</v>
      </c>
      <c r="E1248" s="57"/>
      <c r="F1248" s="75" t="s">
        <v>247</v>
      </c>
      <c r="G1248" s="64" t="s">
        <v>828</v>
      </c>
      <c r="H1248" s="58">
        <v>15500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11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11</v>
      </c>
      <c r="P1248" s="55"/>
      <c r="Q1248" s="62">
        <f>REKAP[[#This Row],[Harga Satuan]]*REKAP[[#This Row],[Stok Akhir]]</f>
        <v>170500</v>
      </c>
      <c r="R1248" s="61">
        <f>IF(REKAP[[#This Row],[Stok Aktual]]&lt;&gt;"",REKAP[[#This Row],[Stok Aktual]]-REKAP[[#This Row],[Stok Akhir]],0)</f>
        <v>0</v>
      </c>
      <c r="S1248" s="132"/>
      <c r="T1248" s="137">
        <f>IF(REKAP[[#This Row],[Selisih]]&lt;=-1,REKAP[[#This Row],[Harga Satuan]]*REKAP[[#This Row],[Selisih]],0)</f>
        <v>0</v>
      </c>
    </row>
    <row r="1249" spans="1:20" x14ac:dyDescent="0.25">
      <c r="A1249" s="55" t="s">
        <v>2686</v>
      </c>
      <c r="B1249" s="55" t="s">
        <v>2114</v>
      </c>
      <c r="C1249" s="55" t="s">
        <v>2114</v>
      </c>
      <c r="D1249" s="56" t="s">
        <v>2119</v>
      </c>
      <c r="E1249" s="57"/>
      <c r="F1249" s="75" t="s">
        <v>247</v>
      </c>
      <c r="G1249" s="64" t="s">
        <v>828</v>
      </c>
      <c r="H1249" s="58">
        <v>15000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2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2</v>
      </c>
      <c r="P1249" s="55"/>
      <c r="Q1249" s="62">
        <f>REKAP[[#This Row],[Harga Satuan]]*REKAP[[#This Row],[Stok Akhir]]</f>
        <v>30000</v>
      </c>
      <c r="R1249" s="61">
        <f>IF(REKAP[[#This Row],[Stok Aktual]]&lt;&gt;"",REKAP[[#This Row],[Stok Aktual]]-REKAP[[#This Row],[Stok Akhir]],0)</f>
        <v>0</v>
      </c>
      <c r="S1249" s="132"/>
      <c r="T1249" s="137">
        <f>IF(REKAP[[#This Row],[Selisih]]&lt;=-1,REKAP[[#This Row],[Harga Satuan]]*REKAP[[#This Row],[Selisih]],0)</f>
        <v>0</v>
      </c>
    </row>
    <row r="1250" spans="1:20" x14ac:dyDescent="0.25">
      <c r="A1250" s="55" t="s">
        <v>2687</v>
      </c>
      <c r="B1250" s="55" t="s">
        <v>2114</v>
      </c>
      <c r="C1250" s="55" t="s">
        <v>2114</v>
      </c>
      <c r="D1250" s="56" t="s">
        <v>2120</v>
      </c>
      <c r="E1250" s="57"/>
      <c r="F1250" s="75" t="s">
        <v>247</v>
      </c>
      <c r="G1250" s="64"/>
      <c r="H1250" s="58">
        <v>10450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31350</v>
      </c>
      <c r="R1250" s="61">
        <f>IF(REKAP[[#This Row],[Stok Aktual]]&lt;&gt;"",REKAP[[#This Row],[Stok Aktual]]-REKAP[[#This Row],[Stok Akhir]],0)</f>
        <v>0</v>
      </c>
      <c r="S1250" s="132"/>
      <c r="T1250" s="137">
        <f>IF(REKAP[[#This Row],[Selisih]]&lt;=-1,REKAP[[#This Row],[Harga Satuan]]*REKAP[[#This Row],[Selisih]],0)</f>
        <v>0</v>
      </c>
    </row>
    <row r="1251" spans="1:20" x14ac:dyDescent="0.25">
      <c r="A1251" s="55" t="s">
        <v>2688</v>
      </c>
      <c r="B1251" s="55" t="s">
        <v>2114</v>
      </c>
      <c r="C1251" s="55" t="s">
        <v>2114</v>
      </c>
      <c r="D1251" s="56" t="s">
        <v>2121</v>
      </c>
      <c r="E1251" s="57"/>
      <c r="F1251" s="75" t="s">
        <v>247</v>
      </c>
      <c r="G1251" s="64" t="s">
        <v>828</v>
      </c>
      <c r="H1251" s="58">
        <v>15000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6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6</v>
      </c>
      <c r="P1251" s="55"/>
      <c r="Q1251" s="62">
        <f>REKAP[[#This Row],[Harga Satuan]]*REKAP[[#This Row],[Stok Akhir]]</f>
        <v>90000</v>
      </c>
      <c r="R1251" s="61">
        <f>IF(REKAP[[#This Row],[Stok Aktual]]&lt;&gt;"",REKAP[[#This Row],[Stok Aktual]]-REKAP[[#This Row],[Stok Akhir]],0)</f>
        <v>0</v>
      </c>
      <c r="S1251" s="132"/>
      <c r="T1251" s="137">
        <f>IF(REKAP[[#This Row],[Selisih]]&lt;=-1,REKAP[[#This Row],[Harga Satuan]]*REKAP[[#This Row],[Selisih]],0)</f>
        <v>0</v>
      </c>
    </row>
    <row r="1252" spans="1:20" x14ac:dyDescent="0.25">
      <c r="A1252" s="55" t="s">
        <v>2689</v>
      </c>
      <c r="B1252" s="55" t="s">
        <v>2122</v>
      </c>
      <c r="C1252" s="55" t="s">
        <v>2122</v>
      </c>
      <c r="D1252" s="56" t="s">
        <v>2123</v>
      </c>
      <c r="E1252" s="57"/>
      <c r="F1252" s="75" t="s">
        <v>247</v>
      </c>
      <c r="G1252" s="64"/>
      <c r="H1252" s="58"/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</v>
      </c>
      <c r="P1252" s="55"/>
      <c r="Q1252" s="62">
        <f>REKAP[[#This Row],[Harga Satuan]]*REKAP[[#This Row],[Stok Akhir]]</f>
        <v>0</v>
      </c>
      <c r="R1252" s="61">
        <f>IF(REKAP[[#This Row],[Stok Aktual]]&lt;&gt;"",REKAP[[#This Row],[Stok Aktual]]-REKAP[[#This Row],[Stok Akhir]],0)</f>
        <v>0</v>
      </c>
      <c r="S1252" s="132"/>
      <c r="T1252" s="137">
        <f>IF(REKAP[[#This Row],[Selisih]]&lt;=-1,REKAP[[#This Row],[Harga Satuan]]*REKAP[[#This Row],[Selisih]],0)</f>
        <v>0</v>
      </c>
    </row>
    <row r="1253" spans="1:20" x14ac:dyDescent="0.25">
      <c r="A1253" s="55" t="s">
        <v>2690</v>
      </c>
      <c r="B1253" s="55" t="s">
        <v>2114</v>
      </c>
      <c r="C1253" s="55" t="s">
        <v>2114</v>
      </c>
      <c r="D1253" s="56" t="s">
        <v>2124</v>
      </c>
      <c r="E1253" s="57"/>
      <c r="F1253" s="75" t="s">
        <v>247</v>
      </c>
      <c r="G1253" s="64" t="s">
        <v>828</v>
      </c>
      <c r="H1253" s="58">
        <v>15000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2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2</v>
      </c>
      <c r="P1253" s="55">
        <v>2</v>
      </c>
      <c r="Q1253" s="62">
        <f>REKAP[[#This Row],[Harga Satuan]]*REKAP[[#This Row],[Stok Akhir]]</f>
        <v>30000</v>
      </c>
      <c r="R1253" s="61">
        <f>IF(REKAP[[#This Row],[Stok Aktual]]&lt;&gt;"",REKAP[[#This Row],[Stok Aktual]]-REKAP[[#This Row],[Stok Akhir]],0)</f>
        <v>0</v>
      </c>
      <c r="S1253" s="132"/>
      <c r="T1253" s="137">
        <f>IF(REKAP[[#This Row],[Selisih]]&lt;=-1,REKAP[[#This Row],[Harga Satuan]]*REKAP[[#This Row],[Selisih]],0)</f>
        <v>0</v>
      </c>
    </row>
    <row r="1254" spans="1:20" x14ac:dyDescent="0.25">
      <c r="A1254" s="55" t="s">
        <v>2691</v>
      </c>
      <c r="B1254" s="55" t="s">
        <v>2114</v>
      </c>
      <c r="C1254" s="55" t="s">
        <v>2114</v>
      </c>
      <c r="D1254" s="56" t="s">
        <v>2125</v>
      </c>
      <c r="E1254" s="57"/>
      <c r="F1254" s="75" t="s">
        <v>247</v>
      </c>
      <c r="G1254" s="64" t="s">
        <v>828</v>
      </c>
      <c r="H1254" s="58">
        <v>94000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1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1</v>
      </c>
      <c r="P1254" s="55"/>
      <c r="Q1254" s="62">
        <f>REKAP[[#This Row],[Harga Satuan]]*REKAP[[#This Row],[Stok Akhir]]</f>
        <v>94000</v>
      </c>
      <c r="R1254" s="61">
        <f>IF(REKAP[[#This Row],[Stok Aktual]]&lt;&gt;"",REKAP[[#This Row],[Stok Aktual]]-REKAP[[#This Row],[Stok Akhir]],0)</f>
        <v>0</v>
      </c>
      <c r="S1254" s="132"/>
      <c r="T1254" s="137">
        <f>IF(REKAP[[#This Row],[Selisih]]&lt;=-1,REKAP[[#This Row],[Harga Satuan]]*REKAP[[#This Row],[Selisih]],0)</f>
        <v>0</v>
      </c>
    </row>
    <row r="1255" spans="1:20" x14ac:dyDescent="0.25">
      <c r="A1255" s="55" t="s">
        <v>2692</v>
      </c>
      <c r="B1255" s="55" t="s">
        <v>2114</v>
      </c>
      <c r="C1255" s="55" t="s">
        <v>2114</v>
      </c>
      <c r="D1255" s="56" t="s">
        <v>2126</v>
      </c>
      <c r="E1255" s="57"/>
      <c r="F1255" s="75" t="s">
        <v>247</v>
      </c>
      <c r="G1255" s="64" t="s">
        <v>828</v>
      </c>
      <c r="H1255" s="58">
        <v>18000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90000</v>
      </c>
      <c r="R1255" s="61">
        <f>IF(REKAP[[#This Row],[Stok Aktual]]&lt;&gt;"",REKAP[[#This Row],[Stok Aktual]]-REKAP[[#This Row],[Stok Akhir]],0)</f>
        <v>0</v>
      </c>
      <c r="S1255" s="132"/>
      <c r="T1255" s="137">
        <f>IF(REKAP[[#This Row],[Selisih]]&lt;=-1,REKAP[[#This Row],[Harga Satuan]]*REKAP[[#This Row],[Selisih]],0)</f>
        <v>0</v>
      </c>
    </row>
    <row r="1256" spans="1:20" x14ac:dyDescent="0.25">
      <c r="A1256" s="55" t="s">
        <v>2693</v>
      </c>
      <c r="B1256" s="55" t="s">
        <v>2114</v>
      </c>
      <c r="C1256" s="55" t="s">
        <v>2114</v>
      </c>
      <c r="D1256" s="56" t="s">
        <v>2127</v>
      </c>
      <c r="E1256" s="57"/>
      <c r="F1256" s="75" t="s">
        <v>247</v>
      </c>
      <c r="G1256" s="64" t="s">
        <v>828</v>
      </c>
      <c r="H1256" s="58">
        <v>13500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3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3</v>
      </c>
      <c r="P1256" s="55"/>
      <c r="Q1256" s="62">
        <f>REKAP[[#This Row],[Harga Satuan]]*REKAP[[#This Row],[Stok Akhir]]</f>
        <v>40500</v>
      </c>
      <c r="R1256" s="61">
        <f>IF(REKAP[[#This Row],[Stok Aktual]]&lt;&gt;"",REKAP[[#This Row],[Stok Aktual]]-REKAP[[#This Row],[Stok Akhir]],0)</f>
        <v>0</v>
      </c>
      <c r="S1256" s="132"/>
      <c r="T1256" s="137">
        <f>IF(REKAP[[#This Row],[Selisih]]&lt;=-1,REKAP[[#This Row],[Harga Satuan]]*REKAP[[#This Row],[Selisih]],0)</f>
        <v>0</v>
      </c>
    </row>
    <row r="1257" spans="1:20" x14ac:dyDescent="0.25">
      <c r="A1257" s="55" t="s">
        <v>2694</v>
      </c>
      <c r="B1257" s="55" t="s">
        <v>2114</v>
      </c>
      <c r="C1257" s="55" t="s">
        <v>2114</v>
      </c>
      <c r="D1257" s="56" t="s">
        <v>2128</v>
      </c>
      <c r="E1257" s="57"/>
      <c r="F1257" s="75" t="s">
        <v>247</v>
      </c>
      <c r="G1257" s="64" t="s">
        <v>828</v>
      </c>
      <c r="H1257" s="58">
        <v>18500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4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4</v>
      </c>
      <c r="P1257" s="55"/>
      <c r="Q1257" s="62">
        <f>REKAP[[#This Row],[Harga Satuan]]*REKAP[[#This Row],[Stok Akhir]]</f>
        <v>74000</v>
      </c>
      <c r="R1257" s="61">
        <f>IF(REKAP[[#This Row],[Stok Aktual]]&lt;&gt;"",REKAP[[#This Row],[Stok Aktual]]-REKAP[[#This Row],[Stok Akhir]],0)</f>
        <v>0</v>
      </c>
      <c r="S1257" s="132"/>
      <c r="T1257" s="137">
        <f>IF(REKAP[[#This Row],[Selisih]]&lt;=-1,REKAP[[#This Row],[Harga Satuan]]*REKAP[[#This Row],[Selisih]],0)</f>
        <v>0</v>
      </c>
    </row>
    <row r="1258" spans="1:20" x14ac:dyDescent="0.25">
      <c r="A1258" s="55" t="s">
        <v>2695</v>
      </c>
      <c r="B1258" s="55" t="s">
        <v>2114</v>
      </c>
      <c r="C1258" s="55" t="s">
        <v>2114</v>
      </c>
      <c r="D1258" s="56" t="s">
        <v>2129</v>
      </c>
      <c r="E1258" s="57"/>
      <c r="F1258" s="75" t="s">
        <v>247</v>
      </c>
      <c r="G1258" s="64" t="s">
        <v>828</v>
      </c>
      <c r="H1258" s="58">
        <v>132330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</v>
      </c>
      <c r="P1258" s="55"/>
      <c r="Q1258" s="62">
        <f>REKAP[[#This Row],[Harga Satuan]]*REKAP[[#This Row],[Stok Akhir]]</f>
        <v>132330</v>
      </c>
      <c r="R1258" s="61">
        <f>IF(REKAP[[#This Row],[Stok Aktual]]&lt;&gt;"",REKAP[[#This Row],[Stok Aktual]]-REKAP[[#This Row],[Stok Akhir]],0)</f>
        <v>0</v>
      </c>
      <c r="S1258" s="132"/>
      <c r="T1258" s="137">
        <f>IF(REKAP[[#This Row],[Selisih]]&lt;=-1,REKAP[[#This Row],[Harga Satuan]]*REKAP[[#This Row],[Selisih]],0)</f>
        <v>0</v>
      </c>
    </row>
    <row r="1259" spans="1:20" x14ac:dyDescent="0.25">
      <c r="A1259" s="55" t="s">
        <v>2696</v>
      </c>
      <c r="B1259" s="55" t="s">
        <v>2114</v>
      </c>
      <c r="C1259" s="55" t="s">
        <v>2114</v>
      </c>
      <c r="D1259" s="56" t="s">
        <v>2130</v>
      </c>
      <c r="E1259" s="57"/>
      <c r="F1259" s="75" t="s">
        <v>247</v>
      </c>
      <c r="G1259" s="64" t="s">
        <v>828</v>
      </c>
      <c r="H1259" s="58">
        <v>18000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3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3</v>
      </c>
      <c r="P1259" s="55"/>
      <c r="Q1259" s="62">
        <f>REKAP[[#This Row],[Harga Satuan]]*REKAP[[#This Row],[Stok Akhir]]</f>
        <v>54000</v>
      </c>
      <c r="R1259" s="61">
        <f>IF(REKAP[[#This Row],[Stok Aktual]]&lt;&gt;"",REKAP[[#This Row],[Stok Aktual]]-REKAP[[#This Row],[Stok Akhir]],0)</f>
        <v>0</v>
      </c>
      <c r="S1259" s="132"/>
      <c r="T1259" s="137">
        <f>IF(REKAP[[#This Row],[Selisih]]&lt;=-1,REKAP[[#This Row],[Harga Satuan]]*REKAP[[#This Row],[Selisih]],0)</f>
        <v>0</v>
      </c>
    </row>
    <row r="1260" spans="1:20" x14ac:dyDescent="0.25">
      <c r="A1260" s="55" t="s">
        <v>2697</v>
      </c>
      <c r="B1260" s="55" t="s">
        <v>2114</v>
      </c>
      <c r="C1260" s="55" t="s">
        <v>2114</v>
      </c>
      <c r="D1260" s="56" t="s">
        <v>2131</v>
      </c>
      <c r="E1260" s="57"/>
      <c r="F1260" s="75" t="s">
        <v>247</v>
      </c>
      <c r="G1260" s="64" t="s">
        <v>828</v>
      </c>
      <c r="H1260" s="58">
        <v>17000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3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3</v>
      </c>
      <c r="P1260" s="55"/>
      <c r="Q1260" s="62">
        <f>REKAP[[#This Row],[Harga Satuan]]*REKAP[[#This Row],[Stok Akhir]]</f>
        <v>51000</v>
      </c>
      <c r="R1260" s="61">
        <f>IF(REKAP[[#This Row],[Stok Aktual]]&lt;&gt;"",REKAP[[#This Row],[Stok Aktual]]-REKAP[[#This Row],[Stok Akhir]],0)</f>
        <v>0</v>
      </c>
      <c r="S1260" s="132"/>
      <c r="T1260" s="137">
        <f>IF(REKAP[[#This Row],[Selisih]]&lt;=-1,REKAP[[#This Row],[Harga Satuan]]*REKAP[[#This Row],[Selisih]],0)</f>
        <v>0</v>
      </c>
    </row>
    <row r="1261" spans="1:20" x14ac:dyDescent="0.25">
      <c r="A1261" s="55" t="s">
        <v>2698</v>
      </c>
      <c r="B1261" s="55" t="s">
        <v>2114</v>
      </c>
      <c r="C1261" s="55" t="s">
        <v>2114</v>
      </c>
      <c r="D1261" s="56" t="s">
        <v>2132</v>
      </c>
      <c r="E1261" s="57"/>
      <c r="F1261" s="75" t="s">
        <v>247</v>
      </c>
      <c r="G1261" s="64" t="s">
        <v>828</v>
      </c>
      <c r="H1261" s="58">
        <v>20000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40000</v>
      </c>
      <c r="R1261" s="61">
        <f>IF(REKAP[[#This Row],[Stok Aktual]]&lt;&gt;"",REKAP[[#This Row],[Stok Aktual]]-REKAP[[#This Row],[Stok Akhir]],0)</f>
        <v>0</v>
      </c>
      <c r="S1261" s="132"/>
      <c r="T1261" s="137">
        <f>IF(REKAP[[#This Row],[Selisih]]&lt;=-1,REKAP[[#This Row],[Harga Satuan]]*REKAP[[#This Row],[Selisih]],0)</f>
        <v>0</v>
      </c>
    </row>
    <row r="1262" spans="1:20" x14ac:dyDescent="0.25">
      <c r="A1262" s="55" t="s">
        <v>2699</v>
      </c>
      <c r="B1262" s="55" t="s">
        <v>2114</v>
      </c>
      <c r="C1262" s="55" t="s">
        <v>2114</v>
      </c>
      <c r="D1262" s="56" t="s">
        <v>2133</v>
      </c>
      <c r="E1262" s="57"/>
      <c r="F1262" s="75" t="s">
        <v>247</v>
      </c>
      <c r="G1262" s="64" t="s">
        <v>828</v>
      </c>
      <c r="H1262" s="58">
        <v>13750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27500</v>
      </c>
      <c r="R1262" s="61">
        <f>IF(REKAP[[#This Row],[Stok Aktual]]&lt;&gt;"",REKAP[[#This Row],[Stok Aktual]]-REKAP[[#This Row],[Stok Akhir]],0)</f>
        <v>0</v>
      </c>
      <c r="S1262" s="132"/>
      <c r="T1262" s="137">
        <f>IF(REKAP[[#This Row],[Selisih]]&lt;=-1,REKAP[[#This Row],[Harga Satuan]]*REKAP[[#This Row],[Selisih]],0)</f>
        <v>0</v>
      </c>
    </row>
    <row r="1263" spans="1:20" x14ac:dyDescent="0.25">
      <c r="A1263" s="55" t="s">
        <v>2700</v>
      </c>
      <c r="B1263" s="55" t="s">
        <v>2114</v>
      </c>
      <c r="C1263" s="55" t="s">
        <v>2114</v>
      </c>
      <c r="D1263" s="56" t="s">
        <v>2134</v>
      </c>
      <c r="E1263" s="57"/>
      <c r="F1263" s="75" t="s">
        <v>247</v>
      </c>
      <c r="G1263" s="64" t="s">
        <v>2116</v>
      </c>
      <c r="H1263" s="58">
        <v>19000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3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3</v>
      </c>
      <c r="P1263" s="55"/>
      <c r="Q1263" s="62">
        <f>REKAP[[#This Row],[Harga Satuan]]*REKAP[[#This Row],[Stok Akhir]]</f>
        <v>57000</v>
      </c>
      <c r="R1263" s="61">
        <f>IF(REKAP[[#This Row],[Stok Aktual]]&lt;&gt;"",REKAP[[#This Row],[Stok Aktual]]-REKAP[[#This Row],[Stok Akhir]],0)</f>
        <v>0</v>
      </c>
      <c r="S1263" s="132"/>
      <c r="T1263" s="137">
        <f>IF(REKAP[[#This Row],[Selisih]]&lt;=-1,REKAP[[#This Row],[Harga Satuan]]*REKAP[[#This Row],[Selisih]],0)</f>
        <v>0</v>
      </c>
    </row>
    <row r="1264" spans="1:20" x14ac:dyDescent="0.25">
      <c r="A1264" s="55" t="s">
        <v>2701</v>
      </c>
      <c r="B1264" s="55" t="s">
        <v>2114</v>
      </c>
      <c r="C1264" s="55" t="s">
        <v>2114</v>
      </c>
      <c r="D1264" s="56" t="s">
        <v>2135</v>
      </c>
      <c r="E1264" s="57"/>
      <c r="F1264" s="75" t="s">
        <v>247</v>
      </c>
      <c r="G1264" s="64" t="s">
        <v>828</v>
      </c>
      <c r="H1264" s="58">
        <v>24000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3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3</v>
      </c>
      <c r="P1264" s="55"/>
      <c r="Q1264" s="62">
        <f>REKAP[[#This Row],[Harga Satuan]]*REKAP[[#This Row],[Stok Akhir]]</f>
        <v>72000</v>
      </c>
      <c r="R1264" s="61">
        <f>IF(REKAP[[#This Row],[Stok Aktual]]&lt;&gt;"",REKAP[[#This Row],[Stok Aktual]]-REKAP[[#This Row],[Stok Akhir]],0)</f>
        <v>0</v>
      </c>
      <c r="S1264" s="132"/>
      <c r="T1264" s="137">
        <f>IF(REKAP[[#This Row],[Selisih]]&lt;=-1,REKAP[[#This Row],[Harga Satuan]]*REKAP[[#This Row],[Selisih]],0)</f>
        <v>0</v>
      </c>
    </row>
    <row r="1265" spans="1:20" x14ac:dyDescent="0.25">
      <c r="A1265" s="55" t="s">
        <v>2702</v>
      </c>
      <c r="B1265" s="55" t="s">
        <v>2114</v>
      </c>
      <c r="C1265" s="55" t="s">
        <v>2114</v>
      </c>
      <c r="D1265" s="56" t="s">
        <v>2136</v>
      </c>
      <c r="E1265" s="57"/>
      <c r="F1265" s="75" t="s">
        <v>247</v>
      </c>
      <c r="G1265" s="64" t="s">
        <v>828</v>
      </c>
      <c r="H1265" s="58">
        <v>25600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1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1</v>
      </c>
      <c r="P1265" s="55"/>
      <c r="Q1265" s="62">
        <f>REKAP[[#This Row],[Harga Satuan]]*REKAP[[#This Row],[Stok Akhir]]</f>
        <v>25600</v>
      </c>
      <c r="R1265" s="61">
        <f>IF(REKAP[[#This Row],[Stok Aktual]]&lt;&gt;"",REKAP[[#This Row],[Stok Aktual]]-REKAP[[#This Row],[Stok Akhir]],0)</f>
        <v>0</v>
      </c>
      <c r="S1265" s="132"/>
      <c r="T1265" s="137">
        <f>IF(REKAP[[#This Row],[Selisih]]&lt;=-1,REKAP[[#This Row],[Harga Satuan]]*REKAP[[#This Row],[Selisih]],0)</f>
        <v>0</v>
      </c>
    </row>
    <row r="1266" spans="1:20" x14ac:dyDescent="0.25">
      <c r="A1266" s="55" t="s">
        <v>2703</v>
      </c>
      <c r="B1266" s="55" t="s">
        <v>2114</v>
      </c>
      <c r="C1266" s="55" t="s">
        <v>2114</v>
      </c>
      <c r="D1266" s="56" t="s">
        <v>2137</v>
      </c>
      <c r="E1266" s="57"/>
      <c r="F1266" s="75" t="s">
        <v>247</v>
      </c>
      <c r="G1266" s="64" t="s">
        <v>2116</v>
      </c>
      <c r="H1266" s="58">
        <v>23800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1</v>
      </c>
      <c r="K1266" s="60">
        <f>REKAP[[#This Row],[Trx In]]+REKAP[[#This Row],[Trx Out]]</f>
        <v>1</v>
      </c>
      <c r="L1266" s="55">
        <v>5</v>
      </c>
      <c r="M1266" s="74">
        <f>SUMIF(MASUK!$C:$C,REKAP[[#This Row],[ID]],MASUK!$H:$H)</f>
        <v>0</v>
      </c>
      <c r="N1266" s="74">
        <f>SUMIF(KELUAR!$C:$C,REKAP[[#This Row],[ID]],KELUAR!$H:$H)</f>
        <v>1</v>
      </c>
      <c r="O1266" s="74">
        <f>REKAP[[#This Row],[Stok Awal]]+REKAP[[#This Row],[Masuk]]-REKAP[[#This Row],[Keluar]]</f>
        <v>4</v>
      </c>
      <c r="P1266" s="55">
        <v>4</v>
      </c>
      <c r="Q1266" s="62">
        <f>REKAP[[#This Row],[Harga Satuan]]*REKAP[[#This Row],[Stok Akhir]]</f>
        <v>95200</v>
      </c>
      <c r="R1266" s="61">
        <f>IF(REKAP[[#This Row],[Stok Aktual]]&lt;&gt;"",REKAP[[#This Row],[Stok Aktual]]-REKAP[[#This Row],[Stok Akhir]],0)</f>
        <v>0</v>
      </c>
      <c r="S1266" s="132"/>
      <c r="T1266" s="137">
        <f>IF(REKAP[[#This Row],[Selisih]]&lt;=-1,REKAP[[#This Row],[Harga Satuan]]*REKAP[[#This Row],[Selisih]],0)</f>
        <v>0</v>
      </c>
    </row>
    <row r="1267" spans="1:20" x14ac:dyDescent="0.25">
      <c r="A1267" s="55" t="s">
        <v>2704</v>
      </c>
      <c r="B1267" s="55" t="s">
        <v>2114</v>
      </c>
      <c r="C1267" s="55" t="s">
        <v>2114</v>
      </c>
      <c r="D1267" s="56" t="s">
        <v>2138</v>
      </c>
      <c r="E1267" s="57"/>
      <c r="F1267" s="75" t="s">
        <v>247</v>
      </c>
      <c r="G1267" s="64"/>
      <c r="H1267" s="58">
        <v>22000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3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3</v>
      </c>
      <c r="P1267" s="55"/>
      <c r="Q1267" s="62">
        <f>REKAP[[#This Row],[Harga Satuan]]*REKAP[[#This Row],[Stok Akhir]]</f>
        <v>66000</v>
      </c>
      <c r="R1267" s="61">
        <f>IF(REKAP[[#This Row],[Stok Aktual]]&lt;&gt;"",REKAP[[#This Row],[Stok Aktual]]-REKAP[[#This Row],[Stok Akhir]],0)</f>
        <v>0</v>
      </c>
      <c r="S1267" s="132"/>
      <c r="T1267" s="137">
        <f>IF(REKAP[[#This Row],[Selisih]]&lt;=-1,REKAP[[#This Row],[Harga Satuan]]*REKAP[[#This Row],[Selisih]],0)</f>
        <v>0</v>
      </c>
    </row>
    <row r="1268" spans="1:20" x14ac:dyDescent="0.25">
      <c r="A1268" s="55" t="s">
        <v>2705</v>
      </c>
      <c r="B1268" s="55" t="s">
        <v>2114</v>
      </c>
      <c r="C1268" s="55" t="s">
        <v>2114</v>
      </c>
      <c r="D1268" s="56" t="s">
        <v>2139</v>
      </c>
      <c r="E1268" s="57"/>
      <c r="F1268" s="75" t="s">
        <v>247</v>
      </c>
      <c r="G1268" s="64"/>
      <c r="H1268" s="58">
        <v>23000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92000</v>
      </c>
      <c r="R1268" s="61">
        <f>IF(REKAP[[#This Row],[Stok Aktual]]&lt;&gt;"",REKAP[[#This Row],[Stok Aktual]]-REKAP[[#This Row],[Stok Akhir]],0)</f>
        <v>0</v>
      </c>
      <c r="S1268" s="132"/>
      <c r="T1268" s="137">
        <f>IF(REKAP[[#This Row],[Selisih]]&lt;=-1,REKAP[[#This Row],[Harga Satuan]]*REKAP[[#This Row],[Selisih]],0)</f>
        <v>0</v>
      </c>
    </row>
    <row r="1269" spans="1:20" x14ac:dyDescent="0.25">
      <c r="A1269" s="55" t="s">
        <v>2706</v>
      </c>
      <c r="B1269" s="55" t="s">
        <v>2114</v>
      </c>
      <c r="C1269" s="55" t="s">
        <v>2114</v>
      </c>
      <c r="D1269" s="56" t="s">
        <v>2140</v>
      </c>
      <c r="E1269" s="57"/>
      <c r="F1269" s="75" t="s">
        <v>247</v>
      </c>
      <c r="G1269" s="64" t="s">
        <v>2116</v>
      </c>
      <c r="H1269" s="58">
        <v>43000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4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4</v>
      </c>
      <c r="P1269" s="55"/>
      <c r="Q1269" s="62">
        <f>REKAP[[#This Row],[Harga Satuan]]*REKAP[[#This Row],[Stok Akhir]]</f>
        <v>172000</v>
      </c>
      <c r="R1269" s="61">
        <f>IF(REKAP[[#This Row],[Stok Aktual]]&lt;&gt;"",REKAP[[#This Row],[Stok Aktual]]-REKAP[[#This Row],[Stok Akhir]],0)</f>
        <v>0</v>
      </c>
      <c r="S1269" s="132"/>
      <c r="T1269" s="137">
        <f>IF(REKAP[[#This Row],[Selisih]]&lt;=-1,REKAP[[#This Row],[Harga Satuan]]*REKAP[[#This Row],[Selisih]],0)</f>
        <v>0</v>
      </c>
    </row>
    <row r="1270" spans="1:20" x14ac:dyDescent="0.25">
      <c r="A1270" s="55" t="s">
        <v>2707</v>
      </c>
      <c r="B1270" s="55" t="s">
        <v>2114</v>
      </c>
      <c r="C1270" s="55" t="s">
        <v>2114</v>
      </c>
      <c r="D1270" s="56" t="s">
        <v>2141</v>
      </c>
      <c r="E1270" s="57"/>
      <c r="F1270" s="75" t="s">
        <v>247</v>
      </c>
      <c r="G1270" s="64" t="s">
        <v>2116</v>
      </c>
      <c r="H1270" s="58">
        <v>28000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</v>
      </c>
      <c r="P1270" s="55"/>
      <c r="Q1270" s="62">
        <f>REKAP[[#This Row],[Harga Satuan]]*REKAP[[#This Row],[Stok Akhir]]</f>
        <v>84000</v>
      </c>
      <c r="R1270" s="61">
        <f>IF(REKAP[[#This Row],[Stok Aktual]]&lt;&gt;"",REKAP[[#This Row],[Stok Aktual]]-REKAP[[#This Row],[Stok Akhir]],0)</f>
        <v>0</v>
      </c>
      <c r="S1270" s="132"/>
      <c r="T1270" s="137">
        <f>IF(REKAP[[#This Row],[Selisih]]&lt;=-1,REKAP[[#This Row],[Harga Satuan]]*REKAP[[#This Row],[Selisih]],0)</f>
        <v>0</v>
      </c>
    </row>
    <row r="1271" spans="1:20" x14ac:dyDescent="0.25">
      <c r="A1271" s="55" t="s">
        <v>2708</v>
      </c>
      <c r="B1271" s="55" t="s">
        <v>2114</v>
      </c>
      <c r="C1271" s="55" t="s">
        <v>2114</v>
      </c>
      <c r="D1271" s="56" t="s">
        <v>2142</v>
      </c>
      <c r="E1271" s="57"/>
      <c r="F1271" s="75" t="s">
        <v>247</v>
      </c>
      <c r="G1271" s="64"/>
      <c r="H1271" s="58">
        <v>32000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2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2</v>
      </c>
      <c r="P1271" s="55"/>
      <c r="Q1271" s="62">
        <f>REKAP[[#This Row],[Harga Satuan]]*REKAP[[#This Row],[Stok Akhir]]</f>
        <v>64000</v>
      </c>
      <c r="R1271" s="61">
        <f>IF(REKAP[[#This Row],[Stok Aktual]]&lt;&gt;"",REKAP[[#This Row],[Stok Aktual]]-REKAP[[#This Row],[Stok Akhir]],0)</f>
        <v>0</v>
      </c>
      <c r="S1271" s="132"/>
      <c r="T1271" s="137">
        <f>IF(REKAP[[#This Row],[Selisih]]&lt;=-1,REKAP[[#This Row],[Harga Satuan]]*REKAP[[#This Row],[Selisih]],0)</f>
        <v>0</v>
      </c>
    </row>
    <row r="1272" spans="1:20" x14ac:dyDescent="0.25">
      <c r="A1272" s="55" t="s">
        <v>2709</v>
      </c>
      <c r="B1272" s="55" t="s">
        <v>2114</v>
      </c>
      <c r="C1272" s="55" t="s">
        <v>2114</v>
      </c>
      <c r="D1272" s="56" t="s">
        <v>2143</v>
      </c>
      <c r="E1272" s="57"/>
      <c r="F1272" s="75" t="s">
        <v>247</v>
      </c>
      <c r="G1272" s="64"/>
      <c r="H1272" s="58">
        <v>35000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1</v>
      </c>
      <c r="L1272" s="55">
        <v>3</v>
      </c>
      <c r="M1272" s="74">
        <f>SUMIF(MASUK!$C:$C,REKAP[[#This Row],[ID]],MASUK!$H:$H)</f>
        <v>0</v>
      </c>
      <c r="N1272" s="74">
        <f>SUMIF(KELUAR!$C:$C,REKAP[[#This Row],[ID]],KELUAR!$H:$H)</f>
        <v>1</v>
      </c>
      <c r="O1272" s="74">
        <f>REKAP[[#This Row],[Stok Awal]]+REKAP[[#This Row],[Masuk]]-REKAP[[#This Row],[Keluar]]</f>
        <v>2</v>
      </c>
      <c r="P1272" s="55">
        <v>2</v>
      </c>
      <c r="Q1272" s="62">
        <f>REKAP[[#This Row],[Harga Satuan]]*REKAP[[#This Row],[Stok Akhir]]</f>
        <v>70000</v>
      </c>
      <c r="R1272" s="61">
        <f>IF(REKAP[[#This Row],[Stok Aktual]]&lt;&gt;"",REKAP[[#This Row],[Stok Aktual]]-REKAP[[#This Row],[Stok Akhir]],0)</f>
        <v>0</v>
      </c>
      <c r="S1272" s="132"/>
      <c r="T1272" s="137">
        <f>IF(REKAP[[#This Row],[Selisih]]&lt;=-1,REKAP[[#This Row],[Harga Satuan]]*REKAP[[#This Row],[Selisih]],0)</f>
        <v>0</v>
      </c>
    </row>
    <row r="1273" spans="1:20" x14ac:dyDescent="0.25">
      <c r="A1273" s="55" t="s">
        <v>2710</v>
      </c>
      <c r="B1273" s="55" t="s">
        <v>2114</v>
      </c>
      <c r="C1273" s="55" t="s">
        <v>2114</v>
      </c>
      <c r="D1273" s="56" t="s">
        <v>2144</v>
      </c>
      <c r="E1273" s="57"/>
      <c r="F1273" s="75" t="s">
        <v>247</v>
      </c>
      <c r="G1273" s="64" t="s">
        <v>828</v>
      </c>
      <c r="H1273" s="58">
        <v>29000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2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2</v>
      </c>
      <c r="P1273" s="55"/>
      <c r="Q1273" s="62">
        <f>REKAP[[#This Row],[Harga Satuan]]*REKAP[[#This Row],[Stok Akhir]]</f>
        <v>58000</v>
      </c>
      <c r="R1273" s="61">
        <f>IF(REKAP[[#This Row],[Stok Aktual]]&lt;&gt;"",REKAP[[#This Row],[Stok Aktual]]-REKAP[[#This Row],[Stok Akhir]],0)</f>
        <v>0</v>
      </c>
      <c r="S1273" s="132"/>
      <c r="T1273" s="137">
        <f>IF(REKAP[[#This Row],[Selisih]]&lt;=-1,REKAP[[#This Row],[Harga Satuan]]*REKAP[[#This Row],[Selisih]],0)</f>
        <v>0</v>
      </c>
    </row>
    <row r="1274" spans="1:20" x14ac:dyDescent="0.25">
      <c r="A1274" s="55" t="s">
        <v>2711</v>
      </c>
      <c r="B1274" s="55" t="s">
        <v>2114</v>
      </c>
      <c r="C1274" s="55" t="s">
        <v>2114</v>
      </c>
      <c r="D1274" s="56" t="s">
        <v>2145</v>
      </c>
      <c r="E1274" s="57"/>
      <c r="F1274" s="75" t="s">
        <v>247</v>
      </c>
      <c r="G1274" s="64"/>
      <c r="H1274" s="58">
        <v>37500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</v>
      </c>
      <c r="P1274" s="55"/>
      <c r="Q1274" s="62">
        <f>REKAP[[#This Row],[Harga Satuan]]*REKAP[[#This Row],[Stok Akhir]]</f>
        <v>75000</v>
      </c>
      <c r="R1274" s="61">
        <f>IF(REKAP[[#This Row],[Stok Aktual]]&lt;&gt;"",REKAP[[#This Row],[Stok Aktual]]-REKAP[[#This Row],[Stok Akhir]],0)</f>
        <v>0</v>
      </c>
      <c r="S1274" s="132"/>
      <c r="T1274" s="137">
        <f>IF(REKAP[[#This Row],[Selisih]]&lt;=-1,REKAP[[#This Row],[Harga Satuan]]*REKAP[[#This Row],[Selisih]],0)</f>
        <v>0</v>
      </c>
    </row>
    <row r="1275" spans="1:20" x14ac:dyDescent="0.25">
      <c r="A1275" s="55" t="s">
        <v>2712</v>
      </c>
      <c r="B1275" s="55" t="s">
        <v>2114</v>
      </c>
      <c r="C1275" s="55" t="s">
        <v>2114</v>
      </c>
      <c r="D1275" s="56" t="s">
        <v>2146</v>
      </c>
      <c r="E1275" s="57"/>
      <c r="F1275" s="75" t="s">
        <v>247</v>
      </c>
      <c r="G1275" s="64" t="s">
        <v>2116</v>
      </c>
      <c r="H1275" s="58">
        <v>33000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5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5</v>
      </c>
      <c r="P1275" s="55"/>
      <c r="Q1275" s="62">
        <f>REKAP[[#This Row],[Harga Satuan]]*REKAP[[#This Row],[Stok Akhir]]</f>
        <v>165000</v>
      </c>
      <c r="R1275" s="61">
        <f>IF(REKAP[[#This Row],[Stok Aktual]]&lt;&gt;"",REKAP[[#This Row],[Stok Aktual]]-REKAP[[#This Row],[Stok Akhir]],0)</f>
        <v>0</v>
      </c>
      <c r="S1275" s="132"/>
      <c r="T1275" s="137">
        <f>IF(REKAP[[#This Row],[Selisih]]&lt;=-1,REKAP[[#This Row],[Harga Satuan]]*REKAP[[#This Row],[Selisih]],0)</f>
        <v>0</v>
      </c>
    </row>
    <row r="1276" spans="1:20" x14ac:dyDescent="0.25">
      <c r="A1276" s="55" t="s">
        <v>2713</v>
      </c>
      <c r="B1276" s="55" t="s">
        <v>2114</v>
      </c>
      <c r="C1276" s="55" t="s">
        <v>2114</v>
      </c>
      <c r="D1276" s="56" t="s">
        <v>2147</v>
      </c>
      <c r="E1276" s="57"/>
      <c r="F1276" s="75" t="s">
        <v>247</v>
      </c>
      <c r="G1276" s="64" t="s">
        <v>2116</v>
      </c>
      <c r="H1276" s="58">
        <v>36500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3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3</v>
      </c>
      <c r="P1276" s="55"/>
      <c r="Q1276" s="62">
        <f>REKAP[[#This Row],[Harga Satuan]]*REKAP[[#This Row],[Stok Akhir]]</f>
        <v>109500</v>
      </c>
      <c r="R1276" s="61">
        <f>IF(REKAP[[#This Row],[Stok Aktual]]&lt;&gt;"",REKAP[[#This Row],[Stok Aktual]]-REKAP[[#This Row],[Stok Akhir]],0)</f>
        <v>0</v>
      </c>
      <c r="S1276" s="132"/>
      <c r="T1276" s="137">
        <f>IF(REKAP[[#This Row],[Selisih]]&lt;=-1,REKAP[[#This Row],[Harga Satuan]]*REKAP[[#This Row],[Selisih]],0)</f>
        <v>0</v>
      </c>
    </row>
    <row r="1277" spans="1:20" x14ac:dyDescent="0.25">
      <c r="A1277" s="55" t="s">
        <v>2714</v>
      </c>
      <c r="B1277" s="55" t="s">
        <v>2114</v>
      </c>
      <c r="C1277" s="55" t="s">
        <v>2114</v>
      </c>
      <c r="D1277" s="56" t="s">
        <v>2148</v>
      </c>
      <c r="E1277" s="57"/>
      <c r="F1277" s="75" t="s">
        <v>247</v>
      </c>
      <c r="G1277" s="64"/>
      <c r="H1277" s="58">
        <v>44400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4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4</v>
      </c>
      <c r="P1277" s="55"/>
      <c r="Q1277" s="62">
        <f>REKAP[[#This Row],[Harga Satuan]]*REKAP[[#This Row],[Stok Akhir]]</f>
        <v>177600</v>
      </c>
      <c r="R1277" s="61">
        <f>IF(REKAP[[#This Row],[Stok Aktual]]&lt;&gt;"",REKAP[[#This Row],[Stok Aktual]]-REKAP[[#This Row],[Stok Akhir]],0)</f>
        <v>0</v>
      </c>
      <c r="S1277" s="132"/>
      <c r="T1277" s="137">
        <f>IF(REKAP[[#This Row],[Selisih]]&lt;=-1,REKAP[[#This Row],[Harga Satuan]]*REKAP[[#This Row],[Selisih]],0)</f>
        <v>0</v>
      </c>
    </row>
    <row r="1278" spans="1:20" x14ac:dyDescent="0.25">
      <c r="A1278" s="55" t="s">
        <v>2715</v>
      </c>
      <c r="B1278" s="55" t="s">
        <v>2114</v>
      </c>
      <c r="C1278" s="55" t="s">
        <v>2114</v>
      </c>
      <c r="D1278" s="56" t="s">
        <v>2149</v>
      </c>
      <c r="E1278" s="57"/>
      <c r="F1278" s="75" t="s">
        <v>247</v>
      </c>
      <c r="G1278" s="64" t="s">
        <v>828</v>
      </c>
      <c r="H1278" s="58">
        <v>43000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4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4</v>
      </c>
      <c r="P1278" s="55"/>
      <c r="Q1278" s="62">
        <f>REKAP[[#This Row],[Harga Satuan]]*REKAP[[#This Row],[Stok Akhir]]</f>
        <v>172000</v>
      </c>
      <c r="R1278" s="61">
        <f>IF(REKAP[[#This Row],[Stok Aktual]]&lt;&gt;"",REKAP[[#This Row],[Stok Aktual]]-REKAP[[#This Row],[Stok Akhir]],0)</f>
        <v>0</v>
      </c>
      <c r="S1278" s="132"/>
      <c r="T1278" s="137">
        <f>IF(REKAP[[#This Row],[Selisih]]&lt;=-1,REKAP[[#This Row],[Harga Satuan]]*REKAP[[#This Row],[Selisih]],0)</f>
        <v>0</v>
      </c>
    </row>
    <row r="1279" spans="1:20" x14ac:dyDescent="0.25">
      <c r="A1279" s="55" t="s">
        <v>2716</v>
      </c>
      <c r="B1279" s="55" t="s">
        <v>2114</v>
      </c>
      <c r="C1279" s="55" t="s">
        <v>2114</v>
      </c>
      <c r="D1279" s="56" t="s">
        <v>2150</v>
      </c>
      <c r="E1279" s="57"/>
      <c r="F1279" s="75" t="s">
        <v>247</v>
      </c>
      <c r="G1279" s="64"/>
      <c r="H1279" s="58">
        <v>36000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3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3</v>
      </c>
      <c r="P1279" s="55"/>
      <c r="Q1279" s="62">
        <f>REKAP[[#This Row],[Harga Satuan]]*REKAP[[#This Row],[Stok Akhir]]</f>
        <v>108000</v>
      </c>
      <c r="R1279" s="61">
        <f>IF(REKAP[[#This Row],[Stok Aktual]]&lt;&gt;"",REKAP[[#This Row],[Stok Aktual]]-REKAP[[#This Row],[Stok Akhir]],0)</f>
        <v>0</v>
      </c>
      <c r="S1279" s="132"/>
      <c r="T1279" s="137">
        <f>IF(REKAP[[#This Row],[Selisih]]&lt;=-1,REKAP[[#This Row],[Harga Satuan]]*REKAP[[#This Row],[Selisih]],0)</f>
        <v>0</v>
      </c>
    </row>
    <row r="1280" spans="1:20" x14ac:dyDescent="0.25">
      <c r="A1280" s="55" t="s">
        <v>2717</v>
      </c>
      <c r="B1280" s="55" t="s">
        <v>2114</v>
      </c>
      <c r="C1280" s="55" t="s">
        <v>2114</v>
      </c>
      <c r="D1280" s="56" t="s">
        <v>2151</v>
      </c>
      <c r="E1280" s="57"/>
      <c r="F1280" s="75" t="s">
        <v>247</v>
      </c>
      <c r="G1280" s="64" t="s">
        <v>828</v>
      </c>
      <c r="H1280" s="58">
        <v>39500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4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4</v>
      </c>
      <c r="P1280" s="55"/>
      <c r="Q1280" s="62">
        <f>REKAP[[#This Row],[Harga Satuan]]*REKAP[[#This Row],[Stok Akhir]]</f>
        <v>158000</v>
      </c>
      <c r="R1280" s="61">
        <f>IF(REKAP[[#This Row],[Stok Aktual]]&lt;&gt;"",REKAP[[#This Row],[Stok Aktual]]-REKAP[[#This Row],[Stok Akhir]],0)</f>
        <v>0</v>
      </c>
      <c r="S1280" s="132"/>
      <c r="T1280" s="137">
        <f>IF(REKAP[[#This Row],[Selisih]]&lt;=-1,REKAP[[#This Row],[Harga Satuan]]*REKAP[[#This Row],[Selisih]],0)</f>
        <v>0</v>
      </c>
    </row>
    <row r="1281" spans="1:20" x14ac:dyDescent="0.25">
      <c r="A1281" s="55" t="s">
        <v>2718</v>
      </c>
      <c r="B1281" s="55" t="s">
        <v>2114</v>
      </c>
      <c r="C1281" s="55" t="s">
        <v>2114</v>
      </c>
      <c r="D1281" s="56" t="s">
        <v>2152</v>
      </c>
      <c r="E1281" s="57"/>
      <c r="F1281" s="75" t="s">
        <v>247</v>
      </c>
      <c r="G1281" s="64"/>
      <c r="H1281" s="58">
        <v>42000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3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3</v>
      </c>
      <c r="P1281" s="55"/>
      <c r="Q1281" s="62">
        <f>REKAP[[#This Row],[Harga Satuan]]*REKAP[[#This Row],[Stok Akhir]]</f>
        <v>126000</v>
      </c>
      <c r="R1281" s="61">
        <f>IF(REKAP[[#This Row],[Stok Aktual]]&lt;&gt;"",REKAP[[#This Row],[Stok Aktual]]-REKAP[[#This Row],[Stok Akhir]],0)</f>
        <v>0</v>
      </c>
      <c r="S1281" s="132"/>
      <c r="T1281" s="137">
        <f>IF(REKAP[[#This Row],[Selisih]]&lt;=-1,REKAP[[#This Row],[Harga Satuan]]*REKAP[[#This Row],[Selisih]],0)</f>
        <v>0</v>
      </c>
    </row>
    <row r="1282" spans="1:20" x14ac:dyDescent="0.25">
      <c r="A1282" s="55" t="s">
        <v>2719</v>
      </c>
      <c r="B1282" s="55" t="s">
        <v>2114</v>
      </c>
      <c r="C1282" s="55" t="s">
        <v>2114</v>
      </c>
      <c r="D1282" s="56" t="s">
        <v>2153</v>
      </c>
      <c r="E1282" s="57"/>
      <c r="F1282" s="75" t="s">
        <v>247</v>
      </c>
      <c r="G1282" s="64"/>
      <c r="H1282" s="58">
        <v>43999.780000000006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3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3</v>
      </c>
      <c r="P1282" s="55"/>
      <c r="Q1282" s="62">
        <f>REKAP[[#This Row],[Harga Satuan]]*REKAP[[#This Row],[Stok Akhir]]</f>
        <v>131999.34000000003</v>
      </c>
      <c r="R1282" s="61">
        <f>IF(REKAP[[#This Row],[Stok Aktual]]&lt;&gt;"",REKAP[[#This Row],[Stok Aktual]]-REKAP[[#This Row],[Stok Akhir]],0)</f>
        <v>0</v>
      </c>
      <c r="S1282" s="132"/>
      <c r="T1282" s="137">
        <f>IF(REKAP[[#This Row],[Selisih]]&lt;=-1,REKAP[[#This Row],[Harga Satuan]]*REKAP[[#This Row],[Selisih]],0)</f>
        <v>0</v>
      </c>
    </row>
    <row r="1283" spans="1:20" x14ac:dyDescent="0.25">
      <c r="A1283" s="55" t="s">
        <v>2720</v>
      </c>
      <c r="B1283" s="55" t="s">
        <v>2114</v>
      </c>
      <c r="C1283" s="55" t="s">
        <v>2114</v>
      </c>
      <c r="D1283" s="56" t="s">
        <v>2154</v>
      </c>
      <c r="E1283" s="57"/>
      <c r="F1283" s="75" t="s">
        <v>247</v>
      </c>
      <c r="G1283" s="64" t="s">
        <v>2116</v>
      </c>
      <c r="H1283" s="58">
        <v>56000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3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3</v>
      </c>
      <c r="P1283" s="55"/>
      <c r="Q1283" s="62">
        <f>REKAP[[#This Row],[Harga Satuan]]*REKAP[[#This Row],[Stok Akhir]]</f>
        <v>168000</v>
      </c>
      <c r="R1283" s="61">
        <f>IF(REKAP[[#This Row],[Stok Aktual]]&lt;&gt;"",REKAP[[#This Row],[Stok Aktual]]-REKAP[[#This Row],[Stok Akhir]],0)</f>
        <v>0</v>
      </c>
      <c r="S1283" s="132"/>
      <c r="T1283" s="137">
        <f>IF(REKAP[[#This Row],[Selisih]]&lt;=-1,REKAP[[#This Row],[Harga Satuan]]*REKAP[[#This Row],[Selisih]],0)</f>
        <v>0</v>
      </c>
    </row>
    <row r="1284" spans="1:20" x14ac:dyDescent="0.25">
      <c r="A1284" s="55" t="s">
        <v>2721</v>
      </c>
      <c r="B1284" s="55" t="s">
        <v>2114</v>
      </c>
      <c r="C1284" s="55" t="s">
        <v>2114</v>
      </c>
      <c r="D1284" s="56" t="s">
        <v>2155</v>
      </c>
      <c r="E1284" s="57"/>
      <c r="F1284" s="75" t="s">
        <v>247</v>
      </c>
      <c r="G1284" s="64"/>
      <c r="H1284" s="58">
        <v>54000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4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4</v>
      </c>
      <c r="P1284" s="55"/>
      <c r="Q1284" s="62">
        <f>REKAP[[#This Row],[Harga Satuan]]*REKAP[[#This Row],[Stok Akhir]]</f>
        <v>216000</v>
      </c>
      <c r="R1284" s="61">
        <f>IF(REKAP[[#This Row],[Stok Aktual]]&lt;&gt;"",REKAP[[#This Row],[Stok Aktual]]-REKAP[[#This Row],[Stok Akhir]],0)</f>
        <v>0</v>
      </c>
      <c r="S1284" s="132"/>
      <c r="T1284" s="137">
        <f>IF(REKAP[[#This Row],[Selisih]]&lt;=-1,REKAP[[#This Row],[Harga Satuan]]*REKAP[[#This Row],[Selisih]],0)</f>
        <v>0</v>
      </c>
    </row>
    <row r="1285" spans="1:20" x14ac:dyDescent="0.25">
      <c r="A1285" s="55" t="s">
        <v>2722</v>
      </c>
      <c r="B1285" s="55" t="s">
        <v>2114</v>
      </c>
      <c r="C1285" s="55" t="s">
        <v>2114</v>
      </c>
      <c r="D1285" s="56" t="s">
        <v>2156</v>
      </c>
      <c r="E1285" s="57"/>
      <c r="F1285" s="75" t="s">
        <v>247</v>
      </c>
      <c r="G1285" s="64" t="s">
        <v>828</v>
      </c>
      <c r="H1285" s="58">
        <v>46000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3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3</v>
      </c>
      <c r="P1285" s="55"/>
      <c r="Q1285" s="62">
        <f>REKAP[[#This Row],[Harga Satuan]]*REKAP[[#This Row],[Stok Akhir]]</f>
        <v>138000</v>
      </c>
      <c r="R1285" s="61">
        <f>IF(REKAP[[#This Row],[Stok Aktual]]&lt;&gt;"",REKAP[[#This Row],[Stok Aktual]]-REKAP[[#This Row],[Stok Akhir]],0)</f>
        <v>0</v>
      </c>
      <c r="S1285" s="132"/>
      <c r="T1285" s="137">
        <f>IF(REKAP[[#This Row],[Selisih]]&lt;=-1,REKAP[[#This Row],[Harga Satuan]]*REKAP[[#This Row],[Selisih]],0)</f>
        <v>0</v>
      </c>
    </row>
    <row r="1286" spans="1:20" x14ac:dyDescent="0.25">
      <c r="A1286" s="55" t="s">
        <v>2723</v>
      </c>
      <c r="B1286" s="55" t="s">
        <v>2114</v>
      </c>
      <c r="C1286" s="55" t="s">
        <v>2114</v>
      </c>
      <c r="D1286" s="56" t="s">
        <v>2157</v>
      </c>
      <c r="E1286" s="57"/>
      <c r="F1286" s="75" t="s">
        <v>247</v>
      </c>
      <c r="G1286" s="64"/>
      <c r="H1286" s="58">
        <v>60000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4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4</v>
      </c>
      <c r="P1286" s="55"/>
      <c r="Q1286" s="62">
        <f>REKAP[[#This Row],[Harga Satuan]]*REKAP[[#This Row],[Stok Akhir]]</f>
        <v>240000</v>
      </c>
      <c r="R1286" s="61">
        <f>IF(REKAP[[#This Row],[Stok Aktual]]&lt;&gt;"",REKAP[[#This Row],[Stok Aktual]]-REKAP[[#This Row],[Stok Akhir]],0)</f>
        <v>0</v>
      </c>
      <c r="S1286" s="132"/>
      <c r="T1286" s="137">
        <f>IF(REKAP[[#This Row],[Selisih]]&lt;=-1,REKAP[[#This Row],[Harga Satuan]]*REKAP[[#This Row],[Selisih]],0)</f>
        <v>0</v>
      </c>
    </row>
    <row r="1287" spans="1:20" x14ac:dyDescent="0.25">
      <c r="A1287" s="55" t="s">
        <v>2724</v>
      </c>
      <c r="B1287" s="55" t="s">
        <v>2114</v>
      </c>
      <c r="C1287" s="55" t="s">
        <v>2114</v>
      </c>
      <c r="D1287" s="56" t="s">
        <v>2158</v>
      </c>
      <c r="E1287" s="57"/>
      <c r="F1287" s="75" t="s">
        <v>247</v>
      </c>
      <c r="G1287" s="64"/>
      <c r="H1287" s="58">
        <v>60000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180000</v>
      </c>
      <c r="R1287" s="61">
        <f>IF(REKAP[[#This Row],[Stok Aktual]]&lt;&gt;"",REKAP[[#This Row],[Stok Aktual]]-REKAP[[#This Row],[Stok Akhir]],0)</f>
        <v>0</v>
      </c>
      <c r="S1287" s="132"/>
      <c r="T1287" s="137">
        <f>IF(REKAP[[#This Row],[Selisih]]&lt;=-1,REKAP[[#This Row],[Harga Satuan]]*REKAP[[#This Row],[Selisih]],0)</f>
        <v>0</v>
      </c>
    </row>
    <row r="1288" spans="1:20" x14ac:dyDescent="0.25">
      <c r="A1288" s="55" t="s">
        <v>2725</v>
      </c>
      <c r="B1288" s="55" t="s">
        <v>2114</v>
      </c>
      <c r="C1288" s="55" t="s">
        <v>2114</v>
      </c>
      <c r="D1288" s="56" t="s">
        <v>2159</v>
      </c>
      <c r="E1288" s="57"/>
      <c r="F1288" s="75" t="s">
        <v>247</v>
      </c>
      <c r="G1288" s="64"/>
      <c r="H1288" s="58">
        <v>62060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3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3</v>
      </c>
      <c r="P1288" s="55"/>
      <c r="Q1288" s="62">
        <f>REKAP[[#This Row],[Harga Satuan]]*REKAP[[#This Row],[Stok Akhir]]</f>
        <v>186180</v>
      </c>
      <c r="R1288" s="61">
        <f>IF(REKAP[[#This Row],[Stok Aktual]]&lt;&gt;"",REKAP[[#This Row],[Stok Aktual]]-REKAP[[#This Row],[Stok Akhir]],0)</f>
        <v>0</v>
      </c>
      <c r="S1288" s="132"/>
      <c r="T1288" s="137">
        <f>IF(REKAP[[#This Row],[Selisih]]&lt;=-1,REKAP[[#This Row],[Harga Satuan]]*REKAP[[#This Row],[Selisih]],0)</f>
        <v>0</v>
      </c>
    </row>
    <row r="1289" spans="1:20" x14ac:dyDescent="0.25">
      <c r="A1289" s="55" t="s">
        <v>2726</v>
      </c>
      <c r="B1289" s="55" t="s">
        <v>2114</v>
      </c>
      <c r="C1289" s="55" t="s">
        <v>2114</v>
      </c>
      <c r="D1289" s="56" t="s">
        <v>2160</v>
      </c>
      <c r="E1289" s="57"/>
      <c r="F1289" s="75" t="s">
        <v>247</v>
      </c>
      <c r="G1289" s="64"/>
      <c r="H1289" s="58">
        <v>62060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4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4</v>
      </c>
      <c r="P1289" s="55"/>
      <c r="Q1289" s="62">
        <f>REKAP[[#This Row],[Harga Satuan]]*REKAP[[#This Row],[Stok Akhir]]</f>
        <v>248240</v>
      </c>
      <c r="R1289" s="61">
        <f>IF(REKAP[[#This Row],[Stok Aktual]]&lt;&gt;"",REKAP[[#This Row],[Stok Aktual]]-REKAP[[#This Row],[Stok Akhir]],0)</f>
        <v>0</v>
      </c>
      <c r="S1289" s="132"/>
      <c r="T1289" s="137">
        <f>IF(REKAP[[#This Row],[Selisih]]&lt;=-1,REKAP[[#This Row],[Harga Satuan]]*REKAP[[#This Row],[Selisih]],0)</f>
        <v>0</v>
      </c>
    </row>
    <row r="1290" spans="1:20" x14ac:dyDescent="0.25">
      <c r="A1290" s="55" t="s">
        <v>2727</v>
      </c>
      <c r="B1290" s="55" t="s">
        <v>2114</v>
      </c>
      <c r="C1290" s="55" t="s">
        <v>2114</v>
      </c>
      <c r="D1290" s="56" t="s">
        <v>2161</v>
      </c>
      <c r="E1290" s="57"/>
      <c r="F1290" s="75" t="s">
        <v>247</v>
      </c>
      <c r="G1290" s="64"/>
      <c r="H1290" s="58">
        <v>66500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2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2</v>
      </c>
      <c r="P1290" s="55"/>
      <c r="Q1290" s="62">
        <f>REKAP[[#This Row],[Harga Satuan]]*REKAP[[#This Row],[Stok Akhir]]</f>
        <v>133000</v>
      </c>
      <c r="R1290" s="61">
        <f>IF(REKAP[[#This Row],[Stok Aktual]]&lt;&gt;"",REKAP[[#This Row],[Stok Aktual]]-REKAP[[#This Row],[Stok Akhir]],0)</f>
        <v>0</v>
      </c>
      <c r="S1290" s="132"/>
      <c r="T1290" s="137">
        <f>IF(REKAP[[#This Row],[Selisih]]&lt;=-1,REKAP[[#This Row],[Harga Satuan]]*REKAP[[#This Row],[Selisih]],0)</f>
        <v>0</v>
      </c>
    </row>
    <row r="1291" spans="1:20" x14ac:dyDescent="0.25">
      <c r="A1291" s="55" t="s">
        <v>2728</v>
      </c>
      <c r="B1291" s="55" t="s">
        <v>2114</v>
      </c>
      <c r="C1291" s="55" t="s">
        <v>2114</v>
      </c>
      <c r="D1291" s="56" t="s">
        <v>2162</v>
      </c>
      <c r="E1291" s="57"/>
      <c r="F1291" s="75" t="s">
        <v>247</v>
      </c>
      <c r="G1291" s="64"/>
      <c r="H1291" s="58">
        <v>66500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5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5</v>
      </c>
      <c r="P1291" s="55"/>
      <c r="Q1291" s="62">
        <f>REKAP[[#This Row],[Harga Satuan]]*REKAP[[#This Row],[Stok Akhir]]</f>
        <v>332500</v>
      </c>
      <c r="R1291" s="61">
        <f>IF(REKAP[[#This Row],[Stok Aktual]]&lt;&gt;"",REKAP[[#This Row],[Stok Aktual]]-REKAP[[#This Row],[Stok Akhir]],0)</f>
        <v>0</v>
      </c>
      <c r="S1291" s="132"/>
      <c r="T1291" s="137">
        <f>IF(REKAP[[#This Row],[Selisih]]&lt;=-1,REKAP[[#This Row],[Harga Satuan]]*REKAP[[#This Row],[Selisih]],0)</f>
        <v>0</v>
      </c>
    </row>
    <row r="1292" spans="1:20" x14ac:dyDescent="0.25">
      <c r="A1292" s="55" t="s">
        <v>2729</v>
      </c>
      <c r="B1292" s="55" t="s">
        <v>2114</v>
      </c>
      <c r="C1292" s="55" t="s">
        <v>2114</v>
      </c>
      <c r="D1292" s="56" t="s">
        <v>2163</v>
      </c>
      <c r="E1292" s="57"/>
      <c r="F1292" s="75" t="s">
        <v>247</v>
      </c>
      <c r="G1292" s="64" t="s">
        <v>828</v>
      </c>
      <c r="H1292" s="58">
        <v>57500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1</v>
      </c>
      <c r="K1292" s="60">
        <f>REKAP[[#This Row],[Trx In]]+REKAP[[#This Row],[Trx Out]]</f>
        <v>1</v>
      </c>
      <c r="L1292" s="55">
        <v>3</v>
      </c>
      <c r="M1292" s="74">
        <f>SUMIF(MASUK!$C:$C,REKAP[[#This Row],[ID]],MASUK!$H:$H)</f>
        <v>0</v>
      </c>
      <c r="N1292" s="74">
        <f>SUMIF(KELUAR!$C:$C,REKAP[[#This Row],[ID]],KELUAR!$H:$H)</f>
        <v>1</v>
      </c>
      <c r="O1292" s="74">
        <f>REKAP[[#This Row],[Stok Awal]]+REKAP[[#This Row],[Masuk]]-REKAP[[#This Row],[Keluar]]</f>
        <v>2</v>
      </c>
      <c r="P1292" s="55">
        <v>2</v>
      </c>
      <c r="Q1292" s="62">
        <f>REKAP[[#This Row],[Harga Satuan]]*REKAP[[#This Row],[Stok Akhir]]</f>
        <v>115000</v>
      </c>
      <c r="R1292" s="61">
        <f>IF(REKAP[[#This Row],[Stok Aktual]]&lt;&gt;"",REKAP[[#This Row],[Stok Aktual]]-REKAP[[#This Row],[Stok Akhir]],0)</f>
        <v>0</v>
      </c>
      <c r="S1292" s="132"/>
      <c r="T1292" s="137">
        <f>IF(REKAP[[#This Row],[Selisih]]&lt;=-1,REKAP[[#This Row],[Harga Satuan]]*REKAP[[#This Row],[Selisih]],0)</f>
        <v>0</v>
      </c>
    </row>
    <row r="1293" spans="1:20" x14ac:dyDescent="0.25">
      <c r="A1293" s="55" t="s">
        <v>2730</v>
      </c>
      <c r="B1293" s="55" t="s">
        <v>2114</v>
      </c>
      <c r="C1293" s="55" t="s">
        <v>2114</v>
      </c>
      <c r="D1293" s="56" t="s">
        <v>2164</v>
      </c>
      <c r="E1293" s="57"/>
      <c r="F1293" s="75" t="s">
        <v>247</v>
      </c>
      <c r="G1293" s="64" t="s">
        <v>828</v>
      </c>
      <c r="H1293" s="58">
        <v>75000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3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3</v>
      </c>
      <c r="P1293" s="55"/>
      <c r="Q1293" s="62">
        <f>REKAP[[#This Row],[Harga Satuan]]*REKAP[[#This Row],[Stok Akhir]]</f>
        <v>225000</v>
      </c>
      <c r="R1293" s="61">
        <f>IF(REKAP[[#This Row],[Stok Aktual]]&lt;&gt;"",REKAP[[#This Row],[Stok Aktual]]-REKAP[[#This Row],[Stok Akhir]],0)</f>
        <v>0</v>
      </c>
      <c r="S1293" s="132"/>
      <c r="T1293" s="137">
        <f>IF(REKAP[[#This Row],[Selisih]]&lt;=-1,REKAP[[#This Row],[Harga Satuan]]*REKAP[[#This Row],[Selisih]],0)</f>
        <v>0</v>
      </c>
    </row>
    <row r="1294" spans="1:20" x14ac:dyDescent="0.25">
      <c r="A1294" s="55" t="s">
        <v>2731</v>
      </c>
      <c r="B1294" s="55" t="s">
        <v>2114</v>
      </c>
      <c r="C1294" s="55" t="s">
        <v>2114</v>
      </c>
      <c r="D1294" s="56" t="s">
        <v>2165</v>
      </c>
      <c r="E1294" s="57"/>
      <c r="F1294" s="75" t="s">
        <v>247</v>
      </c>
      <c r="G1294" s="64" t="s">
        <v>828</v>
      </c>
      <c r="H1294" s="58">
        <v>74000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222000</v>
      </c>
      <c r="R1294" s="61">
        <f>IF(REKAP[[#This Row],[Stok Aktual]]&lt;&gt;"",REKAP[[#This Row],[Stok Aktual]]-REKAP[[#This Row],[Stok Akhir]],0)</f>
        <v>0</v>
      </c>
      <c r="S1294" s="132"/>
      <c r="T1294" s="137">
        <f>IF(REKAP[[#This Row],[Selisih]]&lt;=-1,REKAP[[#This Row],[Harga Satuan]]*REKAP[[#This Row],[Selisih]],0)</f>
        <v>0</v>
      </c>
    </row>
    <row r="1295" spans="1:20" x14ac:dyDescent="0.25">
      <c r="A1295" s="55" t="s">
        <v>2732</v>
      </c>
      <c r="B1295" s="55" t="s">
        <v>2114</v>
      </c>
      <c r="C1295" s="55" t="s">
        <v>2114</v>
      </c>
      <c r="D1295" s="56" t="s">
        <v>2166</v>
      </c>
      <c r="E1295" s="57"/>
      <c r="F1295" s="75" t="s">
        <v>247</v>
      </c>
      <c r="G1295" s="64" t="s">
        <v>828</v>
      </c>
      <c r="H1295" s="58">
        <v>68000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3</v>
      </c>
      <c r="P1295" s="55"/>
      <c r="Q1295" s="62">
        <f>REKAP[[#This Row],[Harga Satuan]]*REKAP[[#This Row],[Stok Akhir]]</f>
        <v>204000</v>
      </c>
      <c r="R1295" s="61">
        <f>IF(REKAP[[#This Row],[Stok Aktual]]&lt;&gt;"",REKAP[[#This Row],[Stok Aktual]]-REKAP[[#This Row],[Stok Akhir]],0)</f>
        <v>0</v>
      </c>
      <c r="S1295" s="132"/>
      <c r="T1295" s="137">
        <f>IF(REKAP[[#This Row],[Selisih]]&lt;=-1,REKAP[[#This Row],[Harga Satuan]]*REKAP[[#This Row],[Selisih]],0)</f>
        <v>0</v>
      </c>
    </row>
    <row r="1296" spans="1:20" x14ac:dyDescent="0.25">
      <c r="A1296" s="55" t="s">
        <v>2733</v>
      </c>
      <c r="B1296" s="55" t="s">
        <v>2114</v>
      </c>
      <c r="C1296" s="55" t="s">
        <v>2114</v>
      </c>
      <c r="D1296" s="56" t="s">
        <v>2167</v>
      </c>
      <c r="E1296" s="57"/>
      <c r="F1296" s="75" t="s">
        <v>247</v>
      </c>
      <c r="G1296" s="64"/>
      <c r="H1296" s="58">
        <v>335000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1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1</v>
      </c>
      <c r="P1296" s="55"/>
      <c r="Q1296" s="62">
        <f>REKAP[[#This Row],[Harga Satuan]]*REKAP[[#This Row],[Stok Akhir]]</f>
        <v>335000</v>
      </c>
      <c r="R1296" s="61">
        <f>IF(REKAP[[#This Row],[Stok Aktual]]&lt;&gt;"",REKAP[[#This Row],[Stok Aktual]]-REKAP[[#This Row],[Stok Akhir]],0)</f>
        <v>0</v>
      </c>
      <c r="S1296" s="132"/>
      <c r="T1296" s="137">
        <f>IF(REKAP[[#This Row],[Selisih]]&lt;=-1,REKAP[[#This Row],[Harga Satuan]]*REKAP[[#This Row],[Selisih]],0)</f>
        <v>0</v>
      </c>
    </row>
    <row r="1297" spans="1:20" x14ac:dyDescent="0.25">
      <c r="A1297" s="55" t="s">
        <v>2734</v>
      </c>
      <c r="B1297" s="55" t="s">
        <v>2114</v>
      </c>
      <c r="C1297" s="55" t="s">
        <v>2114</v>
      </c>
      <c r="D1297" s="56" t="s">
        <v>2168</v>
      </c>
      <c r="E1297" s="57"/>
      <c r="F1297" s="75" t="s">
        <v>247</v>
      </c>
      <c r="G1297" s="64"/>
      <c r="H1297" s="58">
        <v>85000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3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3</v>
      </c>
      <c r="P1297" s="55"/>
      <c r="Q1297" s="62">
        <f>REKAP[[#This Row],[Harga Satuan]]*REKAP[[#This Row],[Stok Akhir]]</f>
        <v>255000</v>
      </c>
      <c r="R1297" s="61">
        <f>IF(REKAP[[#This Row],[Stok Aktual]]&lt;&gt;"",REKAP[[#This Row],[Stok Aktual]]-REKAP[[#This Row],[Stok Akhir]],0)</f>
        <v>0</v>
      </c>
      <c r="S1297" s="132"/>
      <c r="T1297" s="137">
        <f>IF(REKAP[[#This Row],[Selisih]]&lt;=-1,REKAP[[#This Row],[Harga Satuan]]*REKAP[[#This Row],[Selisih]],0)</f>
        <v>0</v>
      </c>
    </row>
    <row r="1298" spans="1:20" x14ac:dyDescent="0.25">
      <c r="A1298" s="55" t="s">
        <v>2735</v>
      </c>
      <c r="B1298" s="55" t="s">
        <v>2114</v>
      </c>
      <c r="C1298" s="55" t="s">
        <v>2114</v>
      </c>
      <c r="D1298" s="56" t="s">
        <v>2169</v>
      </c>
      <c r="E1298" s="57"/>
      <c r="F1298" s="75" t="s">
        <v>247</v>
      </c>
      <c r="G1298" s="64"/>
      <c r="H1298" s="58">
        <v>85000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4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4</v>
      </c>
      <c r="P1298" s="55"/>
      <c r="Q1298" s="62">
        <f>REKAP[[#This Row],[Harga Satuan]]*REKAP[[#This Row],[Stok Akhir]]</f>
        <v>340000</v>
      </c>
      <c r="R1298" s="61">
        <f>IF(REKAP[[#This Row],[Stok Aktual]]&lt;&gt;"",REKAP[[#This Row],[Stok Aktual]]-REKAP[[#This Row],[Stok Akhir]],0)</f>
        <v>0</v>
      </c>
      <c r="S1298" s="132"/>
      <c r="T1298" s="137">
        <f>IF(REKAP[[#This Row],[Selisih]]&lt;=-1,REKAP[[#This Row],[Harga Satuan]]*REKAP[[#This Row],[Selisih]],0)</f>
        <v>0</v>
      </c>
    </row>
    <row r="1299" spans="1:20" x14ac:dyDescent="0.25">
      <c r="A1299" s="55" t="s">
        <v>2736</v>
      </c>
      <c r="B1299" s="55" t="s">
        <v>2114</v>
      </c>
      <c r="C1299" s="55" t="s">
        <v>2114</v>
      </c>
      <c r="D1299" s="56" t="s">
        <v>2170</v>
      </c>
      <c r="E1299" s="57"/>
      <c r="F1299" s="75" t="s">
        <v>247</v>
      </c>
      <c r="G1299" s="64"/>
      <c r="H1299" s="58">
        <v>85000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4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4</v>
      </c>
      <c r="P1299" s="55"/>
      <c r="Q1299" s="62">
        <f>REKAP[[#This Row],[Harga Satuan]]*REKAP[[#This Row],[Stok Akhir]]</f>
        <v>340000</v>
      </c>
      <c r="R1299" s="61">
        <f>IF(REKAP[[#This Row],[Stok Aktual]]&lt;&gt;"",REKAP[[#This Row],[Stok Aktual]]-REKAP[[#This Row],[Stok Akhir]],0)</f>
        <v>0</v>
      </c>
      <c r="S1299" s="132"/>
      <c r="T1299" s="137">
        <f>IF(REKAP[[#This Row],[Selisih]]&lt;=-1,REKAP[[#This Row],[Harga Satuan]]*REKAP[[#This Row],[Selisih]],0)</f>
        <v>0</v>
      </c>
    </row>
    <row r="1300" spans="1:20" x14ac:dyDescent="0.25">
      <c r="A1300" s="55" t="s">
        <v>2737</v>
      </c>
      <c r="B1300" s="55" t="s">
        <v>2114</v>
      </c>
      <c r="C1300" s="55" t="s">
        <v>2114</v>
      </c>
      <c r="D1300" s="56" t="s">
        <v>2171</v>
      </c>
      <c r="E1300" s="57"/>
      <c r="F1300" s="75" t="s">
        <v>247</v>
      </c>
      <c r="G1300" s="64" t="s">
        <v>828</v>
      </c>
      <c r="H1300" s="58">
        <v>73000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3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3</v>
      </c>
      <c r="P1300" s="55"/>
      <c r="Q1300" s="62">
        <f>REKAP[[#This Row],[Harga Satuan]]*REKAP[[#This Row],[Stok Akhir]]</f>
        <v>219000</v>
      </c>
      <c r="R1300" s="61">
        <f>IF(REKAP[[#This Row],[Stok Aktual]]&lt;&gt;"",REKAP[[#This Row],[Stok Aktual]]-REKAP[[#This Row],[Stok Akhir]],0)</f>
        <v>0</v>
      </c>
      <c r="S1300" s="132"/>
      <c r="T1300" s="137">
        <f>IF(REKAP[[#This Row],[Selisih]]&lt;=-1,REKAP[[#This Row],[Harga Satuan]]*REKAP[[#This Row],[Selisih]],0)</f>
        <v>0</v>
      </c>
    </row>
    <row r="1301" spans="1:20" x14ac:dyDescent="0.25">
      <c r="A1301" s="55" t="s">
        <v>2738</v>
      </c>
      <c r="B1301" s="55" t="s">
        <v>2114</v>
      </c>
      <c r="C1301" s="55" t="s">
        <v>2114</v>
      </c>
      <c r="D1301" s="56" t="s">
        <v>2172</v>
      </c>
      <c r="E1301" s="57"/>
      <c r="F1301" s="75" t="s">
        <v>247</v>
      </c>
      <c r="G1301" s="64" t="s">
        <v>828</v>
      </c>
      <c r="H1301" s="58">
        <v>89000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4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4</v>
      </c>
      <c r="P1301" s="55"/>
      <c r="Q1301" s="62">
        <f>REKAP[[#This Row],[Harga Satuan]]*REKAP[[#This Row],[Stok Akhir]]</f>
        <v>356000</v>
      </c>
      <c r="R1301" s="61">
        <f>IF(REKAP[[#This Row],[Stok Aktual]]&lt;&gt;"",REKAP[[#This Row],[Stok Aktual]]-REKAP[[#This Row],[Stok Akhir]],0)</f>
        <v>0</v>
      </c>
      <c r="S1301" s="132"/>
      <c r="T1301" s="137">
        <f>IF(REKAP[[#This Row],[Selisih]]&lt;=-1,REKAP[[#This Row],[Harga Satuan]]*REKAP[[#This Row],[Selisih]],0)</f>
        <v>0</v>
      </c>
    </row>
    <row r="1302" spans="1:20" x14ac:dyDescent="0.25">
      <c r="A1302" s="55" t="s">
        <v>2739</v>
      </c>
      <c r="B1302" s="55" t="s">
        <v>2114</v>
      </c>
      <c r="C1302" s="55" t="s">
        <v>2114</v>
      </c>
      <c r="D1302" s="56" t="s">
        <v>2173</v>
      </c>
      <c r="E1302" s="57"/>
      <c r="F1302" s="75" t="s">
        <v>247</v>
      </c>
      <c r="G1302" s="64"/>
      <c r="H1302" s="58">
        <v>108300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2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2</v>
      </c>
      <c r="P1302" s="55"/>
      <c r="Q1302" s="62">
        <f>REKAP[[#This Row],[Harga Satuan]]*REKAP[[#This Row],[Stok Akhir]]</f>
        <v>216600</v>
      </c>
      <c r="R1302" s="61">
        <f>IF(REKAP[[#This Row],[Stok Aktual]]&lt;&gt;"",REKAP[[#This Row],[Stok Aktual]]-REKAP[[#This Row],[Stok Akhir]],0)</f>
        <v>0</v>
      </c>
      <c r="S1302" s="132"/>
      <c r="T1302" s="137">
        <f>IF(REKAP[[#This Row],[Selisih]]&lt;=-1,REKAP[[#This Row],[Harga Satuan]]*REKAP[[#This Row],[Selisih]],0)</f>
        <v>0</v>
      </c>
    </row>
    <row r="1303" spans="1:20" x14ac:dyDescent="0.25">
      <c r="A1303" s="55" t="s">
        <v>2740</v>
      </c>
      <c r="B1303" s="55" t="s">
        <v>2114</v>
      </c>
      <c r="C1303" s="55" t="s">
        <v>2114</v>
      </c>
      <c r="D1303" s="56" t="s">
        <v>2174</v>
      </c>
      <c r="E1303" s="57"/>
      <c r="F1303" s="75" t="s">
        <v>247</v>
      </c>
      <c r="G1303" s="64"/>
      <c r="H1303" s="58">
        <v>108300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324900</v>
      </c>
      <c r="R1303" s="61">
        <f>IF(REKAP[[#This Row],[Stok Aktual]]&lt;&gt;"",REKAP[[#This Row],[Stok Aktual]]-REKAP[[#This Row],[Stok Akhir]],0)</f>
        <v>0</v>
      </c>
      <c r="S1303" s="132"/>
      <c r="T1303" s="137">
        <f>IF(REKAP[[#This Row],[Selisih]]&lt;=-1,REKAP[[#This Row],[Harga Satuan]]*REKAP[[#This Row],[Selisih]],0)</f>
        <v>0</v>
      </c>
    </row>
    <row r="1304" spans="1:20" x14ac:dyDescent="0.25">
      <c r="A1304" s="55" t="s">
        <v>2741</v>
      </c>
      <c r="B1304" s="55" t="s">
        <v>2114</v>
      </c>
      <c r="C1304" s="55" t="s">
        <v>2114</v>
      </c>
      <c r="D1304" s="56" t="s">
        <v>2175</v>
      </c>
      <c r="E1304" s="57"/>
      <c r="F1304" s="75" t="s">
        <v>247</v>
      </c>
      <c r="G1304" s="64" t="s">
        <v>2176</v>
      </c>
      <c r="H1304" s="58">
        <v>95000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190000</v>
      </c>
      <c r="R1304" s="61">
        <f>IF(REKAP[[#This Row],[Stok Aktual]]&lt;&gt;"",REKAP[[#This Row],[Stok Aktual]]-REKAP[[#This Row],[Stok Akhir]],0)</f>
        <v>0</v>
      </c>
      <c r="S1304" s="132"/>
      <c r="T1304" s="137">
        <f>IF(REKAP[[#This Row],[Selisih]]&lt;=-1,REKAP[[#This Row],[Harga Satuan]]*REKAP[[#This Row],[Selisih]],0)</f>
        <v>0</v>
      </c>
    </row>
    <row r="1305" spans="1:20" x14ac:dyDescent="0.25">
      <c r="A1305" s="55" t="s">
        <v>2742</v>
      </c>
      <c r="B1305" s="55" t="s">
        <v>2114</v>
      </c>
      <c r="C1305" s="55" t="s">
        <v>2114</v>
      </c>
      <c r="D1305" s="56" t="s">
        <v>2177</v>
      </c>
      <c r="E1305" s="57"/>
      <c r="F1305" s="75" t="s">
        <v>247</v>
      </c>
      <c r="G1305" s="64"/>
      <c r="H1305" s="58">
        <v>120500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241000</v>
      </c>
      <c r="R1305" s="61">
        <f>IF(REKAP[[#This Row],[Stok Aktual]]&lt;&gt;"",REKAP[[#This Row],[Stok Aktual]]-REKAP[[#This Row],[Stok Akhir]],0)</f>
        <v>0</v>
      </c>
      <c r="S1305" s="132"/>
      <c r="T1305" s="137">
        <f>IF(REKAP[[#This Row],[Selisih]]&lt;=-1,REKAP[[#This Row],[Harga Satuan]]*REKAP[[#This Row],[Selisih]],0)</f>
        <v>0</v>
      </c>
    </row>
    <row r="1306" spans="1:20" x14ac:dyDescent="0.25">
      <c r="A1306" s="55" t="s">
        <v>2743</v>
      </c>
      <c r="B1306" s="55" t="s">
        <v>2114</v>
      </c>
      <c r="C1306" s="55" t="s">
        <v>2114</v>
      </c>
      <c r="D1306" s="56" t="s">
        <v>2178</v>
      </c>
      <c r="E1306" s="57"/>
      <c r="F1306" s="75" t="s">
        <v>247</v>
      </c>
      <c r="G1306" s="64" t="s">
        <v>2116</v>
      </c>
      <c r="H1306" s="58">
        <v>159000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6</v>
      </c>
      <c r="P1306" s="55"/>
      <c r="Q1306" s="62">
        <f>REKAP[[#This Row],[Harga Satuan]]*REKAP[[#This Row],[Stok Akhir]]</f>
        <v>954000</v>
      </c>
      <c r="R1306" s="61">
        <f>IF(REKAP[[#This Row],[Stok Aktual]]&lt;&gt;"",REKAP[[#This Row],[Stok Aktual]]-REKAP[[#This Row],[Stok Akhir]],0)</f>
        <v>0</v>
      </c>
      <c r="S1306" s="132"/>
      <c r="T1306" s="137">
        <f>IF(REKAP[[#This Row],[Selisih]]&lt;=-1,REKAP[[#This Row],[Harga Satuan]]*REKAP[[#This Row],[Selisih]],0)</f>
        <v>0</v>
      </c>
    </row>
    <row r="1307" spans="1:20" x14ac:dyDescent="0.25">
      <c r="A1307" s="55" t="s">
        <v>2744</v>
      </c>
      <c r="B1307" s="55" t="s">
        <v>2114</v>
      </c>
      <c r="C1307" s="55" t="s">
        <v>2114</v>
      </c>
      <c r="D1307" s="56" t="s">
        <v>2179</v>
      </c>
      <c r="E1307" s="57"/>
      <c r="F1307" s="75" t="s">
        <v>247</v>
      </c>
      <c r="G1307" s="64"/>
      <c r="H1307" s="58">
        <v>108300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324900</v>
      </c>
      <c r="R1307" s="61">
        <f>IF(REKAP[[#This Row],[Stok Aktual]]&lt;&gt;"",REKAP[[#This Row],[Stok Aktual]]-REKAP[[#This Row],[Stok Akhir]],0)</f>
        <v>0</v>
      </c>
      <c r="S1307" s="132"/>
      <c r="T1307" s="137">
        <f>IF(REKAP[[#This Row],[Selisih]]&lt;=-1,REKAP[[#This Row],[Harga Satuan]]*REKAP[[#This Row],[Selisih]],0)</f>
        <v>0</v>
      </c>
    </row>
    <row r="1308" spans="1:20" x14ac:dyDescent="0.25">
      <c r="A1308" s="55" t="s">
        <v>2745</v>
      </c>
      <c r="B1308" s="55" t="s">
        <v>2114</v>
      </c>
      <c r="C1308" s="55" t="s">
        <v>2114</v>
      </c>
      <c r="D1308" s="56" t="s">
        <v>2180</v>
      </c>
      <c r="E1308" s="57"/>
      <c r="F1308" s="75" t="s">
        <v>247</v>
      </c>
      <c r="G1308" s="64" t="s">
        <v>828</v>
      </c>
      <c r="H1308" s="58">
        <v>117500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4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4</v>
      </c>
      <c r="P1308" s="55"/>
      <c r="Q1308" s="62">
        <f>REKAP[[#This Row],[Harga Satuan]]*REKAP[[#This Row],[Stok Akhir]]</f>
        <v>470000</v>
      </c>
      <c r="R1308" s="61">
        <f>IF(REKAP[[#This Row],[Stok Aktual]]&lt;&gt;"",REKAP[[#This Row],[Stok Aktual]]-REKAP[[#This Row],[Stok Akhir]],0)</f>
        <v>0</v>
      </c>
      <c r="S1308" s="132"/>
      <c r="T1308" s="137">
        <f>IF(REKAP[[#This Row],[Selisih]]&lt;=-1,REKAP[[#This Row],[Harga Satuan]]*REKAP[[#This Row],[Selisih]],0)</f>
        <v>0</v>
      </c>
    </row>
    <row r="1309" spans="1:20" x14ac:dyDescent="0.25">
      <c r="A1309" s="55" t="s">
        <v>2746</v>
      </c>
      <c r="B1309" s="55" t="s">
        <v>2114</v>
      </c>
      <c r="C1309" s="55" t="s">
        <v>2114</v>
      </c>
      <c r="D1309" s="56" t="s">
        <v>2181</v>
      </c>
      <c r="E1309" s="57"/>
      <c r="F1309" s="75" t="s">
        <v>247</v>
      </c>
      <c r="G1309" s="64" t="s">
        <v>828</v>
      </c>
      <c r="H1309" s="58">
        <v>133000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2</v>
      </c>
      <c r="P1309" s="55"/>
      <c r="Q1309" s="62">
        <f>REKAP[[#This Row],[Harga Satuan]]*REKAP[[#This Row],[Stok Akhir]]</f>
        <v>266000</v>
      </c>
      <c r="R1309" s="61">
        <f>IF(REKAP[[#This Row],[Stok Aktual]]&lt;&gt;"",REKAP[[#This Row],[Stok Aktual]]-REKAP[[#This Row],[Stok Akhir]],0)</f>
        <v>0</v>
      </c>
      <c r="S1309" s="132"/>
      <c r="T1309" s="137">
        <f>IF(REKAP[[#This Row],[Selisih]]&lt;=-1,REKAP[[#This Row],[Harga Satuan]]*REKAP[[#This Row],[Selisih]],0)</f>
        <v>0</v>
      </c>
    </row>
    <row r="1310" spans="1:20" x14ac:dyDescent="0.25">
      <c r="A1310" s="55" t="s">
        <v>2747</v>
      </c>
      <c r="B1310" s="55" t="s">
        <v>2114</v>
      </c>
      <c r="C1310" s="55" t="s">
        <v>2114</v>
      </c>
      <c r="D1310" s="56" t="s">
        <v>2182</v>
      </c>
      <c r="E1310" s="57"/>
      <c r="F1310" s="75" t="s">
        <v>247</v>
      </c>
      <c r="G1310" s="64"/>
      <c r="H1310" s="58">
        <v>181000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3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3</v>
      </c>
      <c r="P1310" s="55"/>
      <c r="Q1310" s="62">
        <f>REKAP[[#This Row],[Harga Satuan]]*REKAP[[#This Row],[Stok Akhir]]</f>
        <v>543000</v>
      </c>
      <c r="R1310" s="61">
        <f>IF(REKAP[[#This Row],[Stok Aktual]]&lt;&gt;"",REKAP[[#This Row],[Stok Aktual]]-REKAP[[#This Row],[Stok Akhir]],0)</f>
        <v>0</v>
      </c>
      <c r="S1310" s="132"/>
      <c r="T1310" s="137">
        <f>IF(REKAP[[#This Row],[Selisih]]&lt;=-1,REKAP[[#This Row],[Harga Satuan]]*REKAP[[#This Row],[Selisih]],0)</f>
        <v>0</v>
      </c>
    </row>
    <row r="1311" spans="1:20" x14ac:dyDescent="0.25">
      <c r="A1311" s="55" t="s">
        <v>2748</v>
      </c>
      <c r="B1311" s="55" t="s">
        <v>2114</v>
      </c>
      <c r="C1311" s="55" t="s">
        <v>2114</v>
      </c>
      <c r="D1311" s="56" t="s">
        <v>2183</v>
      </c>
      <c r="E1311" s="57"/>
      <c r="F1311" s="75" t="s">
        <v>247</v>
      </c>
      <c r="G1311" s="64" t="s">
        <v>828</v>
      </c>
      <c r="H1311" s="58">
        <v>147200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3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3</v>
      </c>
      <c r="P1311" s="55"/>
      <c r="Q1311" s="62">
        <f>REKAP[[#This Row],[Harga Satuan]]*REKAP[[#This Row],[Stok Akhir]]</f>
        <v>441600</v>
      </c>
      <c r="R1311" s="61">
        <f>IF(REKAP[[#This Row],[Stok Aktual]]&lt;&gt;"",REKAP[[#This Row],[Stok Aktual]]-REKAP[[#This Row],[Stok Akhir]],0)</f>
        <v>0</v>
      </c>
      <c r="S1311" s="132"/>
      <c r="T1311" s="137">
        <f>IF(REKAP[[#This Row],[Selisih]]&lt;=-1,REKAP[[#This Row],[Harga Satuan]]*REKAP[[#This Row],[Selisih]],0)</f>
        <v>0</v>
      </c>
    </row>
    <row r="1312" spans="1:20" x14ac:dyDescent="0.25">
      <c r="A1312" s="55" t="s">
        <v>2749</v>
      </c>
      <c r="B1312" s="55" t="s">
        <v>2114</v>
      </c>
      <c r="C1312" s="55" t="s">
        <v>2114</v>
      </c>
      <c r="D1312" s="56" t="s">
        <v>2184</v>
      </c>
      <c r="E1312" s="57"/>
      <c r="F1312" s="75" t="s">
        <v>247</v>
      </c>
      <c r="G1312" s="64"/>
      <c r="H1312" s="58">
        <v>101000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2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2</v>
      </c>
      <c r="P1312" s="55"/>
      <c r="Q1312" s="62">
        <f>REKAP[[#This Row],[Harga Satuan]]*REKAP[[#This Row],[Stok Akhir]]</f>
        <v>202000</v>
      </c>
      <c r="R1312" s="61">
        <f>IF(REKAP[[#This Row],[Stok Aktual]]&lt;&gt;"",REKAP[[#This Row],[Stok Aktual]]-REKAP[[#This Row],[Stok Akhir]],0)</f>
        <v>0</v>
      </c>
      <c r="S1312" s="132"/>
      <c r="T1312" s="137">
        <f>IF(REKAP[[#This Row],[Selisih]]&lt;=-1,REKAP[[#This Row],[Harga Satuan]]*REKAP[[#This Row],[Selisih]],0)</f>
        <v>0</v>
      </c>
    </row>
    <row r="1313" spans="1:20" x14ac:dyDescent="0.25">
      <c r="A1313" s="55" t="s">
        <v>2750</v>
      </c>
      <c r="B1313" s="55" t="s">
        <v>2114</v>
      </c>
      <c r="C1313" s="55" t="s">
        <v>2114</v>
      </c>
      <c r="D1313" s="56" t="s">
        <v>2185</v>
      </c>
      <c r="E1313" s="57"/>
      <c r="F1313" s="75" t="s">
        <v>247</v>
      </c>
      <c r="G1313" s="64" t="s">
        <v>828</v>
      </c>
      <c r="H1313" s="58">
        <v>180000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4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4</v>
      </c>
      <c r="P1313" s="55"/>
      <c r="Q1313" s="62">
        <f>REKAP[[#This Row],[Harga Satuan]]*REKAP[[#This Row],[Stok Akhir]]</f>
        <v>720000</v>
      </c>
      <c r="R1313" s="61">
        <f>IF(REKAP[[#This Row],[Stok Aktual]]&lt;&gt;"",REKAP[[#This Row],[Stok Aktual]]-REKAP[[#This Row],[Stok Akhir]],0)</f>
        <v>0</v>
      </c>
      <c r="S1313" s="132"/>
      <c r="T1313" s="137">
        <f>IF(REKAP[[#This Row],[Selisih]]&lt;=-1,REKAP[[#This Row],[Harga Satuan]]*REKAP[[#This Row],[Selisih]],0)</f>
        <v>0</v>
      </c>
    </row>
    <row r="1314" spans="1:20" x14ac:dyDescent="0.25">
      <c r="A1314" s="55" t="s">
        <v>2751</v>
      </c>
      <c r="B1314" s="55" t="s">
        <v>2114</v>
      </c>
      <c r="C1314" s="55" t="s">
        <v>2114</v>
      </c>
      <c r="D1314" s="56" t="s">
        <v>2186</v>
      </c>
      <c r="E1314" s="57"/>
      <c r="F1314" s="75" t="s">
        <v>247</v>
      </c>
      <c r="G1314" s="64" t="s">
        <v>828</v>
      </c>
      <c r="H1314" s="58">
        <v>143000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4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4</v>
      </c>
      <c r="P1314" s="55"/>
      <c r="Q1314" s="62">
        <f>REKAP[[#This Row],[Harga Satuan]]*REKAP[[#This Row],[Stok Akhir]]</f>
        <v>572000</v>
      </c>
      <c r="R1314" s="61">
        <f>IF(REKAP[[#This Row],[Stok Aktual]]&lt;&gt;"",REKAP[[#This Row],[Stok Aktual]]-REKAP[[#This Row],[Stok Akhir]],0)</f>
        <v>0</v>
      </c>
      <c r="S1314" s="132"/>
      <c r="T1314" s="137">
        <f>IF(REKAP[[#This Row],[Selisih]]&lt;=-1,REKAP[[#This Row],[Harga Satuan]]*REKAP[[#This Row],[Selisih]],0)</f>
        <v>0</v>
      </c>
    </row>
    <row r="1315" spans="1:20" x14ac:dyDescent="0.25">
      <c r="A1315" s="55" t="s">
        <v>2752</v>
      </c>
      <c r="B1315" s="55" t="s">
        <v>2114</v>
      </c>
      <c r="C1315" s="55" t="s">
        <v>2114</v>
      </c>
      <c r="D1315" s="56" t="s">
        <v>2187</v>
      </c>
      <c r="E1315" s="57"/>
      <c r="F1315" s="75" t="s">
        <v>247</v>
      </c>
      <c r="G1315" s="64"/>
      <c r="H1315" s="58">
        <v>150000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3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3</v>
      </c>
      <c r="P1315" s="55"/>
      <c r="Q1315" s="62">
        <f>REKAP[[#This Row],[Harga Satuan]]*REKAP[[#This Row],[Stok Akhir]]</f>
        <v>450000</v>
      </c>
      <c r="R1315" s="61">
        <f>IF(REKAP[[#This Row],[Stok Aktual]]&lt;&gt;"",REKAP[[#This Row],[Stok Aktual]]-REKAP[[#This Row],[Stok Akhir]],0)</f>
        <v>0</v>
      </c>
      <c r="S1315" s="132"/>
      <c r="T1315" s="137">
        <f>IF(REKAP[[#This Row],[Selisih]]&lt;=-1,REKAP[[#This Row],[Harga Satuan]]*REKAP[[#This Row],[Selisih]],0)</f>
        <v>0</v>
      </c>
    </row>
    <row r="1316" spans="1:20" x14ac:dyDescent="0.25">
      <c r="A1316" s="55" t="s">
        <v>2753</v>
      </c>
      <c r="B1316" s="55" t="s">
        <v>2114</v>
      </c>
      <c r="C1316" s="55" t="s">
        <v>2114</v>
      </c>
      <c r="D1316" s="56" t="s">
        <v>2188</v>
      </c>
      <c r="E1316" s="57"/>
      <c r="F1316" s="75" t="s">
        <v>247</v>
      </c>
      <c r="G1316" s="64"/>
      <c r="H1316" s="58">
        <v>266600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3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3</v>
      </c>
      <c r="P1316" s="55"/>
      <c r="Q1316" s="62">
        <f>REKAP[[#This Row],[Harga Satuan]]*REKAP[[#This Row],[Stok Akhir]]</f>
        <v>799800</v>
      </c>
      <c r="R1316" s="61">
        <f>IF(REKAP[[#This Row],[Stok Aktual]]&lt;&gt;"",REKAP[[#This Row],[Stok Aktual]]-REKAP[[#This Row],[Stok Akhir]],0)</f>
        <v>0</v>
      </c>
      <c r="S1316" s="132"/>
      <c r="T1316" s="137">
        <f>IF(REKAP[[#This Row],[Selisih]]&lt;=-1,REKAP[[#This Row],[Harga Satuan]]*REKAP[[#This Row],[Selisih]],0)</f>
        <v>0</v>
      </c>
    </row>
    <row r="1317" spans="1:20" x14ac:dyDescent="0.25">
      <c r="A1317" s="55" t="s">
        <v>2754</v>
      </c>
      <c r="B1317" s="55" t="s">
        <v>2114</v>
      </c>
      <c r="C1317" s="55" t="s">
        <v>2114</v>
      </c>
      <c r="D1317" s="56" t="s">
        <v>2189</v>
      </c>
      <c r="E1317" s="57"/>
      <c r="F1317" s="75" t="s">
        <v>247</v>
      </c>
      <c r="G1317" s="64"/>
      <c r="H1317" s="58">
        <v>328000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984000</v>
      </c>
      <c r="R1317" s="61">
        <f>IF(REKAP[[#This Row],[Stok Aktual]]&lt;&gt;"",REKAP[[#This Row],[Stok Aktual]]-REKAP[[#This Row],[Stok Akhir]],0)</f>
        <v>0</v>
      </c>
      <c r="S1317" s="132"/>
      <c r="T1317" s="137">
        <f>IF(REKAP[[#This Row],[Selisih]]&lt;=-1,REKAP[[#This Row],[Harga Satuan]]*REKAP[[#This Row],[Selisih]],0)</f>
        <v>0</v>
      </c>
    </row>
    <row r="1318" spans="1:20" x14ac:dyDescent="0.25">
      <c r="A1318" s="55" t="s">
        <v>2755</v>
      </c>
      <c r="B1318" s="55" t="s">
        <v>2114</v>
      </c>
      <c r="C1318" s="55" t="s">
        <v>2114</v>
      </c>
      <c r="D1318" s="56" t="s">
        <v>2190</v>
      </c>
      <c r="E1318" s="57"/>
      <c r="F1318" s="75" t="s">
        <v>247</v>
      </c>
      <c r="G1318" s="64" t="s">
        <v>828</v>
      </c>
      <c r="H1318" s="58">
        <v>269000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538000</v>
      </c>
      <c r="R1318" s="61">
        <f>IF(REKAP[[#This Row],[Stok Aktual]]&lt;&gt;"",REKAP[[#This Row],[Stok Aktual]]-REKAP[[#This Row],[Stok Akhir]],0)</f>
        <v>0</v>
      </c>
      <c r="S1318" s="132"/>
      <c r="T1318" s="137">
        <f>IF(REKAP[[#This Row],[Selisih]]&lt;=-1,REKAP[[#This Row],[Harga Satuan]]*REKAP[[#This Row],[Selisih]],0)</f>
        <v>0</v>
      </c>
    </row>
    <row r="1319" spans="1:20" x14ac:dyDescent="0.25">
      <c r="A1319" s="55" t="s">
        <v>2756</v>
      </c>
      <c r="B1319" s="55" t="s">
        <v>2114</v>
      </c>
      <c r="C1319" s="55" t="s">
        <v>2114</v>
      </c>
      <c r="D1319" s="56" t="s">
        <v>2191</v>
      </c>
      <c r="E1319" s="57"/>
      <c r="F1319" s="75" t="s">
        <v>247</v>
      </c>
      <c r="G1319" s="64" t="s">
        <v>828</v>
      </c>
      <c r="H1319" s="58">
        <v>329000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2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2</v>
      </c>
      <c r="P1319" s="55"/>
      <c r="Q1319" s="62">
        <f>REKAP[[#This Row],[Harga Satuan]]*REKAP[[#This Row],[Stok Akhir]]</f>
        <v>658000</v>
      </c>
      <c r="R1319" s="61">
        <f>IF(REKAP[[#This Row],[Stok Aktual]]&lt;&gt;"",REKAP[[#This Row],[Stok Aktual]]-REKAP[[#This Row],[Stok Akhir]],0)</f>
        <v>0</v>
      </c>
      <c r="S1319" s="132"/>
      <c r="T1319" s="137">
        <f>IF(REKAP[[#This Row],[Selisih]]&lt;=-1,REKAP[[#This Row],[Harga Satuan]]*REKAP[[#This Row],[Selisih]],0)</f>
        <v>0</v>
      </c>
    </row>
    <row r="1320" spans="1:20" x14ac:dyDescent="0.25">
      <c r="A1320" s="55" t="s">
        <v>2757</v>
      </c>
      <c r="B1320" s="55" t="s">
        <v>2114</v>
      </c>
      <c r="C1320" s="55" t="s">
        <v>2114</v>
      </c>
      <c r="D1320" s="56" t="s">
        <v>2192</v>
      </c>
      <c r="E1320" s="57"/>
      <c r="F1320" s="75" t="s">
        <v>247</v>
      </c>
      <c r="G1320" s="64" t="s">
        <v>2193</v>
      </c>
      <c r="H1320" s="58">
        <v>532000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1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1</v>
      </c>
      <c r="P1320" s="55"/>
      <c r="Q1320" s="62">
        <f>REKAP[[#This Row],[Harga Satuan]]*REKAP[[#This Row],[Stok Akhir]]</f>
        <v>532000</v>
      </c>
      <c r="R1320" s="61">
        <f>IF(REKAP[[#This Row],[Stok Aktual]]&lt;&gt;"",REKAP[[#This Row],[Stok Aktual]]-REKAP[[#This Row],[Stok Akhir]],0)</f>
        <v>0</v>
      </c>
      <c r="S1320" s="132"/>
      <c r="T1320" s="137">
        <f>IF(REKAP[[#This Row],[Selisih]]&lt;=-1,REKAP[[#This Row],[Harga Satuan]]*REKAP[[#This Row],[Selisih]],0)</f>
        <v>0</v>
      </c>
    </row>
    <row r="1321" spans="1:20" x14ac:dyDescent="0.25">
      <c r="A1321" s="55" t="s">
        <v>2758</v>
      </c>
      <c r="B1321" s="55" t="s">
        <v>2114</v>
      </c>
      <c r="C1321" s="55" t="s">
        <v>2114</v>
      </c>
      <c r="D1321" s="56" t="s">
        <v>2194</v>
      </c>
      <c r="E1321" s="57"/>
      <c r="F1321" s="75" t="s">
        <v>247</v>
      </c>
      <c r="G1321" s="64"/>
      <c r="H1321" s="58">
        <v>337000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1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1</v>
      </c>
      <c r="P1321" s="55"/>
      <c r="Q1321" s="62">
        <f>REKAP[[#This Row],[Harga Satuan]]*REKAP[[#This Row],[Stok Akhir]]</f>
        <v>337000</v>
      </c>
      <c r="R1321" s="61">
        <f>IF(REKAP[[#This Row],[Stok Aktual]]&lt;&gt;"",REKAP[[#This Row],[Stok Aktual]]-REKAP[[#This Row],[Stok Akhir]],0)</f>
        <v>0</v>
      </c>
      <c r="S1321" s="132"/>
      <c r="T1321" s="137">
        <f>IF(REKAP[[#This Row],[Selisih]]&lt;=-1,REKAP[[#This Row],[Harga Satuan]]*REKAP[[#This Row],[Selisih]],0)</f>
        <v>0</v>
      </c>
    </row>
    <row r="1322" spans="1:20" x14ac:dyDescent="0.25">
      <c r="A1322" s="55" t="s">
        <v>2759</v>
      </c>
      <c r="B1322" s="55" t="s">
        <v>2114</v>
      </c>
      <c r="C1322" s="55" t="s">
        <v>2114</v>
      </c>
      <c r="D1322" s="56" t="s">
        <v>2195</v>
      </c>
      <c r="E1322" s="57"/>
      <c r="F1322" s="75" t="s">
        <v>247</v>
      </c>
      <c r="G1322" s="64"/>
      <c r="H1322" s="58">
        <v>398000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1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1</v>
      </c>
      <c r="P1322" s="55"/>
      <c r="Q1322" s="62">
        <f>REKAP[[#This Row],[Harga Satuan]]*REKAP[[#This Row],[Stok Akhir]]</f>
        <v>398000</v>
      </c>
      <c r="R1322" s="61">
        <f>IF(REKAP[[#This Row],[Stok Aktual]]&lt;&gt;"",REKAP[[#This Row],[Stok Aktual]]-REKAP[[#This Row],[Stok Akhir]],0)</f>
        <v>0</v>
      </c>
      <c r="S1322" s="132"/>
      <c r="T1322" s="137">
        <f>IF(REKAP[[#This Row],[Selisih]]&lt;=-1,REKAP[[#This Row],[Harga Satuan]]*REKAP[[#This Row],[Selisih]],0)</f>
        <v>0</v>
      </c>
    </row>
    <row r="1323" spans="1:20" x14ac:dyDescent="0.25">
      <c r="A1323" s="55" t="s">
        <v>2760</v>
      </c>
      <c r="B1323" s="55" t="s">
        <v>2114</v>
      </c>
      <c r="C1323" s="55" t="s">
        <v>2114</v>
      </c>
      <c r="D1323" s="56" t="s">
        <v>2196</v>
      </c>
      <c r="E1323" s="57"/>
      <c r="F1323" s="75" t="s">
        <v>247</v>
      </c>
      <c r="G1323" s="64"/>
      <c r="H1323" s="58">
        <v>9690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29070</v>
      </c>
      <c r="R1323" s="61">
        <f>IF(REKAP[[#This Row],[Stok Aktual]]&lt;&gt;"",REKAP[[#This Row],[Stok Aktual]]-REKAP[[#This Row],[Stok Akhir]],0)</f>
        <v>0</v>
      </c>
      <c r="S1323" s="132"/>
      <c r="T1323" s="137">
        <f>IF(REKAP[[#This Row],[Selisih]]&lt;=-1,REKAP[[#This Row],[Harga Satuan]]*REKAP[[#This Row],[Selisih]],0)</f>
        <v>0</v>
      </c>
    </row>
    <row r="1324" spans="1:20" x14ac:dyDescent="0.25">
      <c r="A1324" s="55" t="s">
        <v>2761</v>
      </c>
      <c r="B1324" s="55" t="s">
        <v>2114</v>
      </c>
      <c r="C1324" s="55" t="s">
        <v>2114</v>
      </c>
      <c r="D1324" s="56" t="s">
        <v>2197</v>
      </c>
      <c r="E1324" s="57"/>
      <c r="F1324" s="75" t="s">
        <v>247</v>
      </c>
      <c r="G1324" s="64" t="s">
        <v>2116</v>
      </c>
      <c r="H1324" s="58">
        <v>15000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45000</v>
      </c>
      <c r="R1324" s="61">
        <f>IF(REKAP[[#This Row],[Stok Aktual]]&lt;&gt;"",REKAP[[#This Row],[Stok Aktual]]-REKAP[[#This Row],[Stok Akhir]],0)</f>
        <v>0</v>
      </c>
      <c r="S1324" s="132"/>
      <c r="T1324" s="137">
        <f>IF(REKAP[[#This Row],[Selisih]]&lt;=-1,REKAP[[#This Row],[Harga Satuan]]*REKAP[[#This Row],[Selisih]],0)</f>
        <v>0</v>
      </c>
    </row>
    <row r="1325" spans="1:20" x14ac:dyDescent="0.25">
      <c r="A1325" s="55" t="s">
        <v>2762</v>
      </c>
      <c r="B1325" s="55" t="s">
        <v>2114</v>
      </c>
      <c r="C1325" s="55" t="s">
        <v>2114</v>
      </c>
      <c r="D1325" s="56" t="s">
        <v>2198</v>
      </c>
      <c r="E1325" s="57"/>
      <c r="F1325" s="75" t="s">
        <v>247</v>
      </c>
      <c r="G1325" s="64"/>
      <c r="H1325" s="58">
        <v>12000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2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2</v>
      </c>
      <c r="P1325" s="55"/>
      <c r="Q1325" s="62">
        <f>REKAP[[#This Row],[Harga Satuan]]*REKAP[[#This Row],[Stok Akhir]]</f>
        <v>24000</v>
      </c>
      <c r="R1325" s="61">
        <f>IF(REKAP[[#This Row],[Stok Aktual]]&lt;&gt;"",REKAP[[#This Row],[Stok Aktual]]-REKAP[[#This Row],[Stok Akhir]],0)</f>
        <v>0</v>
      </c>
      <c r="S1325" s="132"/>
      <c r="T1325" s="137">
        <f>IF(REKAP[[#This Row],[Selisih]]&lt;=-1,REKAP[[#This Row],[Harga Satuan]]*REKAP[[#This Row],[Selisih]],0)</f>
        <v>0</v>
      </c>
    </row>
    <row r="1326" spans="1:20" x14ac:dyDescent="0.25">
      <c r="A1326" s="55" t="s">
        <v>2763</v>
      </c>
      <c r="B1326" s="55" t="s">
        <v>2114</v>
      </c>
      <c r="C1326" s="55" t="s">
        <v>2114</v>
      </c>
      <c r="D1326" s="56" t="s">
        <v>2199</v>
      </c>
      <c r="E1326" s="57"/>
      <c r="F1326" s="75" t="s">
        <v>247</v>
      </c>
      <c r="G1326" s="64"/>
      <c r="H1326" s="58">
        <v>9690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29070</v>
      </c>
      <c r="R1326" s="61">
        <f>IF(REKAP[[#This Row],[Stok Aktual]]&lt;&gt;"",REKAP[[#This Row],[Stok Aktual]]-REKAP[[#This Row],[Stok Akhir]],0)</f>
        <v>0</v>
      </c>
      <c r="S1326" s="132"/>
      <c r="T1326" s="137">
        <f>IF(REKAP[[#This Row],[Selisih]]&lt;=-1,REKAP[[#This Row],[Harga Satuan]]*REKAP[[#This Row],[Selisih]],0)</f>
        <v>0</v>
      </c>
    </row>
    <row r="1327" spans="1:20" x14ac:dyDescent="0.25">
      <c r="A1327" s="55" t="s">
        <v>2764</v>
      </c>
      <c r="B1327" s="55" t="s">
        <v>2114</v>
      </c>
      <c r="C1327" s="55" t="s">
        <v>2114</v>
      </c>
      <c r="D1327" s="56" t="s">
        <v>2200</v>
      </c>
      <c r="E1327" s="57"/>
      <c r="F1327" s="75" t="s">
        <v>247</v>
      </c>
      <c r="G1327" s="64"/>
      <c r="H1327" s="58">
        <v>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1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1</v>
      </c>
      <c r="P1327" s="55"/>
      <c r="Q1327" s="62">
        <f>REKAP[[#This Row],[Harga Satuan]]*REKAP[[#This Row],[Stok Akhir]]</f>
        <v>0</v>
      </c>
      <c r="R1327" s="61">
        <f>IF(REKAP[[#This Row],[Stok Aktual]]&lt;&gt;"",REKAP[[#This Row],[Stok Aktual]]-REKAP[[#This Row],[Stok Akhir]],0)</f>
        <v>0</v>
      </c>
      <c r="S1327" s="132"/>
      <c r="T1327" s="137">
        <f>IF(REKAP[[#This Row],[Selisih]]&lt;=-1,REKAP[[#This Row],[Harga Satuan]]*REKAP[[#This Row],[Selisih]],0)</f>
        <v>0</v>
      </c>
    </row>
    <row r="1328" spans="1:20" x14ac:dyDescent="0.25">
      <c r="A1328" s="55" t="s">
        <v>2765</v>
      </c>
      <c r="B1328" s="55" t="s">
        <v>2114</v>
      </c>
      <c r="C1328" s="55" t="s">
        <v>2114</v>
      </c>
      <c r="D1328" s="56" t="s">
        <v>2201</v>
      </c>
      <c r="E1328" s="57"/>
      <c r="F1328" s="75" t="s">
        <v>247</v>
      </c>
      <c r="G1328" s="64" t="s">
        <v>2176</v>
      </c>
      <c r="H1328" s="58">
        <v>268680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806040</v>
      </c>
      <c r="R1328" s="61">
        <f>IF(REKAP[[#This Row],[Stok Aktual]]&lt;&gt;"",REKAP[[#This Row],[Stok Aktual]]-REKAP[[#This Row],[Stok Akhir]],0)</f>
        <v>0</v>
      </c>
      <c r="S1328" s="132"/>
      <c r="T1328" s="137">
        <f>IF(REKAP[[#This Row],[Selisih]]&lt;=-1,REKAP[[#This Row],[Harga Satuan]]*REKAP[[#This Row],[Selisih]],0)</f>
        <v>0</v>
      </c>
    </row>
    <row r="1329" spans="1:20" x14ac:dyDescent="0.25">
      <c r="A1329" s="55" t="s">
        <v>2766</v>
      </c>
      <c r="B1329" s="55" t="s">
        <v>2202</v>
      </c>
      <c r="C1329" s="55" t="s">
        <v>2202</v>
      </c>
      <c r="D1329" s="56" t="s">
        <v>2203</v>
      </c>
      <c r="E1329" s="57"/>
      <c r="F1329" s="75" t="s">
        <v>247</v>
      </c>
      <c r="G1329" s="64" t="s">
        <v>2176</v>
      </c>
      <c r="H1329" s="58">
        <v>230000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1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1</v>
      </c>
      <c r="P1329" s="55"/>
      <c r="Q1329" s="62">
        <f>REKAP[[#This Row],[Harga Satuan]]*REKAP[[#This Row],[Stok Akhir]]</f>
        <v>230000</v>
      </c>
      <c r="R1329" s="61">
        <f>IF(REKAP[[#This Row],[Stok Aktual]]&lt;&gt;"",REKAP[[#This Row],[Stok Aktual]]-REKAP[[#This Row],[Stok Akhir]],0)</f>
        <v>0</v>
      </c>
      <c r="S1329" s="132"/>
      <c r="T1329" s="137">
        <f>IF(REKAP[[#This Row],[Selisih]]&lt;=-1,REKAP[[#This Row],[Harga Satuan]]*REKAP[[#This Row],[Selisih]],0)</f>
        <v>0</v>
      </c>
    </row>
    <row r="1330" spans="1:20" x14ac:dyDescent="0.25">
      <c r="A1330" s="55" t="s">
        <v>2767</v>
      </c>
      <c r="B1330" s="55" t="s">
        <v>2114</v>
      </c>
      <c r="C1330" s="55" t="s">
        <v>2114</v>
      </c>
      <c r="D1330" s="56" t="s">
        <v>2204</v>
      </c>
      <c r="E1330" s="57"/>
      <c r="F1330" s="75" t="s">
        <v>247</v>
      </c>
      <c r="G1330" s="64" t="s">
        <v>828</v>
      </c>
      <c r="H1330" s="58">
        <v>382000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1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1</v>
      </c>
      <c r="P1330" s="55"/>
      <c r="Q1330" s="62">
        <f>REKAP[[#This Row],[Harga Satuan]]*REKAP[[#This Row],[Stok Akhir]]</f>
        <v>382000</v>
      </c>
      <c r="R1330" s="61">
        <f>IF(REKAP[[#This Row],[Stok Aktual]]&lt;&gt;"",REKAP[[#This Row],[Stok Aktual]]-REKAP[[#This Row],[Stok Akhir]],0)</f>
        <v>0</v>
      </c>
      <c r="S1330" s="132"/>
      <c r="T1330" s="137">
        <f>IF(REKAP[[#This Row],[Selisih]]&lt;=-1,REKAP[[#This Row],[Harga Satuan]]*REKAP[[#This Row],[Selisih]],0)</f>
        <v>0</v>
      </c>
    </row>
    <row r="1331" spans="1:20" x14ac:dyDescent="0.25">
      <c r="A1331" s="55" t="s">
        <v>2768</v>
      </c>
      <c r="B1331" s="55" t="s">
        <v>2114</v>
      </c>
      <c r="C1331" s="55" t="s">
        <v>2114</v>
      </c>
      <c r="D1331" s="56" t="s">
        <v>2205</v>
      </c>
      <c r="E1331" s="57"/>
      <c r="F1331" s="75" t="s">
        <v>247</v>
      </c>
      <c r="G1331" s="64" t="s">
        <v>828</v>
      </c>
      <c r="H1331" s="58">
        <v>502000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1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1</v>
      </c>
      <c r="P1331" s="55"/>
      <c r="Q1331" s="62">
        <f>REKAP[[#This Row],[Harga Satuan]]*REKAP[[#This Row],[Stok Akhir]]</f>
        <v>502000</v>
      </c>
      <c r="R1331" s="61">
        <f>IF(REKAP[[#This Row],[Stok Aktual]]&lt;&gt;"",REKAP[[#This Row],[Stok Aktual]]-REKAP[[#This Row],[Stok Akhir]],0)</f>
        <v>0</v>
      </c>
      <c r="S1331" s="132"/>
      <c r="T1331" s="137">
        <f>IF(REKAP[[#This Row],[Selisih]]&lt;=-1,REKAP[[#This Row],[Harga Satuan]]*REKAP[[#This Row],[Selisih]],0)</f>
        <v>0</v>
      </c>
    </row>
    <row r="1332" spans="1:20" x14ac:dyDescent="0.25">
      <c r="A1332" s="55" t="s">
        <v>2769</v>
      </c>
      <c r="B1332" s="55" t="s">
        <v>2114</v>
      </c>
      <c r="C1332" s="55" t="s">
        <v>2114</v>
      </c>
      <c r="D1332" s="56" t="s">
        <v>2206</v>
      </c>
      <c r="E1332" s="57"/>
      <c r="F1332" s="75" t="s">
        <v>247</v>
      </c>
      <c r="G1332" s="64"/>
      <c r="H1332" s="58">
        <v>335000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1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1</v>
      </c>
      <c r="P1332" s="55"/>
      <c r="Q1332" s="62">
        <f>REKAP[[#This Row],[Harga Satuan]]*REKAP[[#This Row],[Stok Akhir]]</f>
        <v>335000</v>
      </c>
      <c r="R1332" s="61">
        <f>IF(REKAP[[#This Row],[Stok Aktual]]&lt;&gt;"",REKAP[[#This Row],[Stok Aktual]]-REKAP[[#This Row],[Stok Akhir]],0)</f>
        <v>0</v>
      </c>
      <c r="S1332" s="132"/>
      <c r="T1332" s="137">
        <f>IF(REKAP[[#This Row],[Selisih]]&lt;=-1,REKAP[[#This Row],[Harga Satuan]]*REKAP[[#This Row],[Selisih]],0)</f>
        <v>0</v>
      </c>
    </row>
    <row r="1333" spans="1:20" x14ac:dyDescent="0.25">
      <c r="A1333" s="55" t="s">
        <v>2770</v>
      </c>
      <c r="B1333" s="55" t="s">
        <v>2114</v>
      </c>
      <c r="C1333" s="55" t="s">
        <v>2114</v>
      </c>
      <c r="D1333" s="56" t="s">
        <v>2207</v>
      </c>
      <c r="E1333" s="57"/>
      <c r="F1333" s="75" t="s">
        <v>247</v>
      </c>
      <c r="G1333" s="64"/>
      <c r="H1333" s="58">
        <v>345000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345000</v>
      </c>
      <c r="R1333" s="61">
        <f>IF(REKAP[[#This Row],[Stok Aktual]]&lt;&gt;"",REKAP[[#This Row],[Stok Aktual]]-REKAP[[#This Row],[Stok Akhir]],0)</f>
        <v>0</v>
      </c>
      <c r="S1333" s="132"/>
      <c r="T1333" s="137">
        <f>IF(REKAP[[#This Row],[Selisih]]&lt;=-1,REKAP[[#This Row],[Harga Satuan]]*REKAP[[#This Row],[Selisih]],0)</f>
        <v>0</v>
      </c>
    </row>
    <row r="1334" spans="1:20" x14ac:dyDescent="0.25">
      <c r="A1334" s="55" t="s">
        <v>2771</v>
      </c>
      <c r="B1334" s="55" t="s">
        <v>2114</v>
      </c>
      <c r="C1334" s="55" t="s">
        <v>2114</v>
      </c>
      <c r="D1334" s="56" t="s">
        <v>2208</v>
      </c>
      <c r="E1334" s="57"/>
      <c r="F1334" s="75" t="s">
        <v>247</v>
      </c>
      <c r="G1334" s="64" t="s">
        <v>2176</v>
      </c>
      <c r="H1334" s="58">
        <v>442500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2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2</v>
      </c>
      <c r="P1334" s="55"/>
      <c r="Q1334" s="62">
        <f>REKAP[[#This Row],[Harga Satuan]]*REKAP[[#This Row],[Stok Akhir]]</f>
        <v>885000</v>
      </c>
      <c r="R1334" s="61">
        <f>IF(REKAP[[#This Row],[Stok Aktual]]&lt;&gt;"",REKAP[[#This Row],[Stok Aktual]]-REKAP[[#This Row],[Stok Akhir]],0)</f>
        <v>0</v>
      </c>
      <c r="S1334" s="132"/>
      <c r="T1334" s="137">
        <f>IF(REKAP[[#This Row],[Selisih]]&lt;=-1,REKAP[[#This Row],[Harga Satuan]]*REKAP[[#This Row],[Selisih]],0)</f>
        <v>0</v>
      </c>
    </row>
    <row r="1335" spans="1:20" x14ac:dyDescent="0.25">
      <c r="A1335" s="55" t="s">
        <v>2772</v>
      </c>
      <c r="B1335" s="55" t="s">
        <v>2114</v>
      </c>
      <c r="C1335" s="55" t="s">
        <v>2114</v>
      </c>
      <c r="D1335" s="56" t="s">
        <v>2209</v>
      </c>
      <c r="E1335" s="57"/>
      <c r="F1335" s="75" t="s">
        <v>247</v>
      </c>
      <c r="G1335" s="64"/>
      <c r="H1335" s="58">
        <v>421500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1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1</v>
      </c>
      <c r="P1335" s="55"/>
      <c r="Q1335" s="62">
        <f>REKAP[[#This Row],[Harga Satuan]]*REKAP[[#This Row],[Stok Akhir]]</f>
        <v>421500</v>
      </c>
      <c r="R1335" s="61">
        <f>IF(REKAP[[#This Row],[Stok Aktual]]&lt;&gt;"",REKAP[[#This Row],[Stok Aktual]]-REKAP[[#This Row],[Stok Akhir]],0)</f>
        <v>0</v>
      </c>
      <c r="S1335" s="132"/>
      <c r="T1335" s="137">
        <f>IF(REKAP[[#This Row],[Selisih]]&lt;=-1,REKAP[[#This Row],[Harga Satuan]]*REKAP[[#This Row],[Selisih]],0)</f>
        <v>0</v>
      </c>
    </row>
    <row r="1336" spans="1:20" x14ac:dyDescent="0.25">
      <c r="A1336" s="55" t="s">
        <v>2773</v>
      </c>
      <c r="B1336" s="55" t="s">
        <v>3492</v>
      </c>
      <c r="C1336" s="55" t="s">
        <v>3492</v>
      </c>
      <c r="D1336" s="56" t="s">
        <v>2210</v>
      </c>
      <c r="E1336" s="57"/>
      <c r="F1336" s="75" t="s">
        <v>247</v>
      </c>
      <c r="G1336" s="64" t="s">
        <v>2176</v>
      </c>
      <c r="H1336" s="58">
        <v>52000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5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5</v>
      </c>
      <c r="P1336" s="55"/>
      <c r="Q1336" s="62">
        <f>REKAP[[#This Row],[Harga Satuan]]*REKAP[[#This Row],[Stok Akhir]]</f>
        <v>260000</v>
      </c>
      <c r="R1336" s="61">
        <f>IF(REKAP[[#This Row],[Stok Aktual]]&lt;&gt;"",REKAP[[#This Row],[Stok Aktual]]-REKAP[[#This Row],[Stok Akhir]],0)</f>
        <v>0</v>
      </c>
      <c r="S1336" s="132"/>
      <c r="T1336" s="137">
        <f>IF(REKAP[[#This Row],[Selisih]]&lt;=-1,REKAP[[#This Row],[Harga Satuan]]*REKAP[[#This Row],[Selisih]],0)</f>
        <v>0</v>
      </c>
    </row>
    <row r="1337" spans="1:20" x14ac:dyDescent="0.25">
      <c r="A1337" s="55" t="s">
        <v>2774</v>
      </c>
      <c r="B1337" s="55" t="s">
        <v>3492</v>
      </c>
      <c r="C1337" s="55" t="s">
        <v>3492</v>
      </c>
      <c r="D1337" s="56" t="s">
        <v>2211</v>
      </c>
      <c r="E1337" s="57"/>
      <c r="F1337" s="75" t="s">
        <v>247</v>
      </c>
      <c r="G1337" s="64"/>
      <c r="H1337" s="58">
        <v>38000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1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1</v>
      </c>
      <c r="P1337" s="55"/>
      <c r="Q1337" s="62">
        <f>REKAP[[#This Row],[Harga Satuan]]*REKAP[[#This Row],[Stok Akhir]]</f>
        <v>38000</v>
      </c>
      <c r="R1337" s="61">
        <f>IF(REKAP[[#This Row],[Stok Aktual]]&lt;&gt;"",REKAP[[#This Row],[Stok Aktual]]-REKAP[[#This Row],[Stok Akhir]],0)</f>
        <v>0</v>
      </c>
      <c r="S1337" s="132"/>
      <c r="T1337" s="137">
        <f>IF(REKAP[[#This Row],[Selisih]]&lt;=-1,REKAP[[#This Row],[Harga Satuan]]*REKAP[[#This Row],[Selisih]],0)</f>
        <v>0</v>
      </c>
    </row>
    <row r="1338" spans="1:20" x14ac:dyDescent="0.25">
      <c r="A1338" s="55" t="s">
        <v>2775</v>
      </c>
      <c r="B1338" s="55" t="s">
        <v>3492</v>
      </c>
      <c r="C1338" s="55" t="s">
        <v>3492</v>
      </c>
      <c r="D1338" s="56" t="s">
        <v>2212</v>
      </c>
      <c r="E1338" s="57"/>
      <c r="F1338" s="75" t="s">
        <v>247</v>
      </c>
      <c r="G1338" s="64"/>
      <c r="H1338" s="58">
        <v>115000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1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1</v>
      </c>
      <c r="P1338" s="55"/>
      <c r="Q1338" s="62">
        <f>REKAP[[#This Row],[Harga Satuan]]*REKAP[[#This Row],[Stok Akhir]]</f>
        <v>115000</v>
      </c>
      <c r="R1338" s="61">
        <f>IF(REKAP[[#This Row],[Stok Aktual]]&lt;&gt;"",REKAP[[#This Row],[Stok Aktual]]-REKAP[[#This Row],[Stok Akhir]],0)</f>
        <v>0</v>
      </c>
      <c r="S1338" s="132"/>
      <c r="T1338" s="137">
        <f>IF(REKAP[[#This Row],[Selisih]]&lt;=-1,REKAP[[#This Row],[Harga Satuan]]*REKAP[[#This Row],[Selisih]],0)</f>
        <v>0</v>
      </c>
    </row>
    <row r="1339" spans="1:20" x14ac:dyDescent="0.25">
      <c r="A1339" s="55" t="s">
        <v>2776</v>
      </c>
      <c r="B1339" s="55" t="s">
        <v>3492</v>
      </c>
      <c r="C1339" s="55" t="s">
        <v>3492</v>
      </c>
      <c r="D1339" s="56" t="s">
        <v>2213</v>
      </c>
      <c r="E1339" s="57"/>
      <c r="F1339" s="75" t="s">
        <v>247</v>
      </c>
      <c r="G1339" s="64"/>
      <c r="H1339" s="58">
        <v>1500000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1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1</v>
      </c>
      <c r="P1339" s="55"/>
      <c r="Q1339" s="62">
        <f>REKAP[[#This Row],[Harga Satuan]]*REKAP[[#This Row],[Stok Akhir]]</f>
        <v>1500000</v>
      </c>
      <c r="R1339" s="61">
        <f>IF(REKAP[[#This Row],[Stok Aktual]]&lt;&gt;"",REKAP[[#This Row],[Stok Aktual]]-REKAP[[#This Row],[Stok Akhir]],0)</f>
        <v>0</v>
      </c>
      <c r="S1339" s="132"/>
      <c r="T1339" s="137">
        <f>IF(REKAP[[#This Row],[Selisih]]&lt;=-1,REKAP[[#This Row],[Harga Satuan]]*REKAP[[#This Row],[Selisih]],0)</f>
        <v>0</v>
      </c>
    </row>
    <row r="1340" spans="1:20" x14ac:dyDescent="0.25">
      <c r="A1340" s="55" t="s">
        <v>2777</v>
      </c>
      <c r="B1340" s="55" t="s">
        <v>2214</v>
      </c>
      <c r="C1340" s="55" t="s">
        <v>2214</v>
      </c>
      <c r="D1340" s="56" t="s">
        <v>2215</v>
      </c>
      <c r="E1340" s="57"/>
      <c r="F1340" s="75" t="s">
        <v>247</v>
      </c>
      <c r="G1340" s="64"/>
      <c r="H1340" s="58">
        <v>45500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2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2</v>
      </c>
      <c r="P1340" s="55"/>
      <c r="Q1340" s="62">
        <f>REKAP[[#This Row],[Harga Satuan]]*REKAP[[#This Row],[Stok Akhir]]</f>
        <v>91000</v>
      </c>
      <c r="R1340" s="61">
        <f>IF(REKAP[[#This Row],[Stok Aktual]]&lt;&gt;"",REKAP[[#This Row],[Stok Aktual]]-REKAP[[#This Row],[Stok Akhir]],0)</f>
        <v>0</v>
      </c>
      <c r="S1340" s="132"/>
      <c r="T1340" s="137">
        <f>IF(REKAP[[#This Row],[Selisih]]&lt;=-1,REKAP[[#This Row],[Harga Satuan]]*REKAP[[#This Row],[Selisih]],0)</f>
        <v>0</v>
      </c>
    </row>
    <row r="1341" spans="1:20" x14ac:dyDescent="0.25">
      <c r="A1341" s="55" t="s">
        <v>2778</v>
      </c>
      <c r="B1341" s="55" t="s">
        <v>2214</v>
      </c>
      <c r="C1341" s="55" t="s">
        <v>2214</v>
      </c>
      <c r="D1341" s="56" t="s">
        <v>2216</v>
      </c>
      <c r="E1341" s="57"/>
      <c r="F1341" s="75" t="s">
        <v>247</v>
      </c>
      <c r="G1341" s="64"/>
      <c r="H1341" s="58">
        <v>32500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15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15</v>
      </c>
      <c r="P1341" s="55"/>
      <c r="Q1341" s="62">
        <f>REKAP[[#This Row],[Harga Satuan]]*REKAP[[#This Row],[Stok Akhir]]</f>
        <v>487500</v>
      </c>
      <c r="R1341" s="61">
        <f>IF(REKAP[[#This Row],[Stok Aktual]]&lt;&gt;"",REKAP[[#This Row],[Stok Aktual]]-REKAP[[#This Row],[Stok Akhir]],0)</f>
        <v>0</v>
      </c>
      <c r="S1341" s="132"/>
      <c r="T1341" s="137">
        <f>IF(REKAP[[#This Row],[Selisih]]&lt;=-1,REKAP[[#This Row],[Harga Satuan]]*REKAP[[#This Row],[Selisih]],0)</f>
        <v>0</v>
      </c>
    </row>
    <row r="1342" spans="1:20" x14ac:dyDescent="0.25">
      <c r="A1342" s="55" t="s">
        <v>2779</v>
      </c>
      <c r="B1342" s="55" t="s">
        <v>3535</v>
      </c>
      <c r="C1342" s="55" t="s">
        <v>3535</v>
      </c>
      <c r="D1342" s="56" t="s">
        <v>2217</v>
      </c>
      <c r="E1342" s="57"/>
      <c r="F1342" s="75" t="s">
        <v>247</v>
      </c>
      <c r="G1342" s="64" t="s">
        <v>2111</v>
      </c>
      <c r="H1342" s="58">
        <v>2290000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1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1</v>
      </c>
      <c r="P1342" s="55"/>
      <c r="Q1342" s="62">
        <f>REKAP[[#This Row],[Harga Satuan]]*REKAP[[#This Row],[Stok Akhir]]</f>
        <v>2290000</v>
      </c>
      <c r="R1342" s="61">
        <f>IF(REKAP[[#This Row],[Stok Aktual]]&lt;&gt;"",REKAP[[#This Row],[Stok Aktual]]-REKAP[[#This Row],[Stok Akhir]],0)</f>
        <v>0</v>
      </c>
      <c r="S1342" s="132"/>
      <c r="T1342" s="137">
        <f>IF(REKAP[[#This Row],[Selisih]]&lt;=-1,REKAP[[#This Row],[Harga Satuan]]*REKAP[[#This Row],[Selisih]],0)</f>
        <v>0</v>
      </c>
    </row>
    <row r="1343" spans="1:20" x14ac:dyDescent="0.25">
      <c r="A1343" s="55" t="s">
        <v>2780</v>
      </c>
      <c r="B1343" s="55" t="s">
        <v>3534</v>
      </c>
      <c r="C1343" s="55" t="s">
        <v>3534</v>
      </c>
      <c r="D1343" s="56" t="s">
        <v>1453</v>
      </c>
      <c r="E1343" s="57"/>
      <c r="F1343" s="75" t="s">
        <v>247</v>
      </c>
      <c r="G1343" s="64" t="s">
        <v>1998</v>
      </c>
      <c r="H1343" s="58">
        <v>1283000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1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1</v>
      </c>
      <c r="P1343" s="55"/>
      <c r="Q1343" s="62">
        <f>REKAP[[#This Row],[Harga Satuan]]*REKAP[[#This Row],[Stok Akhir]]</f>
        <v>1283000</v>
      </c>
      <c r="R1343" s="61">
        <f>IF(REKAP[[#This Row],[Stok Aktual]]&lt;&gt;"",REKAP[[#This Row],[Stok Aktual]]-REKAP[[#This Row],[Stok Akhir]],0)</f>
        <v>0</v>
      </c>
      <c r="S1343" s="132"/>
      <c r="T1343" s="137">
        <f>IF(REKAP[[#This Row],[Selisih]]&lt;=-1,REKAP[[#This Row],[Harga Satuan]]*REKAP[[#This Row],[Selisih]],0)</f>
        <v>0</v>
      </c>
    </row>
    <row r="1344" spans="1:20" x14ac:dyDescent="0.25">
      <c r="A1344" s="55" t="s">
        <v>2781</v>
      </c>
      <c r="B1344" s="55" t="s">
        <v>3494</v>
      </c>
      <c r="C1344" s="55" t="s">
        <v>3494</v>
      </c>
      <c r="D1344" s="56" t="s">
        <v>1453</v>
      </c>
      <c r="E1344" s="57"/>
      <c r="F1344" s="75" t="s">
        <v>247</v>
      </c>
      <c r="G1344" s="64" t="s">
        <v>832</v>
      </c>
      <c r="H1344" s="58">
        <v>55520000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0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>
        <f>IF(REKAP[[#This Row],[Stok Aktual]]&lt;&gt;"",REKAP[[#This Row],[Stok Aktual]]-REKAP[[#This Row],[Stok Akhir]],0)</f>
        <v>0</v>
      </c>
      <c r="S1344" s="132"/>
      <c r="T1344" s="137">
        <f>IF(REKAP[[#This Row],[Selisih]]&lt;=-1,REKAP[[#This Row],[Harga Satuan]]*REKAP[[#This Row],[Selisih]],0)</f>
        <v>0</v>
      </c>
    </row>
    <row r="1345" spans="1:20" x14ac:dyDescent="0.25">
      <c r="A1345" s="55" t="s">
        <v>2782</v>
      </c>
      <c r="B1345" s="55" t="s">
        <v>3496</v>
      </c>
      <c r="C1345" s="55" t="s">
        <v>3496</v>
      </c>
      <c r="D1345" s="56" t="s">
        <v>1453</v>
      </c>
      <c r="E1345" s="57"/>
      <c r="F1345" s="75" t="s">
        <v>247</v>
      </c>
      <c r="G1345" s="64" t="s">
        <v>832</v>
      </c>
      <c r="H1345" s="58">
        <v>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0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>
        <f>IF(REKAP[[#This Row],[Stok Aktual]]&lt;&gt;"",REKAP[[#This Row],[Stok Aktual]]-REKAP[[#This Row],[Stok Akhir]],0)</f>
        <v>0</v>
      </c>
      <c r="S1345" s="132"/>
      <c r="T1345" s="137">
        <f>IF(REKAP[[#This Row],[Selisih]]&lt;=-1,REKAP[[#This Row],[Harga Satuan]]*REKAP[[#This Row],[Selisih]],0)</f>
        <v>0</v>
      </c>
    </row>
    <row r="1346" spans="1:20" x14ac:dyDescent="0.25">
      <c r="A1346" s="55" t="s">
        <v>2783</v>
      </c>
      <c r="B1346" s="55" t="s">
        <v>3497</v>
      </c>
      <c r="C1346" s="55" t="s">
        <v>3497</v>
      </c>
      <c r="D1346" s="56" t="s">
        <v>2218</v>
      </c>
      <c r="E1346" s="57"/>
      <c r="F1346" s="75" t="s">
        <v>247</v>
      </c>
      <c r="G1346" s="64"/>
      <c r="H1346" s="58">
        <v>280250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1</v>
      </c>
      <c r="L1346" s="55">
        <v>2</v>
      </c>
      <c r="M1346" s="74">
        <f>SUMIF(MASUK!$C:$C,REKAP[[#This Row],[ID]],MASUK!$H:$H)</f>
        <v>0</v>
      </c>
      <c r="N1346" s="74">
        <f>SUMIF(KELUAR!$C:$C,REKAP[[#This Row],[ID]],KELUAR!$H:$H)</f>
        <v>2</v>
      </c>
      <c r="O1346" s="74">
        <f>REKAP[[#This Row],[Stok Awal]]+REKAP[[#This Row],[Masuk]]-REKAP[[#This Row],[Keluar]]</f>
        <v>0</v>
      </c>
      <c r="P1346" s="55">
        <v>0</v>
      </c>
      <c r="Q1346" s="62">
        <f>REKAP[[#This Row],[Harga Satuan]]*REKAP[[#This Row],[Stok Akhir]]</f>
        <v>0</v>
      </c>
      <c r="R1346" s="61">
        <f>IF(REKAP[[#This Row],[Stok Aktual]]&lt;&gt;"",REKAP[[#This Row],[Stok Aktual]]-REKAP[[#This Row],[Stok Akhir]],0)</f>
        <v>0</v>
      </c>
      <c r="S1346" s="132"/>
      <c r="T1346" s="137">
        <f>IF(REKAP[[#This Row],[Selisih]]&lt;=-1,REKAP[[#This Row],[Harga Satuan]]*REKAP[[#This Row],[Selisih]],0)</f>
        <v>0</v>
      </c>
    </row>
    <row r="1347" spans="1:20" x14ac:dyDescent="0.25">
      <c r="A1347" s="55" t="s">
        <v>2784</v>
      </c>
      <c r="B1347" s="55" t="s">
        <v>3498</v>
      </c>
      <c r="C1347" s="55" t="s">
        <v>3498</v>
      </c>
      <c r="D1347" s="56" t="s">
        <v>2219</v>
      </c>
      <c r="E1347" s="57"/>
      <c r="F1347" s="75" t="s">
        <v>247</v>
      </c>
      <c r="G1347" s="64"/>
      <c r="H1347" s="58">
        <v>429400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0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0</v>
      </c>
      <c r="P1347" s="55"/>
      <c r="Q1347" s="62">
        <f>REKAP[[#This Row],[Harga Satuan]]*REKAP[[#This Row],[Stok Akhir]]</f>
        <v>0</v>
      </c>
      <c r="R1347" s="61">
        <f>IF(REKAP[[#This Row],[Stok Aktual]]&lt;&gt;"",REKAP[[#This Row],[Stok Aktual]]-REKAP[[#This Row],[Stok Akhir]],0)</f>
        <v>0</v>
      </c>
      <c r="S1347" s="132"/>
      <c r="T1347" s="137">
        <f>IF(REKAP[[#This Row],[Selisih]]&lt;=-1,REKAP[[#This Row],[Harga Satuan]]*REKAP[[#This Row],[Selisih]],0)</f>
        <v>0</v>
      </c>
    </row>
    <row r="1348" spans="1:20" x14ac:dyDescent="0.25">
      <c r="A1348" s="55" t="s">
        <v>2785</v>
      </c>
      <c r="B1348" s="55" t="s">
        <v>3533</v>
      </c>
      <c r="C1348" s="55" t="s">
        <v>3533</v>
      </c>
      <c r="D1348" s="56" t="s">
        <v>2220</v>
      </c>
      <c r="E1348" s="57"/>
      <c r="F1348" s="75" t="s">
        <v>247</v>
      </c>
      <c r="G1348" s="64"/>
      <c r="H1348" s="58">
        <v>180000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1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1</v>
      </c>
      <c r="P1348" s="55"/>
      <c r="Q1348" s="62">
        <f>REKAP[[#This Row],[Harga Satuan]]*REKAP[[#This Row],[Stok Akhir]]</f>
        <v>180000</v>
      </c>
      <c r="R1348" s="61">
        <f>IF(REKAP[[#This Row],[Stok Aktual]]&lt;&gt;"",REKAP[[#This Row],[Stok Aktual]]-REKAP[[#This Row],[Stok Akhir]],0)</f>
        <v>0</v>
      </c>
      <c r="S1348" s="132"/>
      <c r="T1348" s="137">
        <f>IF(REKAP[[#This Row],[Selisih]]&lt;=-1,REKAP[[#This Row],[Harga Satuan]]*REKAP[[#This Row],[Selisih]],0)</f>
        <v>0</v>
      </c>
    </row>
    <row r="1349" spans="1:20" x14ac:dyDescent="0.25">
      <c r="A1349" s="55" t="s">
        <v>2786</v>
      </c>
      <c r="B1349" s="55" t="s">
        <v>3525</v>
      </c>
      <c r="C1349" s="55" t="s">
        <v>3525</v>
      </c>
      <c r="D1349" s="56" t="s">
        <v>2221</v>
      </c>
      <c r="E1349" s="57"/>
      <c r="F1349" s="75" t="s">
        <v>247</v>
      </c>
      <c r="G1349" s="64" t="s">
        <v>2222</v>
      </c>
      <c r="H1349" s="58">
        <v>752000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>
        <f>IF(REKAP[[#This Row],[Stok Aktual]]&lt;&gt;"",REKAP[[#This Row],[Stok Aktual]]-REKAP[[#This Row],[Stok Akhir]],0)</f>
        <v>0</v>
      </c>
      <c r="S1349" s="132"/>
      <c r="T1349" s="137">
        <f>IF(REKAP[[#This Row],[Selisih]]&lt;=-1,REKAP[[#This Row],[Harga Satuan]]*REKAP[[#This Row],[Selisih]],0)</f>
        <v>0</v>
      </c>
    </row>
    <row r="1350" spans="1:20" x14ac:dyDescent="0.25">
      <c r="A1350" s="55" t="s">
        <v>2787</v>
      </c>
      <c r="B1350" s="55" t="s">
        <v>3525</v>
      </c>
      <c r="C1350" s="55" t="s">
        <v>3525</v>
      </c>
      <c r="D1350" s="56" t="s">
        <v>2223</v>
      </c>
      <c r="E1350" s="57"/>
      <c r="F1350" s="75" t="s">
        <v>247</v>
      </c>
      <c r="G1350" s="64" t="s">
        <v>2222</v>
      </c>
      <c r="H1350" s="58">
        <v>1127000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1127000</v>
      </c>
      <c r="R1350" s="61">
        <f>IF(REKAP[[#This Row],[Stok Aktual]]&lt;&gt;"",REKAP[[#This Row],[Stok Aktual]]-REKAP[[#This Row],[Stok Akhir]],0)</f>
        <v>0</v>
      </c>
      <c r="S1350" s="132"/>
      <c r="T1350" s="137">
        <f>IF(REKAP[[#This Row],[Selisih]]&lt;=-1,REKAP[[#This Row],[Harga Satuan]]*REKAP[[#This Row],[Selisih]],0)</f>
        <v>0</v>
      </c>
    </row>
    <row r="1351" spans="1:20" x14ac:dyDescent="0.25">
      <c r="A1351" s="55" t="s">
        <v>2788</v>
      </c>
      <c r="B1351" s="55" t="s">
        <v>3525</v>
      </c>
      <c r="C1351" s="55" t="s">
        <v>3525</v>
      </c>
      <c r="D1351" s="56" t="s">
        <v>2224</v>
      </c>
      <c r="E1351" s="57"/>
      <c r="F1351" s="75" t="s">
        <v>247</v>
      </c>
      <c r="G1351" s="64" t="s">
        <v>2222</v>
      </c>
      <c r="H1351" s="58">
        <v>1935000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>
        <f>IF(REKAP[[#This Row],[Stok Aktual]]&lt;&gt;"",REKAP[[#This Row],[Stok Aktual]]-REKAP[[#This Row],[Stok Akhir]],0)</f>
        <v>0</v>
      </c>
      <c r="S1351" s="132"/>
      <c r="T1351" s="137">
        <f>IF(REKAP[[#This Row],[Selisih]]&lt;=-1,REKAP[[#This Row],[Harga Satuan]]*REKAP[[#This Row],[Selisih]],0)</f>
        <v>0</v>
      </c>
    </row>
    <row r="1352" spans="1:20" x14ac:dyDescent="0.25">
      <c r="A1352" s="55" t="s">
        <v>2789</v>
      </c>
      <c r="B1352" s="55" t="s">
        <v>3525</v>
      </c>
      <c r="C1352" s="55" t="s">
        <v>3525</v>
      </c>
      <c r="D1352" s="56" t="s">
        <v>2225</v>
      </c>
      <c r="E1352" s="57"/>
      <c r="F1352" s="75" t="s">
        <v>247</v>
      </c>
      <c r="G1352" s="64" t="s">
        <v>2222</v>
      </c>
      <c r="H1352" s="58">
        <v>340000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0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0</v>
      </c>
      <c r="P1352" s="55"/>
      <c r="Q1352" s="62">
        <f>REKAP[[#This Row],[Harga Satuan]]*REKAP[[#This Row],[Stok Akhir]]</f>
        <v>0</v>
      </c>
      <c r="R1352" s="61">
        <f>IF(REKAP[[#This Row],[Stok Aktual]]&lt;&gt;"",REKAP[[#This Row],[Stok Aktual]]-REKAP[[#This Row],[Stok Akhir]],0)</f>
        <v>0</v>
      </c>
      <c r="S1352" s="132"/>
      <c r="T1352" s="137">
        <f>IF(REKAP[[#This Row],[Selisih]]&lt;=-1,REKAP[[#This Row],[Harga Satuan]]*REKAP[[#This Row],[Selisih]],0)</f>
        <v>0</v>
      </c>
    </row>
    <row r="1353" spans="1:20" x14ac:dyDescent="0.25">
      <c r="A1353" s="55" t="s">
        <v>2790</v>
      </c>
      <c r="B1353" s="55" t="s">
        <v>3525</v>
      </c>
      <c r="C1353" s="55" t="s">
        <v>3525</v>
      </c>
      <c r="D1353" s="56" t="s">
        <v>2226</v>
      </c>
      <c r="E1353" s="57"/>
      <c r="F1353" s="75" t="s">
        <v>247</v>
      </c>
      <c r="G1353" s="64" t="s">
        <v>2222</v>
      </c>
      <c r="H1353" s="58">
        <v>340000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>
        <f>IF(REKAP[[#This Row],[Stok Aktual]]&lt;&gt;"",REKAP[[#This Row],[Stok Aktual]]-REKAP[[#This Row],[Stok Akhir]],0)</f>
        <v>0</v>
      </c>
      <c r="S1353" s="132"/>
      <c r="T1353" s="137">
        <f>IF(REKAP[[#This Row],[Selisih]]&lt;=-1,REKAP[[#This Row],[Harga Satuan]]*REKAP[[#This Row],[Selisih]],0)</f>
        <v>0</v>
      </c>
    </row>
    <row r="1354" spans="1:20" x14ac:dyDescent="0.25">
      <c r="A1354" s="55" t="s">
        <v>2791</v>
      </c>
      <c r="B1354" s="55" t="s">
        <v>3525</v>
      </c>
      <c r="C1354" s="55" t="s">
        <v>3525</v>
      </c>
      <c r="D1354" s="56" t="s">
        <v>2227</v>
      </c>
      <c r="E1354" s="57"/>
      <c r="F1354" s="75" t="s">
        <v>247</v>
      </c>
      <c r="G1354" s="64" t="s">
        <v>2222</v>
      </c>
      <c r="H1354" s="58">
        <v>400000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2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2</v>
      </c>
      <c r="P1354" s="55"/>
      <c r="Q1354" s="62">
        <f>REKAP[[#This Row],[Harga Satuan]]*REKAP[[#This Row],[Stok Akhir]]</f>
        <v>800000</v>
      </c>
      <c r="R1354" s="61">
        <f>IF(REKAP[[#This Row],[Stok Aktual]]&lt;&gt;"",REKAP[[#This Row],[Stok Aktual]]-REKAP[[#This Row],[Stok Akhir]],0)</f>
        <v>0</v>
      </c>
      <c r="S1354" s="132"/>
      <c r="T1354" s="137">
        <f>IF(REKAP[[#This Row],[Selisih]]&lt;=-1,REKAP[[#This Row],[Harga Satuan]]*REKAP[[#This Row],[Selisih]],0)</f>
        <v>0</v>
      </c>
    </row>
    <row r="1355" spans="1:20" x14ac:dyDescent="0.25">
      <c r="A1355" s="55" t="s">
        <v>2792</v>
      </c>
      <c r="B1355" s="55" t="s">
        <v>3526</v>
      </c>
      <c r="C1355" s="55" t="s">
        <v>3526</v>
      </c>
      <c r="D1355" s="56" t="s">
        <v>2228</v>
      </c>
      <c r="E1355" s="57"/>
      <c r="F1355" s="75" t="s">
        <v>247</v>
      </c>
      <c r="G1355" s="64"/>
      <c r="H1355" s="58">
        <v>560000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2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2</v>
      </c>
      <c r="P1355" s="55"/>
      <c r="Q1355" s="62">
        <f>REKAP[[#This Row],[Harga Satuan]]*REKAP[[#This Row],[Stok Akhir]]</f>
        <v>1120000</v>
      </c>
      <c r="R1355" s="61">
        <f>IF(REKAP[[#This Row],[Stok Aktual]]&lt;&gt;"",REKAP[[#This Row],[Stok Aktual]]-REKAP[[#This Row],[Stok Akhir]],0)</f>
        <v>0</v>
      </c>
      <c r="S1355" s="132"/>
      <c r="T1355" s="137">
        <f>IF(REKAP[[#This Row],[Selisih]]&lt;=-1,REKAP[[#This Row],[Harga Satuan]]*REKAP[[#This Row],[Selisih]],0)</f>
        <v>0</v>
      </c>
    </row>
    <row r="1356" spans="1:20" x14ac:dyDescent="0.25">
      <c r="A1356" s="55" t="s">
        <v>2793</v>
      </c>
      <c r="B1356" s="55" t="s">
        <v>3528</v>
      </c>
      <c r="C1356" s="55" t="s">
        <v>3528</v>
      </c>
      <c r="D1356" s="56" t="s">
        <v>3589</v>
      </c>
      <c r="E1356" s="57"/>
      <c r="F1356" s="75" t="s">
        <v>247</v>
      </c>
      <c r="G1356" s="64"/>
      <c r="H1356" s="58">
        <v>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1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1</v>
      </c>
      <c r="P1356" s="55"/>
      <c r="Q1356" s="62">
        <f>REKAP[[#This Row],[Harga Satuan]]*REKAP[[#This Row],[Stok Akhir]]</f>
        <v>0</v>
      </c>
      <c r="R1356" s="61">
        <f>IF(REKAP[[#This Row],[Stok Aktual]]&lt;&gt;"",REKAP[[#This Row],[Stok Aktual]]-REKAP[[#This Row],[Stok Akhir]],0)</f>
        <v>0</v>
      </c>
      <c r="S1356" s="132"/>
      <c r="T1356" s="137">
        <f>IF(REKAP[[#This Row],[Selisih]]&lt;=-1,REKAP[[#This Row],[Harga Satuan]]*REKAP[[#This Row],[Selisih]],0)</f>
        <v>0</v>
      </c>
    </row>
    <row r="1357" spans="1:20" x14ac:dyDescent="0.25">
      <c r="A1357" s="55" t="s">
        <v>2794</v>
      </c>
      <c r="B1357" s="55" t="s">
        <v>3529</v>
      </c>
      <c r="C1357" s="55" t="s">
        <v>3529</v>
      </c>
      <c r="D1357" s="56" t="s">
        <v>2229</v>
      </c>
      <c r="E1357" s="57"/>
      <c r="F1357" s="75" t="s">
        <v>247</v>
      </c>
      <c r="G1357" s="64" t="s">
        <v>2029</v>
      </c>
      <c r="H1357" s="58">
        <v>1618000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3236000</v>
      </c>
      <c r="R1357" s="61">
        <f>IF(REKAP[[#This Row],[Stok Aktual]]&lt;&gt;"",REKAP[[#This Row],[Stok Aktual]]-REKAP[[#This Row],[Stok Akhir]],0)</f>
        <v>0</v>
      </c>
      <c r="S1357" s="132"/>
      <c r="T1357" s="137">
        <f>IF(REKAP[[#This Row],[Selisih]]&lt;=-1,REKAP[[#This Row],[Harga Satuan]]*REKAP[[#This Row],[Selisih]],0)</f>
        <v>0</v>
      </c>
    </row>
    <row r="1358" spans="1:20" x14ac:dyDescent="0.25">
      <c r="A1358" s="55" t="s">
        <v>2795</v>
      </c>
      <c r="B1358" s="55" t="s">
        <v>3529</v>
      </c>
      <c r="C1358" s="55" t="s">
        <v>3529</v>
      </c>
      <c r="D1358" s="56" t="s">
        <v>2230</v>
      </c>
      <c r="E1358" s="57"/>
      <c r="F1358" s="75" t="s">
        <v>247</v>
      </c>
      <c r="G1358" s="64" t="s">
        <v>2029</v>
      </c>
      <c r="H1358" s="58">
        <v>1933000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3866000</v>
      </c>
      <c r="R1358" s="61">
        <f>IF(REKAP[[#This Row],[Stok Aktual]]&lt;&gt;"",REKAP[[#This Row],[Stok Aktual]]-REKAP[[#This Row],[Stok Akhir]],0)</f>
        <v>0</v>
      </c>
      <c r="S1358" s="132"/>
      <c r="T1358" s="137">
        <f>IF(REKAP[[#This Row],[Selisih]]&lt;=-1,REKAP[[#This Row],[Harga Satuan]]*REKAP[[#This Row],[Selisih]],0)</f>
        <v>0</v>
      </c>
    </row>
    <row r="1359" spans="1:20" x14ac:dyDescent="0.25">
      <c r="A1359" s="55" t="s">
        <v>2796</v>
      </c>
      <c r="B1359" s="55" t="s">
        <v>3537</v>
      </c>
      <c r="C1359" s="55" t="s">
        <v>3537</v>
      </c>
      <c r="D1359" s="56" t="s">
        <v>2231</v>
      </c>
      <c r="E1359" s="57"/>
      <c r="F1359" s="75" t="s">
        <v>247</v>
      </c>
      <c r="G1359" s="64"/>
      <c r="H1359" s="58">
        <v>150000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0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>
        <f>IF(REKAP[[#This Row],[Stok Aktual]]&lt;&gt;"",REKAP[[#This Row],[Stok Aktual]]-REKAP[[#This Row],[Stok Akhir]],0)</f>
        <v>0</v>
      </c>
      <c r="S1359" s="132"/>
      <c r="T1359" s="137">
        <f>IF(REKAP[[#This Row],[Selisih]]&lt;=-1,REKAP[[#This Row],[Harga Satuan]]*REKAP[[#This Row],[Selisih]],0)</f>
        <v>0</v>
      </c>
    </row>
    <row r="1360" spans="1:20" x14ac:dyDescent="0.25">
      <c r="A1360" s="55" t="s">
        <v>2797</v>
      </c>
      <c r="B1360" s="55" t="s">
        <v>3531</v>
      </c>
      <c r="C1360" s="55" t="s">
        <v>3531</v>
      </c>
      <c r="D1360" s="56" t="s">
        <v>2232</v>
      </c>
      <c r="E1360" s="57"/>
      <c r="F1360" s="75" t="s">
        <v>247</v>
      </c>
      <c r="G1360" s="64"/>
      <c r="H1360" s="58">
        <v>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0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0</v>
      </c>
      <c r="P1360" s="55"/>
      <c r="Q1360" s="62">
        <f>REKAP[[#This Row],[Harga Satuan]]*REKAP[[#This Row],[Stok Akhir]]</f>
        <v>0</v>
      </c>
      <c r="R1360" s="61">
        <f>IF(REKAP[[#This Row],[Stok Aktual]]&lt;&gt;"",REKAP[[#This Row],[Stok Aktual]]-REKAP[[#This Row],[Stok Akhir]],0)</f>
        <v>0</v>
      </c>
      <c r="S1360" s="132"/>
      <c r="T1360" s="137">
        <f>IF(REKAP[[#This Row],[Selisih]]&lt;=-1,REKAP[[#This Row],[Harga Satuan]]*REKAP[[#This Row],[Selisih]],0)</f>
        <v>0</v>
      </c>
    </row>
    <row r="1361" spans="1:20" x14ac:dyDescent="0.25">
      <c r="A1361" s="55" t="s">
        <v>2798</v>
      </c>
      <c r="B1361" s="55" t="s">
        <v>3499</v>
      </c>
      <c r="C1361" s="55" t="s">
        <v>3499</v>
      </c>
      <c r="D1361" s="56" t="s">
        <v>2233</v>
      </c>
      <c r="E1361" s="57"/>
      <c r="F1361" s="75" t="s">
        <v>247</v>
      </c>
      <c r="G1361" s="64" t="s">
        <v>2029</v>
      </c>
      <c r="H1361" s="58">
        <v>1366000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1366000</v>
      </c>
      <c r="R1361" s="61">
        <f>IF(REKAP[[#This Row],[Stok Aktual]]&lt;&gt;"",REKAP[[#This Row],[Stok Aktual]]-REKAP[[#This Row],[Stok Akhir]],0)</f>
        <v>0</v>
      </c>
      <c r="S1361" s="132"/>
      <c r="T1361" s="137">
        <f>IF(REKAP[[#This Row],[Selisih]]&lt;=-1,REKAP[[#This Row],[Harga Satuan]]*REKAP[[#This Row],[Selisih]],0)</f>
        <v>0</v>
      </c>
    </row>
    <row r="1362" spans="1:20" x14ac:dyDescent="0.25">
      <c r="A1362" s="55" t="s">
        <v>2799</v>
      </c>
      <c r="B1362" s="55" t="s">
        <v>3499</v>
      </c>
      <c r="C1362" s="55" t="s">
        <v>3499</v>
      </c>
      <c r="D1362" s="56" t="s">
        <v>2234</v>
      </c>
      <c r="E1362" s="57"/>
      <c r="F1362" s="75" t="s">
        <v>247</v>
      </c>
      <c r="G1362" s="64" t="s">
        <v>2029</v>
      </c>
      <c r="H1362" s="58">
        <v>2138000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2138000</v>
      </c>
      <c r="R1362" s="61">
        <f>IF(REKAP[[#This Row],[Stok Aktual]]&lt;&gt;"",REKAP[[#This Row],[Stok Aktual]]-REKAP[[#This Row],[Stok Akhir]],0)</f>
        <v>0</v>
      </c>
      <c r="S1362" s="132"/>
      <c r="T1362" s="137">
        <f>IF(REKAP[[#This Row],[Selisih]]&lt;=-1,REKAP[[#This Row],[Harga Satuan]]*REKAP[[#This Row],[Selisih]],0)</f>
        <v>0</v>
      </c>
    </row>
    <row r="1363" spans="1:20" x14ac:dyDescent="0.25">
      <c r="A1363" s="55" t="s">
        <v>2800</v>
      </c>
      <c r="B1363" s="55" t="s">
        <v>3499</v>
      </c>
      <c r="C1363" s="55" t="s">
        <v>3499</v>
      </c>
      <c r="D1363" s="56" t="s">
        <v>2235</v>
      </c>
      <c r="E1363" s="57"/>
      <c r="F1363" s="75" t="s">
        <v>247</v>
      </c>
      <c r="G1363" s="64" t="s">
        <v>2029</v>
      </c>
      <c r="H1363" s="58">
        <v>2228000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1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1</v>
      </c>
      <c r="P1363" s="55"/>
      <c r="Q1363" s="62">
        <f>REKAP[[#This Row],[Harga Satuan]]*REKAP[[#This Row],[Stok Akhir]]</f>
        <v>2228000</v>
      </c>
      <c r="R1363" s="61">
        <f>IF(REKAP[[#This Row],[Stok Aktual]]&lt;&gt;"",REKAP[[#This Row],[Stok Aktual]]-REKAP[[#This Row],[Stok Akhir]],0)</f>
        <v>0</v>
      </c>
      <c r="S1363" s="132"/>
      <c r="T1363" s="137">
        <f>IF(REKAP[[#This Row],[Selisih]]&lt;=-1,REKAP[[#This Row],[Harga Satuan]]*REKAP[[#This Row],[Selisih]],0)</f>
        <v>0</v>
      </c>
    </row>
    <row r="1364" spans="1:20" x14ac:dyDescent="0.25">
      <c r="A1364" s="55" t="s">
        <v>2801</v>
      </c>
      <c r="B1364" s="55" t="s">
        <v>3499</v>
      </c>
      <c r="C1364" s="55" t="s">
        <v>3499</v>
      </c>
      <c r="D1364" s="56" t="s">
        <v>2236</v>
      </c>
      <c r="E1364" s="57"/>
      <c r="F1364" s="75" t="s">
        <v>247</v>
      </c>
      <c r="G1364" s="64" t="s">
        <v>2029</v>
      </c>
      <c r="H1364" s="58">
        <v>2382000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1</v>
      </c>
      <c r="P1364" s="55"/>
      <c r="Q1364" s="62">
        <f>REKAP[[#This Row],[Harga Satuan]]*REKAP[[#This Row],[Stok Akhir]]</f>
        <v>2382000</v>
      </c>
      <c r="R1364" s="61">
        <f>IF(REKAP[[#This Row],[Stok Aktual]]&lt;&gt;"",REKAP[[#This Row],[Stok Aktual]]-REKAP[[#This Row],[Stok Akhir]],0)</f>
        <v>0</v>
      </c>
      <c r="S1364" s="132"/>
      <c r="T1364" s="137">
        <f>IF(REKAP[[#This Row],[Selisih]]&lt;=-1,REKAP[[#This Row],[Harga Satuan]]*REKAP[[#This Row],[Selisih]],0)</f>
        <v>0</v>
      </c>
    </row>
    <row r="1365" spans="1:20" x14ac:dyDescent="0.25">
      <c r="A1365" s="55" t="s">
        <v>2802</v>
      </c>
      <c r="B1365" s="55" t="s">
        <v>3538</v>
      </c>
      <c r="C1365" s="55" t="s">
        <v>3538</v>
      </c>
      <c r="D1365" s="56" t="s">
        <v>3734</v>
      </c>
      <c r="E1365" s="57"/>
      <c r="F1365" s="75" t="s">
        <v>247</v>
      </c>
      <c r="G1365" s="64" t="s">
        <v>2029</v>
      </c>
      <c r="H1365" s="58">
        <v>1379000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1</v>
      </c>
      <c r="K1365" s="60">
        <f>REKAP[[#This Row],[Trx In]]+REKAP[[#This Row],[Trx Out]]</f>
        <v>1</v>
      </c>
      <c r="L1365" s="55">
        <v>3</v>
      </c>
      <c r="M1365" s="74">
        <f>SUMIF(MASUK!$C:$C,REKAP[[#This Row],[ID]],MASUK!$H:$H)</f>
        <v>0</v>
      </c>
      <c r="N1365" s="74">
        <f>SUMIF(KELUAR!$C:$C,REKAP[[#This Row],[ID]],KELUAR!$H:$H)</f>
        <v>1</v>
      </c>
      <c r="O1365" s="74">
        <f>REKAP[[#This Row],[Stok Awal]]+REKAP[[#This Row],[Masuk]]-REKAP[[#This Row],[Keluar]]</f>
        <v>2</v>
      </c>
      <c r="P1365" s="55">
        <v>2</v>
      </c>
      <c r="Q1365" s="62">
        <f>REKAP[[#This Row],[Harga Satuan]]*REKAP[[#This Row],[Stok Akhir]]</f>
        <v>2758000</v>
      </c>
      <c r="R1365" s="61">
        <f>IF(REKAP[[#This Row],[Stok Aktual]]&lt;&gt;"",REKAP[[#This Row],[Stok Aktual]]-REKAP[[#This Row],[Stok Akhir]],0)</f>
        <v>0</v>
      </c>
      <c r="S1365" s="132"/>
      <c r="T1365" s="137">
        <f>IF(REKAP[[#This Row],[Selisih]]&lt;=-1,REKAP[[#This Row],[Harga Satuan]]*REKAP[[#This Row],[Selisih]],0)</f>
        <v>0</v>
      </c>
    </row>
    <row r="1366" spans="1:20" x14ac:dyDescent="0.25">
      <c r="A1366" s="55" t="s">
        <v>2803</v>
      </c>
      <c r="B1366" s="55" t="s">
        <v>3539</v>
      </c>
      <c r="C1366" s="55" t="s">
        <v>3539</v>
      </c>
      <c r="D1366" s="56" t="s">
        <v>3735</v>
      </c>
      <c r="E1366" s="57"/>
      <c r="F1366" s="75" t="s">
        <v>247</v>
      </c>
      <c r="G1366" s="64" t="s">
        <v>2029</v>
      </c>
      <c r="H1366" s="58">
        <v>2057000</v>
      </c>
      <c r="I1366" s="59">
        <f>IF(COUNTIF(MASUK[Kode Barang],REKAP[[#This Row],[ID]])=0,0,COUNTIF(MASUK[Kode Barang],REKAP[[#This Row],[ID]]))</f>
        <v>1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1</v>
      </c>
      <c r="L1366" s="55">
        <v>0</v>
      </c>
      <c r="M1366" s="74">
        <f>SUMIF(MASUK!$C:$C,REKAP[[#This Row],[ID]],MASUK!$H:$H)</f>
        <v>2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2</v>
      </c>
      <c r="P1366" s="55">
        <v>2</v>
      </c>
      <c r="Q1366" s="62">
        <f>REKAP[[#This Row],[Harga Satuan]]*REKAP[[#This Row],[Stok Akhir]]</f>
        <v>4114000</v>
      </c>
      <c r="R1366" s="61">
        <f>IF(REKAP[[#This Row],[Stok Aktual]]&lt;&gt;"",REKAP[[#This Row],[Stok Aktual]]-REKAP[[#This Row],[Stok Akhir]],0)</f>
        <v>0</v>
      </c>
      <c r="S1366" s="132"/>
      <c r="T1366" s="137">
        <f>IF(REKAP[[#This Row],[Selisih]]&lt;=-1,REKAP[[#This Row],[Harga Satuan]]*REKAP[[#This Row],[Selisih]],0)</f>
        <v>0</v>
      </c>
    </row>
    <row r="1367" spans="1:20" x14ac:dyDescent="0.25">
      <c r="A1367" s="55" t="s">
        <v>2804</v>
      </c>
      <c r="B1367" s="55" t="s">
        <v>3540</v>
      </c>
      <c r="C1367" s="55" t="s">
        <v>3540</v>
      </c>
      <c r="D1367" s="56" t="s">
        <v>3736</v>
      </c>
      <c r="E1367" s="57"/>
      <c r="F1367" s="75" t="s">
        <v>247</v>
      </c>
      <c r="G1367" s="64" t="s">
        <v>2029</v>
      </c>
      <c r="H1367" s="58">
        <v>2303000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2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2</v>
      </c>
      <c r="P1367" s="55"/>
      <c r="Q1367" s="62">
        <f>REKAP[[#This Row],[Harga Satuan]]*REKAP[[#This Row],[Stok Akhir]]</f>
        <v>4606000</v>
      </c>
      <c r="R1367" s="61">
        <f>IF(REKAP[[#This Row],[Stok Aktual]]&lt;&gt;"",REKAP[[#This Row],[Stok Aktual]]-REKAP[[#This Row],[Stok Akhir]],0)</f>
        <v>0</v>
      </c>
      <c r="S1367" s="132"/>
      <c r="T1367" s="137">
        <f>IF(REKAP[[#This Row],[Selisih]]&lt;=-1,REKAP[[#This Row],[Harga Satuan]]*REKAP[[#This Row],[Selisih]],0)</f>
        <v>0</v>
      </c>
    </row>
    <row r="1368" spans="1:20" x14ac:dyDescent="0.25">
      <c r="A1368" s="55" t="s">
        <v>2805</v>
      </c>
      <c r="B1368" s="55" t="s">
        <v>3500</v>
      </c>
      <c r="C1368" s="55" t="s">
        <v>3500</v>
      </c>
      <c r="D1368" s="56" t="s">
        <v>2237</v>
      </c>
      <c r="E1368" s="57"/>
      <c r="F1368" s="75" t="s">
        <v>247</v>
      </c>
      <c r="G1368" s="64" t="s">
        <v>2029</v>
      </c>
      <c r="H1368" s="58">
        <v>1306000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0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0</v>
      </c>
      <c r="P1368" s="55"/>
      <c r="Q1368" s="62">
        <f>REKAP[[#This Row],[Harga Satuan]]*REKAP[[#This Row],[Stok Akhir]]</f>
        <v>0</v>
      </c>
      <c r="R1368" s="61">
        <f>IF(REKAP[[#This Row],[Stok Aktual]]&lt;&gt;"",REKAP[[#This Row],[Stok Aktual]]-REKAP[[#This Row],[Stok Akhir]],0)</f>
        <v>0</v>
      </c>
      <c r="S1368" s="132"/>
      <c r="T1368" s="137">
        <f>IF(REKAP[[#This Row],[Selisih]]&lt;=-1,REKAP[[#This Row],[Harga Satuan]]*REKAP[[#This Row],[Selisih]],0)</f>
        <v>0</v>
      </c>
    </row>
    <row r="1369" spans="1:20" x14ac:dyDescent="0.25">
      <c r="A1369" s="55" t="s">
        <v>2806</v>
      </c>
      <c r="B1369" s="55" t="s">
        <v>3501</v>
      </c>
      <c r="C1369" s="55" t="s">
        <v>3501</v>
      </c>
      <c r="D1369" s="56" t="s">
        <v>2238</v>
      </c>
      <c r="E1369" s="57"/>
      <c r="F1369" s="75" t="s">
        <v>247</v>
      </c>
      <c r="G1369" s="64" t="s">
        <v>2029</v>
      </c>
      <c r="H1369" s="58">
        <v>1218000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3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3</v>
      </c>
      <c r="P1369" s="55"/>
      <c r="Q1369" s="62">
        <f>REKAP[[#This Row],[Harga Satuan]]*REKAP[[#This Row],[Stok Akhir]]</f>
        <v>3654000</v>
      </c>
      <c r="R1369" s="61">
        <f>IF(REKAP[[#This Row],[Stok Aktual]]&lt;&gt;"",REKAP[[#This Row],[Stok Aktual]]-REKAP[[#This Row],[Stok Akhir]],0)</f>
        <v>0</v>
      </c>
      <c r="S1369" s="132"/>
      <c r="T1369" s="137">
        <f>IF(REKAP[[#This Row],[Selisih]]&lt;=-1,REKAP[[#This Row],[Harga Satuan]]*REKAP[[#This Row],[Selisih]],0)</f>
        <v>0</v>
      </c>
    </row>
    <row r="1370" spans="1:20" x14ac:dyDescent="0.25">
      <c r="A1370" s="55" t="s">
        <v>2807</v>
      </c>
      <c r="B1370" s="55" t="s">
        <v>3502</v>
      </c>
      <c r="C1370" s="55" t="s">
        <v>3502</v>
      </c>
      <c r="D1370" s="56" t="s">
        <v>2239</v>
      </c>
      <c r="E1370" s="57"/>
      <c r="F1370" s="75" t="s">
        <v>247</v>
      </c>
      <c r="G1370" s="64" t="s">
        <v>2029</v>
      </c>
      <c r="H1370" s="58">
        <v>1739000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0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0</v>
      </c>
      <c r="P1370" s="55"/>
      <c r="Q1370" s="62">
        <f>REKAP[[#This Row],[Harga Satuan]]*REKAP[[#This Row],[Stok Akhir]]</f>
        <v>0</v>
      </c>
      <c r="R1370" s="61">
        <f>IF(REKAP[[#This Row],[Stok Aktual]]&lt;&gt;"",REKAP[[#This Row],[Stok Aktual]]-REKAP[[#This Row],[Stok Akhir]],0)</f>
        <v>0</v>
      </c>
      <c r="S1370" s="132"/>
      <c r="T1370" s="137">
        <f>IF(REKAP[[#This Row],[Selisih]]&lt;=-1,REKAP[[#This Row],[Harga Satuan]]*REKAP[[#This Row],[Selisih]],0)</f>
        <v>0</v>
      </c>
    </row>
    <row r="1371" spans="1:20" x14ac:dyDescent="0.25">
      <c r="A1371" s="55" t="s">
        <v>2808</v>
      </c>
      <c r="B1371" s="55" t="s">
        <v>3503</v>
      </c>
      <c r="C1371" s="55" t="s">
        <v>3503</v>
      </c>
      <c r="D1371" s="56" t="s">
        <v>2240</v>
      </c>
      <c r="E1371" s="57"/>
      <c r="F1371" s="75" t="s">
        <v>247</v>
      </c>
      <c r="G1371" s="64" t="s">
        <v>2029</v>
      </c>
      <c r="H1371" s="58">
        <v>2146000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0</v>
      </c>
      <c r="P1371" s="55"/>
      <c r="Q1371" s="62">
        <f>REKAP[[#This Row],[Harga Satuan]]*REKAP[[#This Row],[Stok Akhir]]</f>
        <v>0</v>
      </c>
      <c r="R1371" s="61">
        <f>IF(REKAP[[#This Row],[Stok Aktual]]&lt;&gt;"",REKAP[[#This Row],[Stok Aktual]]-REKAP[[#This Row],[Stok Akhir]],0)</f>
        <v>0</v>
      </c>
      <c r="S1371" s="132"/>
      <c r="T1371" s="137">
        <f>IF(REKAP[[#This Row],[Selisih]]&lt;=-1,REKAP[[#This Row],[Harga Satuan]]*REKAP[[#This Row],[Selisih]],0)</f>
        <v>0</v>
      </c>
    </row>
    <row r="1372" spans="1:20" x14ac:dyDescent="0.25">
      <c r="A1372" s="55" t="s">
        <v>2809</v>
      </c>
      <c r="B1372" s="55" t="s">
        <v>3504</v>
      </c>
      <c r="C1372" s="55" t="s">
        <v>3504</v>
      </c>
      <c r="D1372" s="56" t="s">
        <v>2241</v>
      </c>
      <c r="E1372" s="57"/>
      <c r="F1372" s="75" t="s">
        <v>247</v>
      </c>
      <c r="G1372" s="64" t="s">
        <v>2029</v>
      </c>
      <c r="H1372" s="58">
        <v>964000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1</v>
      </c>
      <c r="L1372" s="55">
        <v>2</v>
      </c>
      <c r="M1372" s="74">
        <f>SUMIF(MASUK!$C:$C,REKAP[[#This Row],[ID]],MASUK!$H:$H)</f>
        <v>0</v>
      </c>
      <c r="N1372" s="74">
        <f>SUMIF(KELUAR!$C:$C,REKAP[[#This Row],[ID]],KELUAR!$H:$H)</f>
        <v>1</v>
      </c>
      <c r="O1372" s="74">
        <f>REKAP[[#This Row],[Stok Awal]]+REKAP[[#This Row],[Masuk]]-REKAP[[#This Row],[Keluar]]</f>
        <v>1</v>
      </c>
      <c r="P1372" s="55">
        <v>1</v>
      </c>
      <c r="Q1372" s="62">
        <f>REKAP[[#This Row],[Harga Satuan]]*REKAP[[#This Row],[Stok Akhir]]</f>
        <v>964000</v>
      </c>
      <c r="R1372" s="61">
        <f>IF(REKAP[[#This Row],[Stok Aktual]]&lt;&gt;"",REKAP[[#This Row],[Stok Aktual]]-REKAP[[#This Row],[Stok Akhir]],0)</f>
        <v>0</v>
      </c>
      <c r="S1372" s="139"/>
      <c r="T1372" s="137">
        <f>IF(REKAP[[#This Row],[Selisih]]&lt;=-1,REKAP[[#This Row],[Harga Satuan]]*REKAP[[#This Row],[Selisih]],0)</f>
        <v>0</v>
      </c>
    </row>
    <row r="1373" spans="1:20" x14ac:dyDescent="0.25">
      <c r="A1373" s="55" t="s">
        <v>2810</v>
      </c>
      <c r="B1373" s="55" t="s">
        <v>3505</v>
      </c>
      <c r="C1373" s="55" t="s">
        <v>3505</v>
      </c>
      <c r="D1373" s="56" t="s">
        <v>2242</v>
      </c>
      <c r="E1373" s="57"/>
      <c r="F1373" s="75" t="s">
        <v>247</v>
      </c>
      <c r="G1373" s="64" t="s">
        <v>2029</v>
      </c>
      <c r="H1373" s="58">
        <v>1471000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1</v>
      </c>
      <c r="K1373" s="60">
        <f>REKAP[[#This Row],[Trx In]]+REKAP[[#This Row],[Trx Out]]</f>
        <v>1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1</v>
      </c>
      <c r="O1373" s="74">
        <f>REKAP[[#This Row],[Stok Awal]]+REKAP[[#This Row],[Masuk]]-REKAP[[#This Row],[Keluar]]</f>
        <v>1</v>
      </c>
      <c r="P1373" s="55">
        <v>1</v>
      </c>
      <c r="Q1373" s="62">
        <f>REKAP[[#This Row],[Harga Satuan]]*REKAP[[#This Row],[Stok Akhir]]</f>
        <v>1471000</v>
      </c>
      <c r="R1373" s="61">
        <f>IF(REKAP[[#This Row],[Stok Aktual]]&lt;&gt;"",REKAP[[#This Row],[Stok Aktual]]-REKAP[[#This Row],[Stok Akhir]],0)</f>
        <v>0</v>
      </c>
      <c r="S1373" s="132"/>
      <c r="T1373" s="137">
        <f>IF(REKAP[[#This Row],[Selisih]]&lt;=-1,REKAP[[#This Row],[Harga Satuan]]*REKAP[[#This Row],[Selisih]],0)</f>
        <v>0</v>
      </c>
    </row>
    <row r="1374" spans="1:20" x14ac:dyDescent="0.25">
      <c r="A1374" s="55" t="s">
        <v>2811</v>
      </c>
      <c r="B1374" s="55" t="s">
        <v>3505</v>
      </c>
      <c r="C1374" s="55" t="s">
        <v>3505</v>
      </c>
      <c r="D1374" s="56" t="s">
        <v>2243</v>
      </c>
      <c r="E1374" s="57"/>
      <c r="F1374" s="75" t="s">
        <v>247</v>
      </c>
      <c r="G1374" s="64" t="s">
        <v>2029</v>
      </c>
      <c r="H1374" s="58">
        <v>1911000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1911000</v>
      </c>
      <c r="R1374" s="61">
        <f>IF(REKAP[[#This Row],[Stok Aktual]]&lt;&gt;"",REKAP[[#This Row],[Stok Aktual]]-REKAP[[#This Row],[Stok Akhir]],0)</f>
        <v>0</v>
      </c>
      <c r="S1374" s="132"/>
      <c r="T1374" s="137">
        <f>IF(REKAP[[#This Row],[Selisih]]&lt;=-1,REKAP[[#This Row],[Harga Satuan]]*REKAP[[#This Row],[Selisih]],0)</f>
        <v>0</v>
      </c>
    </row>
    <row r="1375" spans="1:20" x14ac:dyDescent="0.25">
      <c r="A1375" s="55" t="s">
        <v>2812</v>
      </c>
      <c r="B1375" s="55" t="s">
        <v>3506</v>
      </c>
      <c r="C1375" s="55" t="s">
        <v>3506</v>
      </c>
      <c r="D1375" s="56" t="s">
        <v>2244</v>
      </c>
      <c r="E1375" s="57"/>
      <c r="F1375" s="75" t="s">
        <v>247</v>
      </c>
      <c r="G1375" s="64" t="s">
        <v>2029</v>
      </c>
      <c r="H1375" s="58">
        <v>1405000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>
        <f>IF(REKAP[[#This Row],[Stok Aktual]]&lt;&gt;"",REKAP[[#This Row],[Stok Aktual]]-REKAP[[#This Row],[Stok Akhir]],0)</f>
        <v>0</v>
      </c>
      <c r="S1375" s="132"/>
      <c r="T1375" s="137">
        <f>IF(REKAP[[#This Row],[Selisih]]&lt;=-1,REKAP[[#This Row],[Harga Satuan]]*REKAP[[#This Row],[Selisih]],0)</f>
        <v>0</v>
      </c>
    </row>
    <row r="1376" spans="1:20" x14ac:dyDescent="0.25">
      <c r="A1376" s="55" t="s">
        <v>2813</v>
      </c>
      <c r="B1376" s="55" t="s">
        <v>3505</v>
      </c>
      <c r="C1376" s="55" t="s">
        <v>3505</v>
      </c>
      <c r="D1376" s="56" t="s">
        <v>2245</v>
      </c>
      <c r="E1376" s="57"/>
      <c r="F1376" s="75" t="s">
        <v>247</v>
      </c>
      <c r="G1376" s="64" t="s">
        <v>2029</v>
      </c>
      <c r="H1376" s="58">
        <v>792000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0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0</v>
      </c>
      <c r="P1376" s="55"/>
      <c r="Q1376" s="62">
        <f>REKAP[[#This Row],[Harga Satuan]]*REKAP[[#This Row],[Stok Akhir]]</f>
        <v>0</v>
      </c>
      <c r="R1376" s="61">
        <f>IF(REKAP[[#This Row],[Stok Aktual]]&lt;&gt;"",REKAP[[#This Row],[Stok Aktual]]-REKAP[[#This Row],[Stok Akhir]],0)</f>
        <v>0</v>
      </c>
      <c r="S1376" s="132"/>
      <c r="T1376" s="137">
        <f>IF(REKAP[[#This Row],[Selisih]]&lt;=-1,REKAP[[#This Row],[Harga Satuan]]*REKAP[[#This Row],[Selisih]],0)</f>
        <v>0</v>
      </c>
    </row>
    <row r="1377" spans="1:20" x14ac:dyDescent="0.25">
      <c r="A1377" s="55" t="s">
        <v>2814</v>
      </c>
      <c r="B1377" s="55" t="s">
        <v>3507</v>
      </c>
      <c r="C1377" s="55" t="s">
        <v>3507</v>
      </c>
      <c r="D1377" s="56" t="s">
        <v>2246</v>
      </c>
      <c r="E1377" s="57"/>
      <c r="F1377" s="75" t="s">
        <v>247</v>
      </c>
      <c r="G1377" s="64" t="s">
        <v>2029</v>
      </c>
      <c r="H1377" s="58">
        <v>836000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0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0</v>
      </c>
      <c r="P1377" s="55"/>
      <c r="Q1377" s="62">
        <f>REKAP[[#This Row],[Harga Satuan]]*REKAP[[#This Row],[Stok Akhir]]</f>
        <v>0</v>
      </c>
      <c r="R1377" s="61">
        <f>IF(REKAP[[#This Row],[Stok Aktual]]&lt;&gt;"",REKAP[[#This Row],[Stok Aktual]]-REKAP[[#This Row],[Stok Akhir]],0)</f>
        <v>0</v>
      </c>
      <c r="S1377" s="132"/>
      <c r="T1377" s="137">
        <f>IF(REKAP[[#This Row],[Selisih]]&lt;=-1,REKAP[[#This Row],[Harga Satuan]]*REKAP[[#This Row],[Selisih]],0)</f>
        <v>0</v>
      </c>
    </row>
    <row r="1378" spans="1:20" x14ac:dyDescent="0.25">
      <c r="A1378" s="55" t="s">
        <v>2815</v>
      </c>
      <c r="B1378" s="55" t="s">
        <v>3505</v>
      </c>
      <c r="C1378" s="55" t="s">
        <v>3505</v>
      </c>
      <c r="D1378" s="56" t="s">
        <v>2247</v>
      </c>
      <c r="E1378" s="57"/>
      <c r="F1378" s="75" t="s">
        <v>247</v>
      </c>
      <c r="G1378" s="64" t="s">
        <v>2029</v>
      </c>
      <c r="H1378" s="58">
        <v>833000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0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0</v>
      </c>
      <c r="P1378" s="55"/>
      <c r="Q1378" s="62">
        <f>REKAP[[#This Row],[Harga Satuan]]*REKAP[[#This Row],[Stok Akhir]]</f>
        <v>0</v>
      </c>
      <c r="R1378" s="61">
        <f>IF(REKAP[[#This Row],[Stok Aktual]]&lt;&gt;"",REKAP[[#This Row],[Stok Aktual]]-REKAP[[#This Row],[Stok Akhir]],0)</f>
        <v>0</v>
      </c>
      <c r="S1378" s="132"/>
      <c r="T1378" s="137">
        <f>IF(REKAP[[#This Row],[Selisih]]&lt;=-1,REKAP[[#This Row],[Harga Satuan]]*REKAP[[#This Row],[Selisih]],0)</f>
        <v>0</v>
      </c>
    </row>
    <row r="1379" spans="1:20" x14ac:dyDescent="0.25">
      <c r="A1379" s="55" t="s">
        <v>2816</v>
      </c>
      <c r="B1379" s="55" t="s">
        <v>3505</v>
      </c>
      <c r="C1379" s="55" t="s">
        <v>3505</v>
      </c>
      <c r="D1379" s="56" t="s">
        <v>2248</v>
      </c>
      <c r="E1379" s="57"/>
      <c r="F1379" s="75" t="s">
        <v>247</v>
      </c>
      <c r="G1379" s="64" t="s">
        <v>2029</v>
      </c>
      <c r="H1379" s="58">
        <v>1063000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>
        <f>IF(REKAP[[#This Row],[Stok Aktual]]&lt;&gt;"",REKAP[[#This Row],[Stok Aktual]]-REKAP[[#This Row],[Stok Akhir]],0)</f>
        <v>0</v>
      </c>
      <c r="S1379" s="132"/>
      <c r="T1379" s="137">
        <f>IF(REKAP[[#This Row],[Selisih]]&lt;=-1,REKAP[[#This Row],[Harga Satuan]]*REKAP[[#This Row],[Selisih]],0)</f>
        <v>0</v>
      </c>
    </row>
    <row r="1380" spans="1:20" x14ac:dyDescent="0.25">
      <c r="A1380" s="55" t="s">
        <v>2817</v>
      </c>
      <c r="B1380" s="55" t="s">
        <v>3505</v>
      </c>
      <c r="C1380" s="55" t="s">
        <v>3505</v>
      </c>
      <c r="D1380" s="56" t="s">
        <v>2249</v>
      </c>
      <c r="E1380" s="57"/>
      <c r="F1380" s="75" t="s">
        <v>247</v>
      </c>
      <c r="G1380" s="64" t="s">
        <v>2029</v>
      </c>
      <c r="H1380" s="58">
        <v>855000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>
        <f>IF(REKAP[[#This Row],[Stok Aktual]]&lt;&gt;"",REKAP[[#This Row],[Stok Aktual]]-REKAP[[#This Row],[Stok Akhir]],0)</f>
        <v>0</v>
      </c>
      <c r="S1380" s="132"/>
      <c r="T1380" s="137">
        <f>IF(REKAP[[#This Row],[Selisih]]&lt;=-1,REKAP[[#This Row],[Harga Satuan]]*REKAP[[#This Row],[Selisih]],0)</f>
        <v>0</v>
      </c>
    </row>
    <row r="1381" spans="1:20" x14ac:dyDescent="0.25">
      <c r="A1381" s="55" t="s">
        <v>2818</v>
      </c>
      <c r="B1381" s="55" t="s">
        <v>3508</v>
      </c>
      <c r="C1381" s="55" t="s">
        <v>3508</v>
      </c>
      <c r="D1381" s="56" t="s">
        <v>2250</v>
      </c>
      <c r="E1381" s="57"/>
      <c r="F1381" s="75" t="s">
        <v>247</v>
      </c>
      <c r="G1381" s="64" t="s">
        <v>2029</v>
      </c>
      <c r="H1381" s="58">
        <v>855000</v>
      </c>
      <c r="I1381" s="59">
        <f>IF(COUNTIF(MASUK[Kode Barang],REKAP[[#This Row],[ID]])=0,0,COUNTIF(MASUK[Kode Barang],REKAP[[#This Row],[ID]]))</f>
        <v>1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1</v>
      </c>
      <c r="L1381" s="55">
        <v>0</v>
      </c>
      <c r="M1381" s="74">
        <f>SUMIF(MASUK!$C:$C,REKAP[[#This Row],[ID]],MASUK!$H:$H)</f>
        <v>2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2</v>
      </c>
      <c r="P1381" s="55">
        <v>2</v>
      </c>
      <c r="Q1381" s="62">
        <f>REKAP[[#This Row],[Harga Satuan]]*REKAP[[#This Row],[Stok Akhir]]</f>
        <v>1710000</v>
      </c>
      <c r="R1381" s="61">
        <f>IF(REKAP[[#This Row],[Stok Aktual]]&lt;&gt;"",REKAP[[#This Row],[Stok Aktual]]-REKAP[[#This Row],[Stok Akhir]],0)</f>
        <v>0</v>
      </c>
      <c r="S1381" s="132"/>
      <c r="T1381" s="137">
        <f>IF(REKAP[[#This Row],[Selisih]]&lt;=-1,REKAP[[#This Row],[Harga Satuan]]*REKAP[[#This Row],[Selisih]],0)</f>
        <v>0</v>
      </c>
    </row>
    <row r="1382" spans="1:20" x14ac:dyDescent="0.25">
      <c r="A1382" s="55" t="s">
        <v>2819</v>
      </c>
      <c r="B1382" s="55" t="s">
        <v>3509</v>
      </c>
      <c r="C1382" s="55" t="s">
        <v>3509</v>
      </c>
      <c r="D1382" s="56" t="s">
        <v>2251</v>
      </c>
      <c r="E1382" s="57"/>
      <c r="F1382" s="75" t="s">
        <v>247</v>
      </c>
      <c r="G1382" s="64" t="s">
        <v>2029</v>
      </c>
      <c r="H1382" s="58">
        <v>855000</v>
      </c>
      <c r="I1382" s="59">
        <f>IF(COUNTIF(MASUK[Kode Barang],REKAP[[#This Row],[ID]])=0,0,COUNTIF(MASUK[Kode Barang],REKAP[[#This Row],[ID]]))</f>
        <v>1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1</v>
      </c>
      <c r="L1382" s="55">
        <v>0</v>
      </c>
      <c r="M1382" s="74">
        <f>SUMIF(MASUK!$C:$C,REKAP[[#This Row],[ID]],MASUK!$H:$H)</f>
        <v>2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>
        <v>2</v>
      </c>
      <c r="Q1382" s="62">
        <f>REKAP[[#This Row],[Harga Satuan]]*REKAP[[#This Row],[Stok Akhir]]</f>
        <v>1710000</v>
      </c>
      <c r="R1382" s="61">
        <f>IF(REKAP[[#This Row],[Stok Aktual]]&lt;&gt;"",REKAP[[#This Row],[Stok Aktual]]-REKAP[[#This Row],[Stok Akhir]],0)</f>
        <v>0</v>
      </c>
      <c r="S1382" s="132"/>
      <c r="T1382" s="137">
        <f>IF(REKAP[[#This Row],[Selisih]]&lt;=-1,REKAP[[#This Row],[Harga Satuan]]*REKAP[[#This Row],[Selisih]],0)</f>
        <v>0</v>
      </c>
    </row>
    <row r="1383" spans="1:20" x14ac:dyDescent="0.25">
      <c r="A1383" s="55" t="s">
        <v>2820</v>
      </c>
      <c r="B1383" s="55" t="s">
        <v>3510</v>
      </c>
      <c r="C1383" s="55" t="s">
        <v>3510</v>
      </c>
      <c r="D1383" s="56" t="s">
        <v>2252</v>
      </c>
      <c r="E1383" s="57"/>
      <c r="F1383" s="75" t="s">
        <v>247</v>
      </c>
      <c r="G1383" s="64" t="s">
        <v>2029</v>
      </c>
      <c r="H1383" s="58">
        <v>836000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836000</v>
      </c>
      <c r="R1383" s="61">
        <f>IF(REKAP[[#This Row],[Stok Aktual]]&lt;&gt;"",REKAP[[#This Row],[Stok Aktual]]-REKAP[[#This Row],[Stok Akhir]],0)</f>
        <v>0</v>
      </c>
      <c r="S1383" s="132"/>
      <c r="T1383" s="137">
        <f>IF(REKAP[[#This Row],[Selisih]]&lt;=-1,REKAP[[#This Row],[Harga Satuan]]*REKAP[[#This Row],[Selisih]],0)</f>
        <v>0</v>
      </c>
    </row>
    <row r="1384" spans="1:20" x14ac:dyDescent="0.25">
      <c r="A1384" s="55" t="s">
        <v>2821</v>
      </c>
      <c r="B1384" s="55" t="s">
        <v>3505</v>
      </c>
      <c r="C1384" s="55" t="s">
        <v>3505</v>
      </c>
      <c r="D1384" s="56" t="s">
        <v>2253</v>
      </c>
      <c r="E1384" s="57"/>
      <c r="F1384" s="75" t="s">
        <v>247</v>
      </c>
      <c r="G1384" s="64" t="s">
        <v>2029</v>
      </c>
      <c r="H1384" s="58">
        <v>961000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>
        <f>IF(REKAP[[#This Row],[Stok Aktual]]&lt;&gt;"",REKAP[[#This Row],[Stok Aktual]]-REKAP[[#This Row],[Stok Akhir]],0)</f>
        <v>0</v>
      </c>
      <c r="S1384" s="132"/>
      <c r="T1384" s="137">
        <f>IF(REKAP[[#This Row],[Selisih]]&lt;=-1,REKAP[[#This Row],[Harga Satuan]]*REKAP[[#This Row],[Selisih]],0)</f>
        <v>0</v>
      </c>
    </row>
    <row r="1385" spans="1:20" x14ac:dyDescent="0.25">
      <c r="A1385" s="55" t="s">
        <v>2822</v>
      </c>
      <c r="B1385" s="55" t="s">
        <v>3505</v>
      </c>
      <c r="C1385" s="55" t="s">
        <v>3505</v>
      </c>
      <c r="D1385" s="56" t="s">
        <v>2254</v>
      </c>
      <c r="E1385" s="57"/>
      <c r="F1385" s="75" t="s">
        <v>247</v>
      </c>
      <c r="G1385" s="64" t="s">
        <v>2029</v>
      </c>
      <c r="H1385" s="58">
        <v>1083000</v>
      </c>
      <c r="I1385" s="59">
        <f>IF(COUNTIF(MASUK[Kode Barang],REKAP[[#This Row],[ID]])=0,0,COUNTIF(MASUK[Kode Barang],REKAP[[#This Row],[ID]]))</f>
        <v>1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1</v>
      </c>
      <c r="L1385" s="55">
        <v>1</v>
      </c>
      <c r="M1385" s="74">
        <f>SUMIF(MASUK!$C:$C,REKAP[[#This Row],[ID]],MASUK!$H:$H)</f>
        <v>1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2</v>
      </c>
      <c r="P1385" s="55">
        <v>2</v>
      </c>
      <c r="Q1385" s="62">
        <f>REKAP[[#This Row],[Harga Satuan]]*REKAP[[#This Row],[Stok Akhir]]</f>
        <v>2166000</v>
      </c>
      <c r="R1385" s="61">
        <f>IF(REKAP[[#This Row],[Stok Aktual]]&lt;&gt;"",REKAP[[#This Row],[Stok Aktual]]-REKAP[[#This Row],[Stok Akhir]],0)</f>
        <v>0</v>
      </c>
      <c r="S1385" s="132"/>
      <c r="T1385" s="137">
        <f>IF(REKAP[[#This Row],[Selisih]]&lt;=-1,REKAP[[#This Row],[Harga Satuan]]*REKAP[[#This Row],[Selisih]],0)</f>
        <v>0</v>
      </c>
    </row>
    <row r="1386" spans="1:20" x14ac:dyDescent="0.25">
      <c r="A1386" s="55" t="s">
        <v>2823</v>
      </c>
      <c r="B1386" s="55" t="s">
        <v>3505</v>
      </c>
      <c r="C1386" s="55" t="s">
        <v>3505</v>
      </c>
      <c r="D1386" s="56" t="s">
        <v>2255</v>
      </c>
      <c r="E1386" s="57"/>
      <c r="F1386" s="75" t="s">
        <v>247</v>
      </c>
      <c r="G1386" s="64" t="s">
        <v>2029</v>
      </c>
      <c r="H1386" s="58">
        <v>961000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>
        <f>IF(REKAP[[#This Row],[Stok Aktual]]&lt;&gt;"",REKAP[[#This Row],[Stok Aktual]]-REKAP[[#This Row],[Stok Akhir]],0)</f>
        <v>0</v>
      </c>
      <c r="S1386" s="132"/>
      <c r="T1386" s="137">
        <f>IF(REKAP[[#This Row],[Selisih]]&lt;=-1,REKAP[[#This Row],[Harga Satuan]]*REKAP[[#This Row],[Selisih]],0)</f>
        <v>0</v>
      </c>
    </row>
    <row r="1387" spans="1:20" x14ac:dyDescent="0.25">
      <c r="A1387" s="55" t="s">
        <v>2824</v>
      </c>
      <c r="B1387" s="55" t="s">
        <v>3505</v>
      </c>
      <c r="C1387" s="55" t="s">
        <v>3505</v>
      </c>
      <c r="D1387" s="56" t="s">
        <v>2256</v>
      </c>
      <c r="E1387" s="57"/>
      <c r="F1387" s="75" t="s">
        <v>247</v>
      </c>
      <c r="G1387" s="64" t="s">
        <v>2029</v>
      </c>
      <c r="H1387" s="58">
        <v>961000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>
        <f>IF(REKAP[[#This Row],[Stok Aktual]]&lt;&gt;"",REKAP[[#This Row],[Stok Aktual]]-REKAP[[#This Row],[Stok Akhir]],0)</f>
        <v>0</v>
      </c>
      <c r="S1387" s="132"/>
      <c r="T1387" s="137">
        <f>IF(REKAP[[#This Row],[Selisih]]&lt;=-1,REKAP[[#This Row],[Harga Satuan]]*REKAP[[#This Row],[Selisih]],0)</f>
        <v>0</v>
      </c>
    </row>
    <row r="1388" spans="1:20" x14ac:dyDescent="0.25">
      <c r="A1388" s="55" t="s">
        <v>2825</v>
      </c>
      <c r="B1388" s="55" t="s">
        <v>3505</v>
      </c>
      <c r="C1388" s="55" t="s">
        <v>3505</v>
      </c>
      <c r="D1388" s="56" t="s">
        <v>2257</v>
      </c>
      <c r="E1388" s="57"/>
      <c r="F1388" s="75" t="s">
        <v>247</v>
      </c>
      <c r="G1388" s="64" t="s">
        <v>2029</v>
      </c>
      <c r="H1388" s="58">
        <v>1175000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>
        <f>IF(REKAP[[#This Row],[Stok Aktual]]&lt;&gt;"",REKAP[[#This Row],[Stok Aktual]]-REKAP[[#This Row],[Stok Akhir]],0)</f>
        <v>0</v>
      </c>
      <c r="S1388" s="132"/>
      <c r="T1388" s="137">
        <f>IF(REKAP[[#This Row],[Selisih]]&lt;=-1,REKAP[[#This Row],[Harga Satuan]]*REKAP[[#This Row],[Selisih]],0)</f>
        <v>0</v>
      </c>
    </row>
    <row r="1389" spans="1:20" x14ac:dyDescent="0.25">
      <c r="A1389" s="55" t="s">
        <v>2826</v>
      </c>
      <c r="B1389" s="55" t="s">
        <v>3505</v>
      </c>
      <c r="C1389" s="55" t="s">
        <v>3505</v>
      </c>
      <c r="D1389" s="56" t="s">
        <v>2258</v>
      </c>
      <c r="E1389" s="57"/>
      <c r="F1389" s="75" t="s">
        <v>247</v>
      </c>
      <c r="G1389" s="64" t="s">
        <v>2029</v>
      </c>
      <c r="H1389" s="58">
        <v>1150000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1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1</v>
      </c>
      <c r="P1389" s="55"/>
      <c r="Q1389" s="62">
        <f>REKAP[[#This Row],[Harga Satuan]]*REKAP[[#This Row],[Stok Akhir]]</f>
        <v>1150000</v>
      </c>
      <c r="R1389" s="61">
        <f>IF(REKAP[[#This Row],[Stok Aktual]]&lt;&gt;"",REKAP[[#This Row],[Stok Aktual]]-REKAP[[#This Row],[Stok Akhir]],0)</f>
        <v>0</v>
      </c>
      <c r="S1389" s="132"/>
      <c r="T1389" s="137">
        <f>IF(REKAP[[#This Row],[Selisih]]&lt;=-1,REKAP[[#This Row],[Harga Satuan]]*REKAP[[#This Row],[Selisih]],0)</f>
        <v>0</v>
      </c>
    </row>
    <row r="1390" spans="1:20" x14ac:dyDescent="0.25">
      <c r="A1390" s="55" t="s">
        <v>2827</v>
      </c>
      <c r="B1390" s="55" t="s">
        <v>3505</v>
      </c>
      <c r="C1390" s="55" t="s">
        <v>3505</v>
      </c>
      <c r="D1390" s="56" t="s">
        <v>2259</v>
      </c>
      <c r="E1390" s="57"/>
      <c r="F1390" s="75" t="s">
        <v>247</v>
      </c>
      <c r="G1390" s="64" t="s">
        <v>2029</v>
      </c>
      <c r="H1390" s="58">
        <v>961000</v>
      </c>
      <c r="I1390" s="59">
        <f>IF(COUNTIF(MASUK[Kode Barang],REKAP[[#This Row],[ID]])=0,0,COUNTIF(MASUK[Kode Barang],REKAP[[#This Row],[ID]]))</f>
        <v>1</v>
      </c>
      <c r="J1390" s="59">
        <f>IF(COUNTIF(MASUK8[Kode Barang],REKAP[[#This Row],[ID]])=0,0,COUNTIF(MASUK8[Kode Barang],REKAP[[#This Row],[ID]]))</f>
        <v>1</v>
      </c>
      <c r="K1390" s="60">
        <f>REKAP[[#This Row],[Trx In]]+REKAP[[#This Row],[Trx Out]]</f>
        <v>2</v>
      </c>
      <c r="L1390" s="55">
        <v>1</v>
      </c>
      <c r="M1390" s="74">
        <f>SUMIF(MASUK!$C:$C,REKAP[[#This Row],[ID]],MASUK!$H:$H)</f>
        <v>2</v>
      </c>
      <c r="N1390" s="74">
        <f>SUMIF(KELUAR!$C:$C,REKAP[[#This Row],[ID]],KELUAR!$H:$H)</f>
        <v>1</v>
      </c>
      <c r="O1390" s="74">
        <f>REKAP[[#This Row],[Stok Awal]]+REKAP[[#This Row],[Masuk]]-REKAP[[#This Row],[Keluar]]</f>
        <v>2</v>
      </c>
      <c r="P1390" s="55">
        <v>2</v>
      </c>
      <c r="Q1390" s="62">
        <f>REKAP[[#This Row],[Harga Satuan]]*REKAP[[#This Row],[Stok Akhir]]</f>
        <v>1922000</v>
      </c>
      <c r="R1390" s="61">
        <f>IF(REKAP[[#This Row],[Stok Aktual]]&lt;&gt;"",REKAP[[#This Row],[Stok Aktual]]-REKAP[[#This Row],[Stok Akhir]],0)</f>
        <v>0</v>
      </c>
      <c r="S1390" s="132"/>
      <c r="T1390" s="137">
        <f>IF(REKAP[[#This Row],[Selisih]]&lt;=-1,REKAP[[#This Row],[Harga Satuan]]*REKAP[[#This Row],[Selisih]],0)</f>
        <v>0</v>
      </c>
    </row>
    <row r="1391" spans="1:20" x14ac:dyDescent="0.25">
      <c r="A1391" s="55" t="s">
        <v>2828</v>
      </c>
      <c r="B1391" s="55" t="s">
        <v>3505</v>
      </c>
      <c r="C1391" s="55" t="s">
        <v>3505</v>
      </c>
      <c r="D1391" s="56" t="s">
        <v>2260</v>
      </c>
      <c r="E1391" s="57"/>
      <c r="F1391" s="75" t="s">
        <v>247</v>
      </c>
      <c r="G1391" s="64" t="s">
        <v>2029</v>
      </c>
      <c r="H1391" s="58">
        <v>961000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1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1</v>
      </c>
      <c r="P1391" s="55"/>
      <c r="Q1391" s="62">
        <f>REKAP[[#This Row],[Harga Satuan]]*REKAP[[#This Row],[Stok Akhir]]</f>
        <v>961000</v>
      </c>
      <c r="R1391" s="61">
        <f>IF(REKAP[[#This Row],[Stok Aktual]]&lt;&gt;"",REKAP[[#This Row],[Stok Aktual]]-REKAP[[#This Row],[Stok Akhir]],0)</f>
        <v>0</v>
      </c>
      <c r="S1391" s="132"/>
      <c r="T1391" s="137">
        <f>IF(REKAP[[#This Row],[Selisih]]&lt;=-1,REKAP[[#This Row],[Harga Satuan]]*REKAP[[#This Row],[Selisih]],0)</f>
        <v>0</v>
      </c>
    </row>
    <row r="1392" spans="1:20" x14ac:dyDescent="0.25">
      <c r="A1392" s="55" t="s">
        <v>2829</v>
      </c>
      <c r="B1392" s="55" t="s">
        <v>3505</v>
      </c>
      <c r="C1392" s="55" t="s">
        <v>3505</v>
      </c>
      <c r="D1392" s="56" t="s">
        <v>2261</v>
      </c>
      <c r="E1392" s="57"/>
      <c r="F1392" s="75" t="s">
        <v>247</v>
      </c>
      <c r="G1392" s="64" t="s">
        <v>2029</v>
      </c>
      <c r="H1392" s="58">
        <v>1487000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1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1</v>
      </c>
      <c r="P1392" s="55"/>
      <c r="Q1392" s="62">
        <f>REKAP[[#This Row],[Harga Satuan]]*REKAP[[#This Row],[Stok Akhir]]</f>
        <v>1487000</v>
      </c>
      <c r="R1392" s="61">
        <f>IF(REKAP[[#This Row],[Stok Aktual]]&lt;&gt;"",REKAP[[#This Row],[Stok Aktual]]-REKAP[[#This Row],[Stok Akhir]],0)</f>
        <v>0</v>
      </c>
      <c r="S1392" s="132"/>
      <c r="T1392" s="137">
        <f>IF(REKAP[[#This Row],[Selisih]]&lt;=-1,REKAP[[#This Row],[Harga Satuan]]*REKAP[[#This Row],[Selisih]],0)</f>
        <v>0</v>
      </c>
    </row>
    <row r="1393" spans="1:20" x14ac:dyDescent="0.25">
      <c r="A1393" s="55" t="s">
        <v>2830</v>
      </c>
      <c r="B1393" s="55" t="s">
        <v>3505</v>
      </c>
      <c r="C1393" s="55" t="s">
        <v>3505</v>
      </c>
      <c r="D1393" s="56" t="s">
        <v>2262</v>
      </c>
      <c r="E1393" s="57"/>
      <c r="F1393" s="75" t="s">
        <v>247</v>
      </c>
      <c r="G1393" s="64" t="s">
        <v>2029</v>
      </c>
      <c r="H1393" s="58">
        <v>1248000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1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1</v>
      </c>
      <c r="P1393" s="55"/>
      <c r="Q1393" s="62">
        <f>REKAP[[#This Row],[Harga Satuan]]*REKAP[[#This Row],[Stok Akhir]]</f>
        <v>1248000</v>
      </c>
      <c r="R1393" s="61">
        <f>IF(REKAP[[#This Row],[Stok Aktual]]&lt;&gt;"",REKAP[[#This Row],[Stok Aktual]]-REKAP[[#This Row],[Stok Akhir]],0)</f>
        <v>0</v>
      </c>
      <c r="S1393" s="132"/>
      <c r="T1393" s="137">
        <f>IF(REKAP[[#This Row],[Selisih]]&lt;=-1,REKAP[[#This Row],[Harga Satuan]]*REKAP[[#This Row],[Selisih]],0)</f>
        <v>0</v>
      </c>
    </row>
    <row r="1394" spans="1:20" x14ac:dyDescent="0.25">
      <c r="A1394" s="55" t="s">
        <v>2831</v>
      </c>
      <c r="B1394" s="55" t="s">
        <v>3505</v>
      </c>
      <c r="C1394" s="55" t="s">
        <v>3505</v>
      </c>
      <c r="D1394" s="56" t="s">
        <v>2263</v>
      </c>
      <c r="E1394" s="57"/>
      <c r="F1394" s="75" t="s">
        <v>247</v>
      </c>
      <c r="G1394" s="64" t="s">
        <v>2029</v>
      </c>
      <c r="H1394" s="58">
        <v>1348000</v>
      </c>
      <c r="I1394" s="59">
        <f>IF(COUNTIF(MASUK[Kode Barang],REKAP[[#This Row],[ID]])=0,0,COUNTIF(MASUK[Kode Barang],REKAP[[#This Row],[ID]]))</f>
        <v>1</v>
      </c>
      <c r="J1394" s="59">
        <f>IF(COUNTIF(MASUK8[Kode Barang],REKAP[[#This Row],[ID]])=0,0,COUNTIF(MASUK8[Kode Barang],REKAP[[#This Row],[ID]]))</f>
        <v>2</v>
      </c>
      <c r="K1394" s="60">
        <f>REKAP[[#This Row],[Trx In]]+REKAP[[#This Row],[Trx Out]]</f>
        <v>3</v>
      </c>
      <c r="L1394" s="129">
        <v>3</v>
      </c>
      <c r="M1394" s="74">
        <f>SUMIF(MASUK!$C:$C,REKAP[[#This Row],[ID]],MASUK!$H:$H)</f>
        <v>1</v>
      </c>
      <c r="N1394" s="74">
        <f>SUMIF(KELUAR!$C:$C,REKAP[[#This Row],[ID]],KELUAR!$H:$H)</f>
        <v>2</v>
      </c>
      <c r="O1394" s="74">
        <f>REKAP[[#This Row],[Stok Awal]]+REKAP[[#This Row],[Masuk]]-REKAP[[#This Row],[Keluar]]</f>
        <v>2</v>
      </c>
      <c r="P1394" s="55">
        <v>2</v>
      </c>
      <c r="Q1394" s="62">
        <f>REKAP[[#This Row],[Harga Satuan]]*REKAP[[#This Row],[Stok Akhir]]</f>
        <v>2696000</v>
      </c>
      <c r="R1394" s="61">
        <f>IF(REKAP[[#This Row],[Stok Aktual]]&lt;&gt;"",REKAP[[#This Row],[Stok Aktual]]-REKAP[[#This Row],[Stok Akhir]],0)</f>
        <v>0</v>
      </c>
      <c r="S1394" s="132"/>
      <c r="T1394" s="137">
        <f>IF(REKAP[[#This Row],[Selisih]]&lt;=-1,REKAP[[#This Row],[Harga Satuan]]*REKAP[[#This Row],[Selisih]],0)</f>
        <v>0</v>
      </c>
    </row>
    <row r="1395" spans="1:20" x14ac:dyDescent="0.25">
      <c r="A1395" s="55" t="s">
        <v>2832</v>
      </c>
      <c r="B1395" s="55" t="s">
        <v>3505</v>
      </c>
      <c r="C1395" s="55" t="s">
        <v>3505</v>
      </c>
      <c r="D1395" s="56" t="s">
        <v>2264</v>
      </c>
      <c r="E1395" s="57"/>
      <c r="F1395" s="75" t="s">
        <v>247</v>
      </c>
      <c r="G1395" s="64" t="s">
        <v>2029</v>
      </c>
      <c r="H1395" s="58">
        <v>1556000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3112000</v>
      </c>
      <c r="R1395" s="61">
        <f>IF(REKAP[[#This Row],[Stok Aktual]]&lt;&gt;"",REKAP[[#This Row],[Stok Aktual]]-REKAP[[#This Row],[Stok Akhir]],0)</f>
        <v>0</v>
      </c>
      <c r="S1395" s="132"/>
      <c r="T1395" s="137">
        <f>IF(REKAP[[#This Row],[Selisih]]&lt;=-1,REKAP[[#This Row],[Harga Satuan]]*REKAP[[#This Row],[Selisih]],0)</f>
        <v>0</v>
      </c>
    </row>
    <row r="1396" spans="1:20" x14ac:dyDescent="0.25">
      <c r="A1396" s="55" t="s">
        <v>2833</v>
      </c>
      <c r="B1396" s="55" t="s">
        <v>3505</v>
      </c>
      <c r="C1396" s="55" t="s">
        <v>3505</v>
      </c>
      <c r="D1396" s="56" t="s">
        <v>2265</v>
      </c>
      <c r="E1396" s="57"/>
      <c r="F1396" s="75" t="s">
        <v>247</v>
      </c>
      <c r="G1396" s="64" t="s">
        <v>2029</v>
      </c>
      <c r="H1396" s="58">
        <v>1819000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3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3</v>
      </c>
      <c r="P1396" s="55"/>
      <c r="Q1396" s="62">
        <f>REKAP[[#This Row],[Harga Satuan]]*REKAP[[#This Row],[Stok Akhir]]</f>
        <v>5457000</v>
      </c>
      <c r="R1396" s="61">
        <f>IF(REKAP[[#This Row],[Stok Aktual]]&lt;&gt;"",REKAP[[#This Row],[Stok Aktual]]-REKAP[[#This Row],[Stok Akhir]],0)</f>
        <v>0</v>
      </c>
      <c r="S1396" s="132"/>
      <c r="T1396" s="137">
        <f>IF(REKAP[[#This Row],[Selisih]]&lt;=-1,REKAP[[#This Row],[Harga Satuan]]*REKAP[[#This Row],[Selisih]],0)</f>
        <v>0</v>
      </c>
    </row>
    <row r="1397" spans="1:20" x14ac:dyDescent="0.25">
      <c r="A1397" s="55" t="s">
        <v>2834</v>
      </c>
      <c r="B1397" s="55" t="s">
        <v>3505</v>
      </c>
      <c r="C1397" s="55" t="s">
        <v>3505</v>
      </c>
      <c r="D1397" s="56" t="s">
        <v>2266</v>
      </c>
      <c r="E1397" s="57"/>
      <c r="F1397" s="75" t="s">
        <v>247</v>
      </c>
      <c r="G1397" s="64" t="s">
        <v>2029</v>
      </c>
      <c r="H1397" s="58">
        <v>488000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>
        <f>IF(REKAP[[#This Row],[Stok Aktual]]&lt;&gt;"",REKAP[[#This Row],[Stok Aktual]]-REKAP[[#This Row],[Stok Akhir]],0)</f>
        <v>0</v>
      </c>
      <c r="S1397" s="132"/>
      <c r="T1397" s="137">
        <f>IF(REKAP[[#This Row],[Selisih]]&lt;=-1,REKAP[[#This Row],[Harga Satuan]]*REKAP[[#This Row],[Selisih]],0)</f>
        <v>0</v>
      </c>
    </row>
    <row r="1398" spans="1:20" x14ac:dyDescent="0.25">
      <c r="A1398" s="55" t="s">
        <v>2835</v>
      </c>
      <c r="B1398" s="55" t="s">
        <v>3505</v>
      </c>
      <c r="C1398" s="55" t="s">
        <v>3505</v>
      </c>
      <c r="D1398" s="56" t="s">
        <v>2267</v>
      </c>
      <c r="E1398" s="57"/>
      <c r="F1398" s="75" t="s">
        <v>247</v>
      </c>
      <c r="G1398" s="64" t="s">
        <v>2029</v>
      </c>
      <c r="H1398" s="58">
        <v>971000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>
        <f>IF(REKAP[[#This Row],[Stok Aktual]]&lt;&gt;"",REKAP[[#This Row],[Stok Aktual]]-REKAP[[#This Row],[Stok Akhir]],0)</f>
        <v>0</v>
      </c>
      <c r="S1398" s="132"/>
      <c r="T1398" s="137">
        <f>IF(REKAP[[#This Row],[Selisih]]&lt;=-1,REKAP[[#This Row],[Harga Satuan]]*REKAP[[#This Row],[Selisih]],0)</f>
        <v>0</v>
      </c>
    </row>
    <row r="1399" spans="1:20" x14ac:dyDescent="0.25">
      <c r="A1399" s="55" t="s">
        <v>2836</v>
      </c>
      <c r="B1399" s="55" t="s">
        <v>3505</v>
      </c>
      <c r="C1399" s="55" t="s">
        <v>3505</v>
      </c>
      <c r="D1399" s="56" t="s">
        <v>2268</v>
      </c>
      <c r="E1399" s="57"/>
      <c r="F1399" s="75" t="s">
        <v>247</v>
      </c>
      <c r="G1399" s="64" t="s">
        <v>2029</v>
      </c>
      <c r="H1399" s="58">
        <v>1388000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>
        <f>IF(REKAP[[#This Row],[Stok Aktual]]&lt;&gt;"",REKAP[[#This Row],[Stok Aktual]]-REKAP[[#This Row],[Stok Akhir]],0)</f>
        <v>0</v>
      </c>
      <c r="S1399" s="132"/>
      <c r="T1399" s="137">
        <f>IF(REKAP[[#This Row],[Selisih]]&lt;=-1,REKAP[[#This Row],[Harga Satuan]]*REKAP[[#This Row],[Selisih]],0)</f>
        <v>0</v>
      </c>
    </row>
    <row r="1400" spans="1:20" x14ac:dyDescent="0.25">
      <c r="A1400" s="55" t="s">
        <v>2837</v>
      </c>
      <c r="B1400" s="55" t="s">
        <v>3505</v>
      </c>
      <c r="C1400" s="55" t="s">
        <v>3505</v>
      </c>
      <c r="D1400" s="56" t="s">
        <v>2269</v>
      </c>
      <c r="E1400" s="57"/>
      <c r="F1400" s="75" t="s">
        <v>247</v>
      </c>
      <c r="G1400" s="64" t="s">
        <v>2029</v>
      </c>
      <c r="H1400" s="58">
        <v>860000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2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2</v>
      </c>
      <c r="P1400" s="55"/>
      <c r="Q1400" s="62">
        <f>REKAP[[#This Row],[Harga Satuan]]*REKAP[[#This Row],[Stok Akhir]]</f>
        <v>1720000</v>
      </c>
      <c r="R1400" s="61">
        <f>IF(REKAP[[#This Row],[Stok Aktual]]&lt;&gt;"",REKAP[[#This Row],[Stok Aktual]]-REKAP[[#This Row],[Stok Akhir]],0)</f>
        <v>0</v>
      </c>
      <c r="S1400" s="132"/>
      <c r="T1400" s="137">
        <f>IF(REKAP[[#This Row],[Selisih]]&lt;=-1,REKAP[[#This Row],[Harga Satuan]]*REKAP[[#This Row],[Selisih]],0)</f>
        <v>0</v>
      </c>
    </row>
    <row r="1401" spans="1:20" x14ac:dyDescent="0.25">
      <c r="A1401" s="55" t="s">
        <v>2838</v>
      </c>
      <c r="B1401" s="55" t="s">
        <v>3505</v>
      </c>
      <c r="C1401" s="55" t="s">
        <v>3505</v>
      </c>
      <c r="D1401" s="56" t="s">
        <v>2270</v>
      </c>
      <c r="E1401" s="57"/>
      <c r="F1401" s="75" t="s">
        <v>247</v>
      </c>
      <c r="G1401" s="64" t="s">
        <v>2029</v>
      </c>
      <c r="H1401" s="58">
        <v>1957000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0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0</v>
      </c>
      <c r="P1401" s="55"/>
      <c r="Q1401" s="62">
        <f>REKAP[[#This Row],[Harga Satuan]]*REKAP[[#This Row],[Stok Akhir]]</f>
        <v>0</v>
      </c>
      <c r="R1401" s="61">
        <f>IF(REKAP[[#This Row],[Stok Aktual]]&lt;&gt;"",REKAP[[#This Row],[Stok Aktual]]-REKAP[[#This Row],[Stok Akhir]],0)</f>
        <v>0</v>
      </c>
      <c r="S1401" s="132"/>
      <c r="T1401" s="137">
        <f>IF(REKAP[[#This Row],[Selisih]]&lt;=-1,REKAP[[#This Row],[Harga Satuan]]*REKAP[[#This Row],[Selisih]],0)</f>
        <v>0</v>
      </c>
    </row>
    <row r="1402" spans="1:20" x14ac:dyDescent="0.25">
      <c r="A1402" s="55" t="s">
        <v>2839</v>
      </c>
      <c r="B1402" s="55" t="s">
        <v>3505</v>
      </c>
      <c r="C1402" s="55" t="s">
        <v>3505</v>
      </c>
      <c r="D1402" s="56" t="s">
        <v>2271</v>
      </c>
      <c r="E1402" s="57"/>
      <c r="F1402" s="75" t="s">
        <v>247</v>
      </c>
      <c r="G1402" s="64" t="s">
        <v>2029</v>
      </c>
      <c r="H1402" s="58">
        <v>1300000</v>
      </c>
      <c r="I1402" s="59">
        <f>IF(COUNTIF(MASUK[Kode Barang],REKAP[[#This Row],[ID]])=0,0,COUNTIF(MASUK[Kode Barang],REKAP[[#This Row],[ID]]))</f>
        <v>1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1</v>
      </c>
      <c r="L1402" s="55">
        <v>0</v>
      </c>
      <c r="M1402" s="74">
        <f>SUMIF(MASUK!$C:$C,REKAP[[#This Row],[ID]],MASUK!$H:$H)</f>
        <v>3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3</v>
      </c>
      <c r="P1402" s="55">
        <v>3</v>
      </c>
      <c r="Q1402" s="62">
        <f>REKAP[[#This Row],[Harga Satuan]]*REKAP[[#This Row],[Stok Akhir]]</f>
        <v>3900000</v>
      </c>
      <c r="R1402" s="61">
        <f>IF(REKAP[[#This Row],[Stok Aktual]]&lt;&gt;"",REKAP[[#This Row],[Stok Aktual]]-REKAP[[#This Row],[Stok Akhir]],0)</f>
        <v>0</v>
      </c>
      <c r="S1402" s="132"/>
      <c r="T1402" s="137">
        <f>IF(REKAP[[#This Row],[Selisih]]&lt;=-1,REKAP[[#This Row],[Harga Satuan]]*REKAP[[#This Row],[Selisih]],0)</f>
        <v>0</v>
      </c>
    </row>
    <row r="1403" spans="1:20" x14ac:dyDescent="0.25">
      <c r="A1403" s="55" t="s">
        <v>2840</v>
      </c>
      <c r="B1403" s="55" t="s">
        <v>3505</v>
      </c>
      <c r="C1403" s="55" t="s">
        <v>3505</v>
      </c>
      <c r="D1403" s="56" t="s">
        <v>2272</v>
      </c>
      <c r="E1403" s="57"/>
      <c r="F1403" s="75" t="s">
        <v>247</v>
      </c>
      <c r="G1403" s="64" t="s">
        <v>2029</v>
      </c>
      <c r="H1403" s="58">
        <v>2390000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0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0</v>
      </c>
      <c r="P1403" s="55"/>
      <c r="Q1403" s="62">
        <f>REKAP[[#This Row],[Harga Satuan]]*REKAP[[#This Row],[Stok Akhir]]</f>
        <v>0</v>
      </c>
      <c r="R1403" s="61">
        <f>IF(REKAP[[#This Row],[Stok Aktual]]&lt;&gt;"",REKAP[[#This Row],[Stok Aktual]]-REKAP[[#This Row],[Stok Akhir]],0)</f>
        <v>0</v>
      </c>
      <c r="S1403" s="132"/>
      <c r="T1403" s="137">
        <f>IF(REKAP[[#This Row],[Selisih]]&lt;=-1,REKAP[[#This Row],[Harga Satuan]]*REKAP[[#This Row],[Selisih]],0)</f>
        <v>0</v>
      </c>
    </row>
    <row r="1404" spans="1:20" x14ac:dyDescent="0.25">
      <c r="A1404" s="55" t="s">
        <v>2841</v>
      </c>
      <c r="B1404" s="55" t="s">
        <v>3505</v>
      </c>
      <c r="C1404" s="55" t="s">
        <v>3505</v>
      </c>
      <c r="D1404" s="56" t="s">
        <v>2273</v>
      </c>
      <c r="E1404" s="57"/>
      <c r="F1404" s="75" t="s">
        <v>247</v>
      </c>
      <c r="G1404" s="64" t="s">
        <v>2029</v>
      </c>
      <c r="H1404" s="58">
        <v>1565000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1</v>
      </c>
      <c r="K1404" s="60">
        <f>REKAP[[#This Row],[Trx In]]+REKAP[[#This Row],[Trx Out]]</f>
        <v>1</v>
      </c>
      <c r="L1404" s="55">
        <v>2</v>
      </c>
      <c r="M1404" s="74">
        <f>SUMIF(MASUK!$C:$C,REKAP[[#This Row],[ID]],MASUK!$H:$H)</f>
        <v>0</v>
      </c>
      <c r="N1404" s="74">
        <f>SUMIF(KELUAR!$C:$C,REKAP[[#This Row],[ID]],KELUAR!$H:$H)</f>
        <v>1</v>
      </c>
      <c r="O1404" s="74">
        <f>REKAP[[#This Row],[Stok Awal]]+REKAP[[#This Row],[Masuk]]-REKAP[[#This Row],[Keluar]]</f>
        <v>1</v>
      </c>
      <c r="P1404" s="55">
        <v>1</v>
      </c>
      <c r="Q1404" s="62">
        <f>REKAP[[#This Row],[Harga Satuan]]*REKAP[[#This Row],[Stok Akhir]]</f>
        <v>1565000</v>
      </c>
      <c r="R1404" s="61">
        <f>IF(REKAP[[#This Row],[Stok Aktual]]&lt;&gt;"",REKAP[[#This Row],[Stok Aktual]]-REKAP[[#This Row],[Stok Akhir]],0)</f>
        <v>0</v>
      </c>
      <c r="S1404" s="139"/>
      <c r="T1404" s="137">
        <f>IF(REKAP[[#This Row],[Selisih]]&lt;=-1,REKAP[[#This Row],[Harga Satuan]]*REKAP[[#This Row],[Selisih]],0)</f>
        <v>0</v>
      </c>
    </row>
    <row r="1405" spans="1:20" x14ac:dyDescent="0.25">
      <c r="A1405" s="55" t="s">
        <v>2842</v>
      </c>
      <c r="B1405" s="55" t="s">
        <v>3511</v>
      </c>
      <c r="C1405" s="55" t="s">
        <v>3511</v>
      </c>
      <c r="D1405" s="56" t="s">
        <v>2274</v>
      </c>
      <c r="E1405" s="57"/>
      <c r="F1405" s="75" t="s">
        <v>247</v>
      </c>
      <c r="G1405" s="64" t="s">
        <v>1998</v>
      </c>
      <c r="H1405" s="58">
        <v>370000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>
        <f>IF(REKAP[[#This Row],[Stok Aktual]]&lt;&gt;"",REKAP[[#This Row],[Stok Aktual]]-REKAP[[#This Row],[Stok Akhir]],0)</f>
        <v>0</v>
      </c>
      <c r="S1405" s="132"/>
      <c r="T1405" s="137">
        <f>IF(REKAP[[#This Row],[Selisih]]&lt;=-1,REKAP[[#This Row],[Harga Satuan]]*REKAP[[#This Row],[Selisih]],0)</f>
        <v>0</v>
      </c>
    </row>
    <row r="1406" spans="1:20" x14ac:dyDescent="0.25">
      <c r="A1406" s="55" t="s">
        <v>2843</v>
      </c>
      <c r="B1406" s="55" t="s">
        <v>3511</v>
      </c>
      <c r="C1406" s="55" t="s">
        <v>3511</v>
      </c>
      <c r="D1406" s="56" t="s">
        <v>2275</v>
      </c>
      <c r="E1406" s="57"/>
      <c r="F1406" s="75" t="s">
        <v>247</v>
      </c>
      <c r="G1406" s="64" t="s">
        <v>1998</v>
      </c>
      <c r="H1406" s="58">
        <v>563000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>
        <f>IF(REKAP[[#This Row],[Stok Aktual]]&lt;&gt;"",REKAP[[#This Row],[Stok Aktual]]-REKAP[[#This Row],[Stok Akhir]],0)</f>
        <v>0</v>
      </c>
      <c r="S1406" s="132"/>
      <c r="T1406" s="137">
        <f>IF(REKAP[[#This Row],[Selisih]]&lt;=-1,REKAP[[#This Row],[Harga Satuan]]*REKAP[[#This Row],[Selisih]],0)</f>
        <v>0</v>
      </c>
    </row>
    <row r="1407" spans="1:20" x14ac:dyDescent="0.25">
      <c r="A1407" s="55" t="s">
        <v>2844</v>
      </c>
      <c r="B1407" s="55" t="s">
        <v>3512</v>
      </c>
      <c r="C1407" s="55" t="s">
        <v>3512</v>
      </c>
      <c r="D1407" s="56" t="s">
        <v>2276</v>
      </c>
      <c r="E1407" s="57"/>
      <c r="F1407" s="75" t="s">
        <v>247</v>
      </c>
      <c r="G1407" s="64"/>
      <c r="H1407" s="58">
        <v>451500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>
        <f>IF(REKAP[[#This Row],[Stok Aktual]]&lt;&gt;"",REKAP[[#This Row],[Stok Aktual]]-REKAP[[#This Row],[Stok Akhir]],0)</f>
        <v>0</v>
      </c>
      <c r="S1407" s="132"/>
      <c r="T1407" s="137">
        <f>IF(REKAP[[#This Row],[Selisih]]&lt;=-1,REKAP[[#This Row],[Harga Satuan]]*REKAP[[#This Row],[Selisih]],0)</f>
        <v>0</v>
      </c>
    </row>
    <row r="1408" spans="1:20" x14ac:dyDescent="0.25">
      <c r="A1408" s="55" t="s">
        <v>2845</v>
      </c>
      <c r="B1408" s="55" t="s">
        <v>3513</v>
      </c>
      <c r="C1408" s="55" t="s">
        <v>3513</v>
      </c>
      <c r="D1408" s="56" t="s">
        <v>2277</v>
      </c>
      <c r="E1408" s="57"/>
      <c r="F1408" s="75" t="s">
        <v>247</v>
      </c>
      <c r="G1408" s="64"/>
      <c r="H1408" s="58">
        <v>280725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>
        <f>IF(REKAP[[#This Row],[Stok Aktual]]&lt;&gt;"",REKAP[[#This Row],[Stok Aktual]]-REKAP[[#This Row],[Stok Akhir]],0)</f>
        <v>0</v>
      </c>
      <c r="S1408" s="132"/>
      <c r="T1408" s="137">
        <f>IF(REKAP[[#This Row],[Selisih]]&lt;=-1,REKAP[[#This Row],[Harga Satuan]]*REKAP[[#This Row],[Selisih]],0)</f>
        <v>0</v>
      </c>
    </row>
    <row r="1409" spans="1:20" x14ac:dyDescent="0.25">
      <c r="A1409" s="55" t="s">
        <v>2846</v>
      </c>
      <c r="B1409" s="55" t="s">
        <v>3514</v>
      </c>
      <c r="C1409" s="55" t="s">
        <v>3514</v>
      </c>
      <c r="D1409" s="56" t="s">
        <v>2278</v>
      </c>
      <c r="E1409" s="57"/>
      <c r="F1409" s="75" t="s">
        <v>247</v>
      </c>
      <c r="G1409" s="64"/>
      <c r="H1409" s="58">
        <v>280725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>
        <f>IF(REKAP[[#This Row],[Stok Aktual]]&lt;&gt;"",REKAP[[#This Row],[Stok Aktual]]-REKAP[[#This Row],[Stok Akhir]],0)</f>
        <v>0</v>
      </c>
      <c r="S1409" s="132"/>
      <c r="T1409" s="137">
        <f>IF(REKAP[[#This Row],[Selisih]]&lt;=-1,REKAP[[#This Row],[Harga Satuan]]*REKAP[[#This Row],[Selisih]],0)</f>
        <v>0</v>
      </c>
    </row>
    <row r="1410" spans="1:20" x14ac:dyDescent="0.25">
      <c r="A1410" s="55" t="s">
        <v>2847</v>
      </c>
      <c r="B1410" s="55" t="s">
        <v>3515</v>
      </c>
      <c r="C1410" s="55" t="s">
        <v>3515</v>
      </c>
      <c r="D1410" s="56" t="s">
        <v>2279</v>
      </c>
      <c r="E1410" s="57"/>
      <c r="F1410" s="75" t="s">
        <v>247</v>
      </c>
      <c r="G1410" s="64"/>
      <c r="H1410" s="58">
        <v>412060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>
        <f>IF(REKAP[[#This Row],[Stok Aktual]]&lt;&gt;"",REKAP[[#This Row],[Stok Aktual]]-REKAP[[#This Row],[Stok Akhir]],0)</f>
        <v>0</v>
      </c>
      <c r="S1410" s="132"/>
      <c r="T1410" s="137">
        <f>IF(REKAP[[#This Row],[Selisih]]&lt;=-1,REKAP[[#This Row],[Harga Satuan]]*REKAP[[#This Row],[Selisih]],0)</f>
        <v>0</v>
      </c>
    </row>
    <row r="1411" spans="1:20" x14ac:dyDescent="0.25">
      <c r="A1411" s="55" t="s">
        <v>2848</v>
      </c>
      <c r="B1411" s="55" t="s">
        <v>3511</v>
      </c>
      <c r="C1411" s="55" t="s">
        <v>3511</v>
      </c>
      <c r="D1411" s="56" t="s">
        <v>2280</v>
      </c>
      <c r="E1411" s="57"/>
      <c r="F1411" s="75" t="s">
        <v>247</v>
      </c>
      <c r="G1411" s="64"/>
      <c r="H1411" s="58">
        <v>394060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>
        <f>IF(REKAP[[#This Row],[Stok Aktual]]&lt;&gt;"",REKAP[[#This Row],[Stok Aktual]]-REKAP[[#This Row],[Stok Akhir]],0)</f>
        <v>0</v>
      </c>
      <c r="S1411" s="132"/>
      <c r="T1411" s="137">
        <f>IF(REKAP[[#This Row],[Selisih]]&lt;=-1,REKAP[[#This Row],[Harga Satuan]]*REKAP[[#This Row],[Selisih]],0)</f>
        <v>0</v>
      </c>
    </row>
    <row r="1412" spans="1:20" x14ac:dyDescent="0.25">
      <c r="A1412" s="55" t="s">
        <v>2849</v>
      </c>
      <c r="B1412" s="55" t="s">
        <v>3511</v>
      </c>
      <c r="C1412" s="55" t="s">
        <v>3511</v>
      </c>
      <c r="D1412" s="56" t="s">
        <v>2281</v>
      </c>
      <c r="E1412" s="57"/>
      <c r="F1412" s="75" t="s">
        <v>247</v>
      </c>
      <c r="G1412" s="64"/>
      <c r="H1412" s="58">
        <v>601000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601000</v>
      </c>
      <c r="R1412" s="61">
        <f>IF(REKAP[[#This Row],[Stok Aktual]]&lt;&gt;"",REKAP[[#This Row],[Stok Aktual]]-REKAP[[#This Row],[Stok Akhir]],0)</f>
        <v>0</v>
      </c>
      <c r="S1412" s="132"/>
      <c r="T1412" s="137">
        <f>IF(REKAP[[#This Row],[Selisih]]&lt;=-1,REKAP[[#This Row],[Harga Satuan]]*REKAP[[#This Row],[Selisih]],0)</f>
        <v>0</v>
      </c>
    </row>
    <row r="1413" spans="1:20" x14ac:dyDescent="0.25">
      <c r="A1413" s="55" t="s">
        <v>2850</v>
      </c>
      <c r="B1413" s="55" t="s">
        <v>3516</v>
      </c>
      <c r="C1413" s="55" t="s">
        <v>3516</v>
      </c>
      <c r="D1413" s="56" t="s">
        <v>2282</v>
      </c>
      <c r="E1413" s="57"/>
      <c r="F1413" s="75" t="s">
        <v>247</v>
      </c>
      <c r="G1413" s="64"/>
      <c r="H1413" s="58">
        <v>350000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350000</v>
      </c>
      <c r="R1413" s="61">
        <f>IF(REKAP[[#This Row],[Stok Aktual]]&lt;&gt;"",REKAP[[#This Row],[Stok Aktual]]-REKAP[[#This Row],[Stok Akhir]],0)</f>
        <v>0</v>
      </c>
      <c r="S1413" s="132"/>
      <c r="T1413" s="137">
        <f>IF(REKAP[[#This Row],[Selisih]]&lt;=-1,REKAP[[#This Row],[Harga Satuan]]*REKAP[[#This Row],[Selisih]],0)</f>
        <v>0</v>
      </c>
    </row>
    <row r="1414" spans="1:20" x14ac:dyDescent="0.25">
      <c r="A1414" s="55" t="s">
        <v>2851</v>
      </c>
      <c r="B1414" s="55" t="s">
        <v>3517</v>
      </c>
      <c r="C1414" s="55" t="s">
        <v>3517</v>
      </c>
      <c r="D1414" s="56" t="s">
        <v>2283</v>
      </c>
      <c r="E1414" s="57"/>
      <c r="F1414" s="75" t="s">
        <v>247</v>
      </c>
      <c r="G1414" s="64" t="s">
        <v>1989</v>
      </c>
      <c r="H1414" s="58">
        <v>506000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2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2</v>
      </c>
      <c r="P1414" s="55"/>
      <c r="Q1414" s="62">
        <f>REKAP[[#This Row],[Harga Satuan]]*REKAP[[#This Row],[Stok Akhir]]</f>
        <v>1012000</v>
      </c>
      <c r="R1414" s="61">
        <f>IF(REKAP[[#This Row],[Stok Aktual]]&lt;&gt;"",REKAP[[#This Row],[Stok Aktual]]-REKAP[[#This Row],[Stok Akhir]],0)</f>
        <v>0</v>
      </c>
      <c r="S1414" s="132"/>
      <c r="T1414" s="137">
        <f>IF(REKAP[[#This Row],[Selisih]]&lt;=-1,REKAP[[#This Row],[Harga Satuan]]*REKAP[[#This Row],[Selisih]],0)</f>
        <v>0</v>
      </c>
    </row>
    <row r="1415" spans="1:20" x14ac:dyDescent="0.25">
      <c r="A1415" s="55" t="s">
        <v>2852</v>
      </c>
      <c r="B1415" s="55" t="s">
        <v>3517</v>
      </c>
      <c r="C1415" s="55" t="s">
        <v>3517</v>
      </c>
      <c r="D1415" s="56" t="s">
        <v>2284</v>
      </c>
      <c r="E1415" s="57"/>
      <c r="F1415" s="75" t="s">
        <v>247</v>
      </c>
      <c r="G1415" s="64" t="s">
        <v>1989</v>
      </c>
      <c r="H1415" s="58">
        <v>762000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762000</v>
      </c>
      <c r="R1415" s="61">
        <f>IF(REKAP[[#This Row],[Stok Aktual]]&lt;&gt;"",REKAP[[#This Row],[Stok Aktual]]-REKAP[[#This Row],[Stok Akhir]],0)</f>
        <v>0</v>
      </c>
      <c r="S1415" s="132"/>
      <c r="T1415" s="137">
        <f>IF(REKAP[[#This Row],[Selisih]]&lt;=-1,REKAP[[#This Row],[Harga Satuan]]*REKAP[[#This Row],[Selisih]],0)</f>
        <v>0</v>
      </c>
    </row>
    <row r="1416" spans="1:20" x14ac:dyDescent="0.25">
      <c r="A1416" s="55" t="s">
        <v>2853</v>
      </c>
      <c r="B1416" s="55" t="s">
        <v>3517</v>
      </c>
      <c r="C1416" s="55" t="s">
        <v>3517</v>
      </c>
      <c r="D1416" s="56" t="s">
        <v>2285</v>
      </c>
      <c r="E1416" s="57"/>
      <c r="F1416" s="75" t="s">
        <v>247</v>
      </c>
      <c r="G1416" s="64" t="s">
        <v>1989</v>
      </c>
      <c r="H1416" s="58">
        <v>1130000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0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0</v>
      </c>
      <c r="P1416" s="55"/>
      <c r="Q1416" s="62">
        <f>REKAP[[#This Row],[Harga Satuan]]*REKAP[[#This Row],[Stok Akhir]]</f>
        <v>0</v>
      </c>
      <c r="R1416" s="61">
        <f>IF(REKAP[[#This Row],[Stok Aktual]]&lt;&gt;"",REKAP[[#This Row],[Stok Aktual]]-REKAP[[#This Row],[Stok Akhir]],0)</f>
        <v>0</v>
      </c>
      <c r="S1416" s="132"/>
      <c r="T1416" s="137">
        <f>IF(REKAP[[#This Row],[Selisih]]&lt;=-1,REKAP[[#This Row],[Harga Satuan]]*REKAP[[#This Row],[Selisih]],0)</f>
        <v>0</v>
      </c>
    </row>
    <row r="1417" spans="1:20" x14ac:dyDescent="0.25">
      <c r="A1417" s="55" t="s">
        <v>2854</v>
      </c>
      <c r="B1417" s="55" t="s">
        <v>3517</v>
      </c>
      <c r="C1417" s="55" t="s">
        <v>3517</v>
      </c>
      <c r="D1417" s="56" t="s">
        <v>2286</v>
      </c>
      <c r="E1417" s="57"/>
      <c r="F1417" s="75" t="s">
        <v>247</v>
      </c>
      <c r="G1417" s="64" t="s">
        <v>1989</v>
      </c>
      <c r="H1417" s="58">
        <v>1646000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1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1</v>
      </c>
      <c r="P1417" s="55"/>
      <c r="Q1417" s="62">
        <f>REKAP[[#This Row],[Harga Satuan]]*REKAP[[#This Row],[Stok Akhir]]</f>
        <v>1646000</v>
      </c>
      <c r="R1417" s="61">
        <f>IF(REKAP[[#This Row],[Stok Aktual]]&lt;&gt;"",REKAP[[#This Row],[Stok Aktual]]-REKAP[[#This Row],[Stok Akhir]],0)</f>
        <v>0</v>
      </c>
      <c r="S1417" s="132"/>
      <c r="T1417" s="137">
        <f>IF(REKAP[[#This Row],[Selisih]]&lt;=-1,REKAP[[#This Row],[Harga Satuan]]*REKAP[[#This Row],[Selisih]],0)</f>
        <v>0</v>
      </c>
    </row>
    <row r="1418" spans="1:20" x14ac:dyDescent="0.25">
      <c r="A1418" s="55" t="s">
        <v>2855</v>
      </c>
      <c r="B1418" s="55" t="s">
        <v>3518</v>
      </c>
      <c r="C1418" s="55" t="s">
        <v>3518</v>
      </c>
      <c r="D1418" s="56" t="s">
        <v>2287</v>
      </c>
      <c r="E1418" s="57"/>
      <c r="F1418" s="75" t="s">
        <v>247</v>
      </c>
      <c r="G1418" s="64" t="s">
        <v>1985</v>
      </c>
      <c r="H1418" s="58">
        <v>371260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3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3</v>
      </c>
      <c r="P1418" s="55"/>
      <c r="Q1418" s="62">
        <f>REKAP[[#This Row],[Harga Satuan]]*REKAP[[#This Row],[Stok Akhir]]</f>
        <v>1113780</v>
      </c>
      <c r="R1418" s="61">
        <f>IF(REKAP[[#This Row],[Stok Aktual]]&lt;&gt;"",REKAP[[#This Row],[Stok Aktual]]-REKAP[[#This Row],[Stok Akhir]],0)</f>
        <v>0</v>
      </c>
      <c r="S1418" s="132"/>
      <c r="T1418" s="137">
        <f>IF(REKAP[[#This Row],[Selisih]]&lt;=-1,REKAP[[#This Row],[Harga Satuan]]*REKAP[[#This Row],[Selisih]],0)</f>
        <v>0</v>
      </c>
    </row>
    <row r="1419" spans="1:20" x14ac:dyDescent="0.25">
      <c r="A1419" s="55" t="s">
        <v>2856</v>
      </c>
      <c r="B1419" s="55" t="s">
        <v>3518</v>
      </c>
      <c r="C1419" s="55" t="s">
        <v>3518</v>
      </c>
      <c r="D1419" s="56" t="s">
        <v>2288</v>
      </c>
      <c r="E1419" s="57"/>
      <c r="F1419" s="75" t="s">
        <v>247</v>
      </c>
      <c r="G1419" s="64" t="s">
        <v>1985</v>
      </c>
      <c r="H1419" s="58">
        <v>294000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1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1</v>
      </c>
      <c r="P1419" s="55"/>
      <c r="Q1419" s="62">
        <f>REKAP[[#This Row],[Harga Satuan]]*REKAP[[#This Row],[Stok Akhir]]</f>
        <v>294000</v>
      </c>
      <c r="R1419" s="61">
        <f>IF(REKAP[[#This Row],[Stok Aktual]]&lt;&gt;"",REKAP[[#This Row],[Stok Aktual]]-REKAP[[#This Row],[Stok Akhir]],0)</f>
        <v>0</v>
      </c>
      <c r="S1419" s="132"/>
      <c r="T1419" s="137">
        <f>IF(REKAP[[#This Row],[Selisih]]&lt;=-1,REKAP[[#This Row],[Harga Satuan]]*REKAP[[#This Row],[Selisih]],0)</f>
        <v>0</v>
      </c>
    </row>
    <row r="1420" spans="1:20" x14ac:dyDescent="0.25">
      <c r="A1420" s="55" t="s">
        <v>2857</v>
      </c>
      <c r="B1420" s="55" t="s">
        <v>3518</v>
      </c>
      <c r="C1420" s="55" t="s">
        <v>3518</v>
      </c>
      <c r="D1420" s="56" t="s">
        <v>2289</v>
      </c>
      <c r="E1420" s="57"/>
      <c r="F1420" s="75" t="s">
        <v>247</v>
      </c>
      <c r="G1420" s="64" t="s">
        <v>1985</v>
      </c>
      <c r="H1420" s="58">
        <v>277800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2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2</v>
      </c>
      <c r="P1420" s="55"/>
      <c r="Q1420" s="62">
        <f>REKAP[[#This Row],[Harga Satuan]]*REKAP[[#This Row],[Stok Akhir]]</f>
        <v>555600</v>
      </c>
      <c r="R1420" s="61">
        <f>IF(REKAP[[#This Row],[Stok Aktual]]&lt;&gt;"",REKAP[[#This Row],[Stok Aktual]]-REKAP[[#This Row],[Stok Akhir]],0)</f>
        <v>0</v>
      </c>
      <c r="S1420" s="132"/>
      <c r="T1420" s="137">
        <f>IF(REKAP[[#This Row],[Selisih]]&lt;=-1,REKAP[[#This Row],[Harga Satuan]]*REKAP[[#This Row],[Selisih]],0)</f>
        <v>0</v>
      </c>
    </row>
    <row r="1421" spans="1:20" x14ac:dyDescent="0.25">
      <c r="A1421" s="55" t="s">
        <v>2858</v>
      </c>
      <c r="B1421" s="55" t="s">
        <v>3518</v>
      </c>
      <c r="C1421" s="55" t="s">
        <v>3518</v>
      </c>
      <c r="D1421" s="56" t="s">
        <v>2290</v>
      </c>
      <c r="E1421" s="57"/>
      <c r="F1421" s="75" t="s">
        <v>247</v>
      </c>
      <c r="G1421" s="64" t="s">
        <v>1985</v>
      </c>
      <c r="H1421" s="58">
        <v>210000</v>
      </c>
      <c r="I1421" s="59">
        <f>IF(COUNTIF(MASUK[Kode Barang],REKAP[[#This Row],[ID]])=0,0,COUNTIF(MASUK[Kode Barang],REKAP[[#This Row],[ID]]))</f>
        <v>1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1</v>
      </c>
      <c r="L1421" s="55">
        <v>2</v>
      </c>
      <c r="M1421" s="74">
        <f>SUMIF(MASUK!$C:$C,REKAP[[#This Row],[ID]],MASUK!$H:$H)</f>
        <v>1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3</v>
      </c>
      <c r="P1421" s="55">
        <v>3</v>
      </c>
      <c r="Q1421" s="62">
        <f>REKAP[[#This Row],[Harga Satuan]]*REKAP[[#This Row],[Stok Akhir]]</f>
        <v>630000</v>
      </c>
      <c r="R1421" s="61">
        <f>IF(REKAP[[#This Row],[Stok Aktual]]&lt;&gt;"",REKAP[[#This Row],[Stok Aktual]]-REKAP[[#This Row],[Stok Akhir]],0)</f>
        <v>0</v>
      </c>
      <c r="S1421" s="132"/>
      <c r="T1421" s="137">
        <f>IF(REKAP[[#This Row],[Selisih]]&lt;=-1,REKAP[[#This Row],[Harga Satuan]]*REKAP[[#This Row],[Selisih]],0)</f>
        <v>0</v>
      </c>
    </row>
    <row r="1422" spans="1:20" x14ac:dyDescent="0.25">
      <c r="A1422" s="55" t="s">
        <v>2859</v>
      </c>
      <c r="B1422" s="55" t="s">
        <v>3518</v>
      </c>
      <c r="C1422" s="55" t="s">
        <v>3518</v>
      </c>
      <c r="D1422" s="56" t="s">
        <v>2291</v>
      </c>
      <c r="E1422" s="57"/>
      <c r="F1422" s="75" t="s">
        <v>247</v>
      </c>
      <c r="G1422" s="64" t="s">
        <v>1985</v>
      </c>
      <c r="H1422" s="58">
        <v>228800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1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1</v>
      </c>
      <c r="P1422" s="55"/>
      <c r="Q1422" s="62">
        <f>REKAP[[#This Row],[Harga Satuan]]*REKAP[[#This Row],[Stok Akhir]]</f>
        <v>228800</v>
      </c>
      <c r="R1422" s="61">
        <f>IF(REKAP[[#This Row],[Stok Aktual]]&lt;&gt;"",REKAP[[#This Row],[Stok Aktual]]-REKAP[[#This Row],[Stok Akhir]],0)</f>
        <v>0</v>
      </c>
      <c r="S1422" s="132"/>
      <c r="T1422" s="137">
        <f>IF(REKAP[[#This Row],[Selisih]]&lt;=-1,REKAP[[#This Row],[Harga Satuan]]*REKAP[[#This Row],[Selisih]],0)</f>
        <v>0</v>
      </c>
    </row>
    <row r="1423" spans="1:20" x14ac:dyDescent="0.25">
      <c r="A1423" s="55" t="s">
        <v>2860</v>
      </c>
      <c r="B1423" s="55" t="s">
        <v>3518</v>
      </c>
      <c r="C1423" s="55" t="s">
        <v>3518</v>
      </c>
      <c r="D1423" s="56" t="s">
        <v>2292</v>
      </c>
      <c r="E1423" s="57"/>
      <c r="F1423" s="75" t="s">
        <v>247</v>
      </c>
      <c r="G1423" s="64" t="s">
        <v>1985</v>
      </c>
      <c r="H1423" s="58">
        <v>212200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2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2</v>
      </c>
      <c r="P1423" s="55"/>
      <c r="Q1423" s="62">
        <f>REKAP[[#This Row],[Harga Satuan]]*REKAP[[#This Row],[Stok Akhir]]</f>
        <v>424400</v>
      </c>
      <c r="R1423" s="61">
        <f>IF(REKAP[[#This Row],[Stok Aktual]]&lt;&gt;"",REKAP[[#This Row],[Stok Aktual]]-REKAP[[#This Row],[Stok Akhir]],0)</f>
        <v>0</v>
      </c>
      <c r="S1423" s="132"/>
      <c r="T1423" s="137">
        <f>IF(REKAP[[#This Row],[Selisih]]&lt;=-1,REKAP[[#This Row],[Harga Satuan]]*REKAP[[#This Row],[Selisih]],0)</f>
        <v>0</v>
      </c>
    </row>
    <row r="1424" spans="1:20" x14ac:dyDescent="0.25">
      <c r="A1424" s="55" t="s">
        <v>2861</v>
      </c>
      <c r="B1424" s="55" t="s">
        <v>3518</v>
      </c>
      <c r="C1424" s="55" t="s">
        <v>3518</v>
      </c>
      <c r="D1424" s="56" t="s">
        <v>2293</v>
      </c>
      <c r="E1424" s="57"/>
      <c r="F1424" s="75" t="s">
        <v>247</v>
      </c>
      <c r="G1424" s="64" t="s">
        <v>1985</v>
      </c>
      <c r="H1424" s="58">
        <v>175200</v>
      </c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1</v>
      </c>
      <c r="K1424" s="60">
        <f>REKAP[[#This Row],[Trx In]]+REKAP[[#This Row],[Trx Out]]</f>
        <v>1</v>
      </c>
      <c r="L1424" s="55">
        <v>4</v>
      </c>
      <c r="M1424" s="74">
        <f>SUMIF(MASUK!$C:$C,REKAP[[#This Row],[ID]],MASUK!$H:$H)</f>
        <v>0</v>
      </c>
      <c r="N1424" s="74">
        <f>SUMIF(KELUAR!$C:$C,REKAP[[#This Row],[ID]],KELUAR!$H:$H)</f>
        <v>1</v>
      </c>
      <c r="O1424" s="74">
        <f>REKAP[[#This Row],[Stok Awal]]+REKAP[[#This Row],[Masuk]]-REKAP[[#This Row],[Keluar]]</f>
        <v>3</v>
      </c>
      <c r="P1424" s="55">
        <v>3</v>
      </c>
      <c r="Q1424" s="62">
        <f>REKAP[[#This Row],[Harga Satuan]]*REKAP[[#This Row],[Stok Akhir]]</f>
        <v>525600</v>
      </c>
      <c r="R1424" s="61">
        <f>IF(REKAP[[#This Row],[Stok Aktual]]&lt;&gt;"",REKAP[[#This Row],[Stok Aktual]]-REKAP[[#This Row],[Stok Akhir]],0)</f>
        <v>0</v>
      </c>
      <c r="S1424" s="132"/>
      <c r="T1424" s="137">
        <f>IF(REKAP[[#This Row],[Selisih]]&lt;=-1,REKAP[[#This Row],[Harga Satuan]]*REKAP[[#This Row],[Selisih]],0)</f>
        <v>0</v>
      </c>
    </row>
    <row r="1425" spans="1:20" x14ac:dyDescent="0.25">
      <c r="A1425" s="55" t="s">
        <v>2862</v>
      </c>
      <c r="B1425" s="55" t="s">
        <v>3518</v>
      </c>
      <c r="C1425" s="55" t="s">
        <v>3518</v>
      </c>
      <c r="D1425" s="56" t="s">
        <v>2294</v>
      </c>
      <c r="E1425" s="57"/>
      <c r="F1425" s="75" t="s">
        <v>247</v>
      </c>
      <c r="G1425" s="64" t="s">
        <v>1985</v>
      </c>
      <c r="H1425" s="58">
        <v>212200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>
        <f>IF(REKAP[[#This Row],[Stok Aktual]]&lt;&gt;"",REKAP[[#This Row],[Stok Aktual]]-REKAP[[#This Row],[Stok Akhir]],0)</f>
        <v>0</v>
      </c>
      <c r="S1425" s="132"/>
      <c r="T1425" s="137">
        <f>IF(REKAP[[#This Row],[Selisih]]&lt;=-1,REKAP[[#This Row],[Harga Satuan]]*REKAP[[#This Row],[Selisih]],0)</f>
        <v>0</v>
      </c>
    </row>
    <row r="1426" spans="1:20" x14ac:dyDescent="0.25">
      <c r="A1426" s="55" t="s">
        <v>2863</v>
      </c>
      <c r="B1426" s="55" t="s">
        <v>3518</v>
      </c>
      <c r="C1426" s="55" t="s">
        <v>3518</v>
      </c>
      <c r="D1426" s="56" t="s">
        <v>2295</v>
      </c>
      <c r="E1426" s="57"/>
      <c r="F1426" s="75" t="s">
        <v>247</v>
      </c>
      <c r="G1426" s="64" t="s">
        <v>1985</v>
      </c>
      <c r="H1426" s="58">
        <v>175200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3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3</v>
      </c>
      <c r="P1426" s="55"/>
      <c r="Q1426" s="62">
        <f>REKAP[[#This Row],[Harga Satuan]]*REKAP[[#This Row],[Stok Akhir]]</f>
        <v>525600</v>
      </c>
      <c r="R1426" s="61">
        <f>IF(REKAP[[#This Row],[Stok Aktual]]&lt;&gt;"",REKAP[[#This Row],[Stok Aktual]]-REKAP[[#This Row],[Stok Akhir]],0)</f>
        <v>0</v>
      </c>
      <c r="S1426" s="132"/>
      <c r="T1426" s="137">
        <f>IF(REKAP[[#This Row],[Selisih]]&lt;=-1,REKAP[[#This Row],[Harga Satuan]]*REKAP[[#This Row],[Selisih]],0)</f>
        <v>0</v>
      </c>
    </row>
    <row r="1427" spans="1:20" x14ac:dyDescent="0.25">
      <c r="A1427" s="55" t="s">
        <v>2864</v>
      </c>
      <c r="B1427" s="55" t="s">
        <v>3518</v>
      </c>
      <c r="C1427" s="55" t="s">
        <v>3518</v>
      </c>
      <c r="D1427" s="56" t="s">
        <v>2296</v>
      </c>
      <c r="E1427" s="57"/>
      <c r="F1427" s="75" t="s">
        <v>247</v>
      </c>
      <c r="G1427" s="64" t="s">
        <v>1985</v>
      </c>
      <c r="H1427" s="58">
        <v>248000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496000</v>
      </c>
      <c r="R1427" s="61">
        <f>IF(REKAP[[#This Row],[Stok Aktual]]&lt;&gt;"",REKAP[[#This Row],[Stok Aktual]]-REKAP[[#This Row],[Stok Akhir]],0)</f>
        <v>0</v>
      </c>
      <c r="S1427" s="132"/>
      <c r="T1427" s="137">
        <f>IF(REKAP[[#This Row],[Selisih]]&lt;=-1,REKAP[[#This Row],[Harga Satuan]]*REKAP[[#This Row],[Selisih]],0)</f>
        <v>0</v>
      </c>
    </row>
    <row r="1428" spans="1:20" x14ac:dyDescent="0.25">
      <c r="A1428" s="55" t="s">
        <v>2865</v>
      </c>
      <c r="B1428" s="55" t="s">
        <v>3518</v>
      </c>
      <c r="C1428" s="55" t="s">
        <v>3518</v>
      </c>
      <c r="D1428" s="56" t="s">
        <v>2297</v>
      </c>
      <c r="E1428" s="57"/>
      <c r="F1428" s="75" t="s">
        <v>247</v>
      </c>
      <c r="G1428" s="64" t="s">
        <v>1985</v>
      </c>
      <c r="H1428" s="58">
        <v>257400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2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2</v>
      </c>
      <c r="P1428" s="55"/>
      <c r="Q1428" s="62">
        <f>REKAP[[#This Row],[Harga Satuan]]*REKAP[[#This Row],[Stok Akhir]]</f>
        <v>514800</v>
      </c>
      <c r="R1428" s="61">
        <f>IF(REKAP[[#This Row],[Stok Aktual]]&lt;&gt;"",REKAP[[#This Row],[Stok Aktual]]-REKAP[[#This Row],[Stok Akhir]],0)</f>
        <v>0</v>
      </c>
      <c r="S1428" s="132"/>
      <c r="T1428" s="137">
        <f>IF(REKAP[[#This Row],[Selisih]]&lt;=-1,REKAP[[#This Row],[Harga Satuan]]*REKAP[[#This Row],[Selisih]],0)</f>
        <v>0</v>
      </c>
    </row>
    <row r="1429" spans="1:20" x14ac:dyDescent="0.25">
      <c r="A1429" s="55" t="s">
        <v>2866</v>
      </c>
      <c r="B1429" s="55" t="s">
        <v>3518</v>
      </c>
      <c r="C1429" s="55" t="s">
        <v>3518</v>
      </c>
      <c r="D1429" s="56" t="s">
        <v>2298</v>
      </c>
      <c r="E1429" s="57"/>
      <c r="F1429" s="75" t="s">
        <v>247</v>
      </c>
      <c r="G1429" s="64" t="s">
        <v>1985</v>
      </c>
      <c r="H1429" s="58">
        <v>175200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350400</v>
      </c>
      <c r="R1429" s="61">
        <f>IF(REKAP[[#This Row],[Stok Aktual]]&lt;&gt;"",REKAP[[#This Row],[Stok Aktual]]-REKAP[[#This Row],[Stok Akhir]],0)</f>
        <v>0</v>
      </c>
      <c r="S1429" s="132"/>
      <c r="T1429" s="137">
        <f>IF(REKAP[[#This Row],[Selisih]]&lt;=-1,REKAP[[#This Row],[Harga Satuan]]*REKAP[[#This Row],[Selisih]],0)</f>
        <v>0</v>
      </c>
    </row>
    <row r="1430" spans="1:20" x14ac:dyDescent="0.25">
      <c r="A1430" s="55" t="s">
        <v>2867</v>
      </c>
      <c r="B1430" s="55" t="s">
        <v>3518</v>
      </c>
      <c r="C1430" s="55" t="s">
        <v>3518</v>
      </c>
      <c r="D1430" s="56" t="s">
        <v>2299</v>
      </c>
      <c r="E1430" s="57"/>
      <c r="F1430" s="75" t="s">
        <v>247</v>
      </c>
      <c r="G1430" s="64" t="s">
        <v>1985</v>
      </c>
      <c r="H1430" s="58">
        <v>215500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0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0</v>
      </c>
      <c r="P1430" s="55"/>
      <c r="Q1430" s="62">
        <f>REKAP[[#This Row],[Harga Satuan]]*REKAP[[#This Row],[Stok Akhir]]</f>
        <v>0</v>
      </c>
      <c r="R1430" s="61">
        <f>IF(REKAP[[#This Row],[Stok Aktual]]&lt;&gt;"",REKAP[[#This Row],[Stok Aktual]]-REKAP[[#This Row],[Stok Akhir]],0)</f>
        <v>0</v>
      </c>
      <c r="S1430" s="132"/>
      <c r="T1430" s="137">
        <f>IF(REKAP[[#This Row],[Selisih]]&lt;=-1,REKAP[[#This Row],[Harga Satuan]]*REKAP[[#This Row],[Selisih]],0)</f>
        <v>0</v>
      </c>
    </row>
    <row r="1431" spans="1:20" x14ac:dyDescent="0.25">
      <c r="A1431" s="55" t="s">
        <v>2868</v>
      </c>
      <c r="B1431" s="55" t="s">
        <v>3518</v>
      </c>
      <c r="C1431" s="55" t="s">
        <v>3518</v>
      </c>
      <c r="D1431" s="56" t="s">
        <v>2300</v>
      </c>
      <c r="E1431" s="57"/>
      <c r="F1431" s="75" t="s">
        <v>247</v>
      </c>
      <c r="G1431" s="64" t="s">
        <v>1985</v>
      </c>
      <c r="H1431" s="58">
        <v>175200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1</v>
      </c>
      <c r="K1431" s="60">
        <f>REKAP[[#This Row],[Trx In]]+REKAP[[#This Row],[Trx Out]]</f>
        <v>1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1</v>
      </c>
      <c r="O1431" s="74">
        <f>REKAP[[#This Row],[Stok Awal]]+REKAP[[#This Row],[Masuk]]-REKAP[[#This Row],[Keluar]]</f>
        <v>0</v>
      </c>
      <c r="P1431" s="55">
        <v>0</v>
      </c>
      <c r="Q1431" s="62">
        <f>REKAP[[#This Row],[Harga Satuan]]*REKAP[[#This Row],[Stok Akhir]]</f>
        <v>0</v>
      </c>
      <c r="R1431" s="61">
        <f>IF(REKAP[[#This Row],[Stok Aktual]]&lt;&gt;"",REKAP[[#This Row],[Stok Aktual]]-REKAP[[#This Row],[Stok Akhir]],0)</f>
        <v>0</v>
      </c>
      <c r="S1431" s="132"/>
      <c r="T1431" s="137">
        <f>IF(REKAP[[#This Row],[Selisih]]&lt;=-1,REKAP[[#This Row],[Harga Satuan]]*REKAP[[#This Row],[Selisih]],0)</f>
        <v>0</v>
      </c>
    </row>
    <row r="1432" spans="1:20" x14ac:dyDescent="0.25">
      <c r="A1432" s="55" t="s">
        <v>2869</v>
      </c>
      <c r="B1432" s="55" t="s">
        <v>3518</v>
      </c>
      <c r="C1432" s="55" t="s">
        <v>3518</v>
      </c>
      <c r="D1432" s="56" t="s">
        <v>2301</v>
      </c>
      <c r="E1432" s="57"/>
      <c r="F1432" s="75" t="s">
        <v>247</v>
      </c>
      <c r="G1432" s="64" t="s">
        <v>1985</v>
      </c>
      <c r="H1432" s="58">
        <v>223200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223200</v>
      </c>
      <c r="R1432" s="61">
        <f>IF(REKAP[[#This Row],[Stok Aktual]]&lt;&gt;"",REKAP[[#This Row],[Stok Aktual]]-REKAP[[#This Row],[Stok Akhir]],0)</f>
        <v>0</v>
      </c>
      <c r="S1432" s="132"/>
      <c r="T1432" s="137">
        <f>IF(REKAP[[#This Row],[Selisih]]&lt;=-1,REKAP[[#This Row],[Harga Satuan]]*REKAP[[#This Row],[Selisih]],0)</f>
        <v>0</v>
      </c>
    </row>
    <row r="1433" spans="1:20" x14ac:dyDescent="0.25">
      <c r="A1433" s="55" t="s">
        <v>2870</v>
      </c>
      <c r="B1433" s="55" t="s">
        <v>3518</v>
      </c>
      <c r="C1433" s="55" t="s">
        <v>3518</v>
      </c>
      <c r="D1433" s="56" t="s">
        <v>2302</v>
      </c>
      <c r="E1433" s="57"/>
      <c r="F1433" s="75" t="s">
        <v>247</v>
      </c>
      <c r="G1433" s="64" t="s">
        <v>1985</v>
      </c>
      <c r="H1433" s="58">
        <v>200400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2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2</v>
      </c>
      <c r="P1433" s="55"/>
      <c r="Q1433" s="62">
        <f>REKAP[[#This Row],[Harga Satuan]]*REKAP[[#This Row],[Stok Akhir]]</f>
        <v>400800</v>
      </c>
      <c r="R1433" s="61">
        <f>IF(REKAP[[#This Row],[Stok Aktual]]&lt;&gt;"",REKAP[[#This Row],[Stok Aktual]]-REKAP[[#This Row],[Stok Akhir]],0)</f>
        <v>0</v>
      </c>
      <c r="S1433" s="132"/>
      <c r="T1433" s="137">
        <f>IF(REKAP[[#This Row],[Selisih]]&lt;=-1,REKAP[[#This Row],[Harga Satuan]]*REKAP[[#This Row],[Selisih]],0)</f>
        <v>0</v>
      </c>
    </row>
    <row r="1434" spans="1:20" x14ac:dyDescent="0.25">
      <c r="A1434" s="55" t="s">
        <v>2871</v>
      </c>
      <c r="B1434" s="55" t="s">
        <v>3518</v>
      </c>
      <c r="C1434" s="55" t="s">
        <v>3518</v>
      </c>
      <c r="D1434" s="56" t="s">
        <v>2303</v>
      </c>
      <c r="E1434" s="57"/>
      <c r="F1434" s="75" t="s">
        <v>247</v>
      </c>
      <c r="G1434" s="64" t="s">
        <v>1985</v>
      </c>
      <c r="H1434" s="58">
        <v>223200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3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3</v>
      </c>
      <c r="P1434" s="55"/>
      <c r="Q1434" s="62">
        <f>REKAP[[#This Row],[Harga Satuan]]*REKAP[[#This Row],[Stok Akhir]]</f>
        <v>669600</v>
      </c>
      <c r="R1434" s="61">
        <f>IF(REKAP[[#This Row],[Stok Aktual]]&lt;&gt;"",REKAP[[#This Row],[Stok Aktual]]-REKAP[[#This Row],[Stok Akhir]],0)</f>
        <v>0</v>
      </c>
      <c r="S1434" s="132"/>
      <c r="T1434" s="137">
        <f>IF(REKAP[[#This Row],[Selisih]]&lt;=-1,REKAP[[#This Row],[Harga Satuan]]*REKAP[[#This Row],[Selisih]],0)</f>
        <v>0</v>
      </c>
    </row>
    <row r="1435" spans="1:20" x14ac:dyDescent="0.25">
      <c r="A1435" s="55" t="s">
        <v>2872</v>
      </c>
      <c r="B1435" s="55" t="s">
        <v>3518</v>
      </c>
      <c r="C1435" s="55" t="s">
        <v>3518</v>
      </c>
      <c r="D1435" s="56" t="s">
        <v>2304</v>
      </c>
      <c r="E1435" s="57"/>
      <c r="F1435" s="75" t="s">
        <v>247</v>
      </c>
      <c r="G1435" s="64" t="s">
        <v>1985</v>
      </c>
      <c r="H1435" s="58">
        <v>274800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3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3</v>
      </c>
      <c r="P1435" s="55"/>
      <c r="Q1435" s="62">
        <f>REKAP[[#This Row],[Harga Satuan]]*REKAP[[#This Row],[Stok Akhir]]</f>
        <v>824400</v>
      </c>
      <c r="R1435" s="61">
        <f>IF(REKAP[[#This Row],[Stok Aktual]]&lt;&gt;"",REKAP[[#This Row],[Stok Aktual]]-REKAP[[#This Row],[Stok Akhir]],0)</f>
        <v>0</v>
      </c>
      <c r="S1435" s="132"/>
      <c r="T1435" s="137">
        <f>IF(REKAP[[#This Row],[Selisih]]&lt;=-1,REKAP[[#This Row],[Harga Satuan]]*REKAP[[#This Row],[Selisih]],0)</f>
        <v>0</v>
      </c>
    </row>
    <row r="1436" spans="1:20" x14ac:dyDescent="0.25">
      <c r="A1436" s="55" t="s">
        <v>2873</v>
      </c>
      <c r="B1436" s="55" t="s">
        <v>3518</v>
      </c>
      <c r="C1436" s="55" t="s">
        <v>3518</v>
      </c>
      <c r="D1436" s="56" t="s">
        <v>2305</v>
      </c>
      <c r="E1436" s="57"/>
      <c r="F1436" s="75" t="s">
        <v>247</v>
      </c>
      <c r="G1436" s="64" t="s">
        <v>1985</v>
      </c>
      <c r="H1436" s="58">
        <v>318500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2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2</v>
      </c>
      <c r="P1436" s="55"/>
      <c r="Q1436" s="62">
        <f>REKAP[[#This Row],[Harga Satuan]]*REKAP[[#This Row],[Stok Akhir]]</f>
        <v>637000</v>
      </c>
      <c r="R1436" s="61">
        <f>IF(REKAP[[#This Row],[Stok Aktual]]&lt;&gt;"",REKAP[[#This Row],[Stok Aktual]]-REKAP[[#This Row],[Stok Akhir]],0)</f>
        <v>0</v>
      </c>
      <c r="S1436" s="132"/>
      <c r="T1436" s="137">
        <f>IF(REKAP[[#This Row],[Selisih]]&lt;=-1,REKAP[[#This Row],[Harga Satuan]]*REKAP[[#This Row],[Selisih]],0)</f>
        <v>0</v>
      </c>
    </row>
    <row r="1437" spans="1:20" x14ac:dyDescent="0.25">
      <c r="A1437" s="55" t="s">
        <v>2874</v>
      </c>
      <c r="B1437" s="55" t="s">
        <v>3518</v>
      </c>
      <c r="C1437" s="55" t="s">
        <v>3518</v>
      </c>
      <c r="D1437" s="56" t="s">
        <v>2306</v>
      </c>
      <c r="E1437" s="57"/>
      <c r="F1437" s="75" t="s">
        <v>247</v>
      </c>
      <c r="G1437" s="64" t="s">
        <v>1985</v>
      </c>
      <c r="H1437" s="58">
        <v>308000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>
        <f>IF(REKAP[[#This Row],[Stok Aktual]]&lt;&gt;"",REKAP[[#This Row],[Stok Aktual]]-REKAP[[#This Row],[Stok Akhir]],0)</f>
        <v>0</v>
      </c>
      <c r="S1437" s="132"/>
      <c r="T1437" s="137">
        <f>IF(REKAP[[#This Row],[Selisih]]&lt;=-1,REKAP[[#This Row],[Harga Satuan]]*REKAP[[#This Row],[Selisih]],0)</f>
        <v>0</v>
      </c>
    </row>
    <row r="1438" spans="1:20" x14ac:dyDescent="0.25">
      <c r="A1438" s="55" t="s">
        <v>2875</v>
      </c>
      <c r="B1438" s="55" t="s">
        <v>3518</v>
      </c>
      <c r="C1438" s="55" t="s">
        <v>3518</v>
      </c>
      <c r="D1438" s="56" t="s">
        <v>2307</v>
      </c>
      <c r="E1438" s="57"/>
      <c r="F1438" s="75" t="s">
        <v>247</v>
      </c>
      <c r="G1438" s="64" t="s">
        <v>1985</v>
      </c>
      <c r="H1438" s="58">
        <v>244800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1</v>
      </c>
      <c r="K1438" s="60">
        <f>REKAP[[#This Row],[Trx In]]+REKAP[[#This Row],[Trx Out]]</f>
        <v>1</v>
      </c>
      <c r="L1438" s="55">
        <v>4</v>
      </c>
      <c r="M1438" s="74">
        <f>SUMIF(MASUK!$C:$C,REKAP[[#This Row],[ID]],MASUK!$H:$H)</f>
        <v>0</v>
      </c>
      <c r="N1438" s="74">
        <f>SUMIF(KELUAR!$C:$C,REKAP[[#This Row],[ID]],KELUAR!$H:$H)</f>
        <v>1</v>
      </c>
      <c r="O1438" s="74">
        <f>REKAP[[#This Row],[Stok Awal]]+REKAP[[#This Row],[Masuk]]-REKAP[[#This Row],[Keluar]]</f>
        <v>3</v>
      </c>
      <c r="P1438" s="55">
        <v>3</v>
      </c>
      <c r="Q1438" s="62">
        <f>REKAP[[#This Row],[Harga Satuan]]*REKAP[[#This Row],[Stok Akhir]]</f>
        <v>734400</v>
      </c>
      <c r="R1438" s="61">
        <f>IF(REKAP[[#This Row],[Stok Aktual]]&lt;&gt;"",REKAP[[#This Row],[Stok Aktual]]-REKAP[[#This Row],[Stok Akhir]],0)</f>
        <v>0</v>
      </c>
      <c r="S1438" s="132"/>
      <c r="T1438" s="137">
        <f>IF(REKAP[[#This Row],[Selisih]]&lt;=-1,REKAP[[#This Row],[Harga Satuan]]*REKAP[[#This Row],[Selisih]],0)</f>
        <v>0</v>
      </c>
    </row>
    <row r="1439" spans="1:20" x14ac:dyDescent="0.25">
      <c r="A1439" s="55" t="s">
        <v>2876</v>
      </c>
      <c r="B1439" s="55" t="s">
        <v>3518</v>
      </c>
      <c r="C1439" s="55" t="s">
        <v>3518</v>
      </c>
      <c r="D1439" s="56" t="s">
        <v>2308</v>
      </c>
      <c r="E1439" s="57"/>
      <c r="F1439" s="75" t="s">
        <v>247</v>
      </c>
      <c r="G1439" s="64" t="s">
        <v>1985</v>
      </c>
      <c r="H1439" s="58">
        <v>308000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308000</v>
      </c>
      <c r="R1439" s="61">
        <f>IF(REKAP[[#This Row],[Stok Aktual]]&lt;&gt;"",REKAP[[#This Row],[Stok Aktual]]-REKAP[[#This Row],[Stok Akhir]],0)</f>
        <v>0</v>
      </c>
      <c r="S1439" s="132"/>
      <c r="T1439" s="137">
        <f>IF(REKAP[[#This Row],[Selisih]]&lt;=-1,REKAP[[#This Row],[Harga Satuan]]*REKAP[[#This Row],[Selisih]],0)</f>
        <v>0</v>
      </c>
    </row>
    <row r="1440" spans="1:20" x14ac:dyDescent="0.25">
      <c r="A1440" s="55" t="s">
        <v>2877</v>
      </c>
      <c r="B1440" s="55" t="s">
        <v>3518</v>
      </c>
      <c r="C1440" s="55" t="s">
        <v>3518</v>
      </c>
      <c r="D1440" s="56" t="s">
        <v>2309</v>
      </c>
      <c r="E1440" s="57"/>
      <c r="F1440" s="75" t="s">
        <v>247</v>
      </c>
      <c r="G1440" s="64" t="s">
        <v>1985</v>
      </c>
      <c r="H1440" s="58">
        <v>244800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3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3</v>
      </c>
      <c r="P1440" s="55"/>
      <c r="Q1440" s="62">
        <f>REKAP[[#This Row],[Harga Satuan]]*REKAP[[#This Row],[Stok Akhir]]</f>
        <v>734400</v>
      </c>
      <c r="R1440" s="61">
        <f>IF(REKAP[[#This Row],[Stok Aktual]]&lt;&gt;"",REKAP[[#This Row],[Stok Aktual]]-REKAP[[#This Row],[Stok Akhir]],0)</f>
        <v>0</v>
      </c>
      <c r="S1440" s="132"/>
      <c r="T1440" s="137">
        <f>IF(REKAP[[#This Row],[Selisih]]&lt;=-1,REKAP[[#This Row],[Harga Satuan]]*REKAP[[#This Row],[Selisih]],0)</f>
        <v>0</v>
      </c>
    </row>
    <row r="1441" spans="1:20" x14ac:dyDescent="0.25">
      <c r="A1441" s="55" t="s">
        <v>2878</v>
      </c>
      <c r="B1441" s="55" t="s">
        <v>3518</v>
      </c>
      <c r="C1441" s="55" t="s">
        <v>3518</v>
      </c>
      <c r="D1441" s="56" t="s">
        <v>2310</v>
      </c>
      <c r="E1441" s="57"/>
      <c r="F1441" s="75" t="s">
        <v>247</v>
      </c>
      <c r="G1441" s="64" t="s">
        <v>1985</v>
      </c>
      <c r="H1441" s="58">
        <v>368800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>
        <f>IF(REKAP[[#This Row],[Stok Aktual]]&lt;&gt;"",REKAP[[#This Row],[Stok Aktual]]-REKAP[[#This Row],[Stok Akhir]],0)</f>
        <v>0</v>
      </c>
      <c r="S1441" s="132"/>
      <c r="T1441" s="137">
        <f>IF(REKAP[[#This Row],[Selisih]]&lt;=-1,REKAP[[#This Row],[Harga Satuan]]*REKAP[[#This Row],[Selisih]],0)</f>
        <v>0</v>
      </c>
    </row>
    <row r="1442" spans="1:20" x14ac:dyDescent="0.25">
      <c r="A1442" s="55" t="s">
        <v>2879</v>
      </c>
      <c r="B1442" s="55" t="s">
        <v>3518</v>
      </c>
      <c r="C1442" s="55" t="s">
        <v>3518</v>
      </c>
      <c r="D1442" s="56" t="s">
        <v>2311</v>
      </c>
      <c r="E1442" s="57"/>
      <c r="F1442" s="75" t="s">
        <v>247</v>
      </c>
      <c r="G1442" s="64" t="s">
        <v>1985</v>
      </c>
      <c r="H1442" s="58">
        <v>377400</v>
      </c>
      <c r="I1442" s="59">
        <f>IF(COUNTIF(MASUK[Kode Barang],REKAP[[#This Row],[ID]])=0,0,COUNTIF(MASUK[Kode Barang],REKAP[[#This Row],[ID]]))</f>
        <v>1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1</v>
      </c>
      <c r="L1442" s="55">
        <v>1</v>
      </c>
      <c r="M1442" s="74">
        <f>SUMIF(MASUK!$C:$C,REKAP[[#This Row],[ID]],MASUK!$H:$H)</f>
        <v>1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2</v>
      </c>
      <c r="P1442" s="55">
        <v>2</v>
      </c>
      <c r="Q1442" s="62">
        <f>REKAP[[#This Row],[Harga Satuan]]*REKAP[[#This Row],[Stok Akhir]]</f>
        <v>754800</v>
      </c>
      <c r="R1442" s="61">
        <f>IF(REKAP[[#This Row],[Stok Aktual]]&lt;&gt;"",REKAP[[#This Row],[Stok Aktual]]-REKAP[[#This Row],[Stok Akhir]],0)</f>
        <v>0</v>
      </c>
      <c r="S1442" s="132"/>
      <c r="T1442" s="137">
        <f>IF(REKAP[[#This Row],[Selisih]]&lt;=-1,REKAP[[#This Row],[Harga Satuan]]*REKAP[[#This Row],[Selisih]],0)</f>
        <v>0</v>
      </c>
    </row>
    <row r="1443" spans="1:20" x14ac:dyDescent="0.25">
      <c r="A1443" s="55" t="s">
        <v>2880</v>
      </c>
      <c r="B1443" s="55" t="s">
        <v>3518</v>
      </c>
      <c r="C1443" s="55" t="s">
        <v>3518</v>
      </c>
      <c r="D1443" s="56" t="s">
        <v>2312</v>
      </c>
      <c r="E1443" s="57"/>
      <c r="F1443" s="75" t="s">
        <v>247</v>
      </c>
      <c r="G1443" s="64" t="s">
        <v>1985</v>
      </c>
      <c r="H1443" s="58">
        <v>485900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0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0</v>
      </c>
      <c r="P1443" s="55"/>
      <c r="Q1443" s="62">
        <f>REKAP[[#This Row],[Harga Satuan]]*REKAP[[#This Row],[Stok Akhir]]</f>
        <v>0</v>
      </c>
      <c r="R1443" s="61">
        <f>IF(REKAP[[#This Row],[Stok Aktual]]&lt;&gt;"",REKAP[[#This Row],[Stok Aktual]]-REKAP[[#This Row],[Stok Akhir]],0)</f>
        <v>0</v>
      </c>
      <c r="S1443" s="132"/>
      <c r="T1443" s="137">
        <f>IF(REKAP[[#This Row],[Selisih]]&lt;=-1,REKAP[[#This Row],[Harga Satuan]]*REKAP[[#This Row],[Selisih]],0)</f>
        <v>0</v>
      </c>
    </row>
    <row r="1444" spans="1:20" x14ac:dyDescent="0.25">
      <c r="A1444" s="55" t="s">
        <v>2881</v>
      </c>
      <c r="B1444" s="55" t="s">
        <v>3518</v>
      </c>
      <c r="C1444" s="55" t="s">
        <v>3518</v>
      </c>
      <c r="D1444" s="56" t="s">
        <v>2313</v>
      </c>
      <c r="E1444" s="57"/>
      <c r="F1444" s="75" t="s">
        <v>247</v>
      </c>
      <c r="G1444" s="64" t="s">
        <v>1985</v>
      </c>
      <c r="H1444" s="58">
        <v>462600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5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5</v>
      </c>
      <c r="P1444" s="55"/>
      <c r="Q1444" s="62">
        <f>REKAP[[#This Row],[Harga Satuan]]*REKAP[[#This Row],[Stok Akhir]]</f>
        <v>2313000</v>
      </c>
      <c r="R1444" s="61">
        <f>IF(REKAP[[#This Row],[Stok Aktual]]&lt;&gt;"",REKAP[[#This Row],[Stok Aktual]]-REKAP[[#This Row],[Stok Akhir]],0)</f>
        <v>0</v>
      </c>
      <c r="S1444" s="132"/>
      <c r="T1444" s="137">
        <f>IF(REKAP[[#This Row],[Selisih]]&lt;=-1,REKAP[[#This Row],[Harga Satuan]]*REKAP[[#This Row],[Selisih]],0)</f>
        <v>0</v>
      </c>
    </row>
    <row r="1445" spans="1:20" x14ac:dyDescent="0.25">
      <c r="A1445" s="55" t="s">
        <v>2882</v>
      </c>
      <c r="B1445" s="55" t="s">
        <v>3518</v>
      </c>
      <c r="C1445" s="55" t="s">
        <v>3518</v>
      </c>
      <c r="D1445" s="56" t="s">
        <v>2314</v>
      </c>
      <c r="E1445" s="57"/>
      <c r="F1445" s="75" t="s">
        <v>247</v>
      </c>
      <c r="G1445" s="64" t="s">
        <v>1985</v>
      </c>
      <c r="H1445" s="58">
        <v>353700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0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0</v>
      </c>
      <c r="P1445" s="55"/>
      <c r="Q1445" s="62">
        <f>REKAP[[#This Row],[Harga Satuan]]*REKAP[[#This Row],[Stok Akhir]]</f>
        <v>0</v>
      </c>
      <c r="R1445" s="61">
        <f>IF(REKAP[[#This Row],[Stok Aktual]]&lt;&gt;"",REKAP[[#This Row],[Stok Aktual]]-REKAP[[#This Row],[Stok Akhir]],0)</f>
        <v>0</v>
      </c>
      <c r="S1445" s="132"/>
      <c r="T1445" s="137">
        <f>IF(REKAP[[#This Row],[Selisih]]&lt;=-1,REKAP[[#This Row],[Harga Satuan]]*REKAP[[#This Row],[Selisih]],0)</f>
        <v>0</v>
      </c>
    </row>
    <row r="1446" spans="1:20" x14ac:dyDescent="0.25">
      <c r="A1446" s="55" t="s">
        <v>2883</v>
      </c>
      <c r="B1446" s="55" t="s">
        <v>3518</v>
      </c>
      <c r="C1446" s="55" t="s">
        <v>3518</v>
      </c>
      <c r="D1446" s="56" t="s">
        <v>2315</v>
      </c>
      <c r="E1446" s="57"/>
      <c r="F1446" s="75" t="s">
        <v>247</v>
      </c>
      <c r="G1446" s="64" t="s">
        <v>1985</v>
      </c>
      <c r="H1446" s="58">
        <v>276000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552000</v>
      </c>
      <c r="R1446" s="61">
        <f>IF(REKAP[[#This Row],[Stok Aktual]]&lt;&gt;"",REKAP[[#This Row],[Stok Aktual]]-REKAP[[#This Row],[Stok Akhir]],0)</f>
        <v>0</v>
      </c>
      <c r="S1446" s="132"/>
      <c r="T1446" s="137">
        <f>IF(REKAP[[#This Row],[Selisih]]&lt;=-1,REKAP[[#This Row],[Harga Satuan]]*REKAP[[#This Row],[Selisih]],0)</f>
        <v>0</v>
      </c>
    </row>
    <row r="1447" spans="1:20" x14ac:dyDescent="0.25">
      <c r="A1447" s="55" t="s">
        <v>2884</v>
      </c>
      <c r="B1447" s="55" t="s">
        <v>3518</v>
      </c>
      <c r="C1447" s="55" t="s">
        <v>3518</v>
      </c>
      <c r="D1447" s="56" t="s">
        <v>2316</v>
      </c>
      <c r="E1447" s="57"/>
      <c r="F1447" s="75" t="s">
        <v>247</v>
      </c>
      <c r="G1447" s="64" t="s">
        <v>1985</v>
      </c>
      <c r="H1447" s="58">
        <v>353700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>
        <f>IF(REKAP[[#This Row],[Stok Aktual]]&lt;&gt;"",REKAP[[#This Row],[Stok Aktual]]-REKAP[[#This Row],[Stok Akhir]],0)</f>
        <v>0</v>
      </c>
      <c r="S1447" s="132"/>
      <c r="T1447" s="137">
        <f>IF(REKAP[[#This Row],[Selisih]]&lt;=-1,REKAP[[#This Row],[Harga Satuan]]*REKAP[[#This Row],[Selisih]],0)</f>
        <v>0</v>
      </c>
    </row>
    <row r="1448" spans="1:20" x14ac:dyDescent="0.25">
      <c r="A1448" s="55" t="s">
        <v>2885</v>
      </c>
      <c r="B1448" s="55" t="s">
        <v>3518</v>
      </c>
      <c r="C1448" s="55" t="s">
        <v>3518</v>
      </c>
      <c r="D1448" s="56" t="s">
        <v>2317</v>
      </c>
      <c r="E1448" s="57"/>
      <c r="F1448" s="75" t="s">
        <v>247</v>
      </c>
      <c r="G1448" s="64" t="s">
        <v>1985</v>
      </c>
      <c r="H1448" s="58">
        <v>276000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1</v>
      </c>
      <c r="K1448" s="60">
        <f>REKAP[[#This Row],[Trx In]]+REKAP[[#This Row],[Trx Out]]</f>
        <v>1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1</v>
      </c>
      <c r="O1448" s="74">
        <f>REKAP[[#This Row],[Stok Awal]]+REKAP[[#This Row],[Masuk]]-REKAP[[#This Row],[Keluar]]</f>
        <v>2</v>
      </c>
      <c r="P1448" s="55">
        <v>2</v>
      </c>
      <c r="Q1448" s="62">
        <f>REKAP[[#This Row],[Harga Satuan]]*REKAP[[#This Row],[Stok Akhir]]</f>
        <v>552000</v>
      </c>
      <c r="R1448" s="61">
        <f>IF(REKAP[[#This Row],[Stok Aktual]]&lt;&gt;"",REKAP[[#This Row],[Stok Aktual]]-REKAP[[#This Row],[Stok Akhir]],0)</f>
        <v>0</v>
      </c>
      <c r="S1448" s="132"/>
      <c r="T1448" s="137">
        <f>IF(REKAP[[#This Row],[Selisih]]&lt;=-1,REKAP[[#This Row],[Harga Satuan]]*REKAP[[#This Row],[Selisih]],0)</f>
        <v>0</v>
      </c>
    </row>
    <row r="1449" spans="1:20" x14ac:dyDescent="0.25">
      <c r="A1449" s="55" t="s">
        <v>2886</v>
      </c>
      <c r="B1449" s="55" t="s">
        <v>3518</v>
      </c>
      <c r="C1449" s="55" t="s">
        <v>3518</v>
      </c>
      <c r="D1449" s="56" t="s">
        <v>2318</v>
      </c>
      <c r="E1449" s="57"/>
      <c r="F1449" s="75" t="s">
        <v>247</v>
      </c>
      <c r="G1449" s="64" t="s">
        <v>1985</v>
      </c>
      <c r="H1449" s="58">
        <v>351600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3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3</v>
      </c>
      <c r="P1449" s="55"/>
      <c r="Q1449" s="62">
        <f>REKAP[[#This Row],[Harga Satuan]]*REKAP[[#This Row],[Stok Akhir]]</f>
        <v>1054800</v>
      </c>
      <c r="R1449" s="61">
        <f>IF(REKAP[[#This Row],[Stok Aktual]]&lt;&gt;"",REKAP[[#This Row],[Stok Aktual]]-REKAP[[#This Row],[Stok Akhir]],0)</f>
        <v>0</v>
      </c>
      <c r="S1449" s="132"/>
      <c r="T1449" s="137">
        <f>IF(REKAP[[#This Row],[Selisih]]&lt;=-1,REKAP[[#This Row],[Harga Satuan]]*REKAP[[#This Row],[Selisih]],0)</f>
        <v>0</v>
      </c>
    </row>
    <row r="1450" spans="1:20" x14ac:dyDescent="0.25">
      <c r="A1450" s="55" t="s">
        <v>2887</v>
      </c>
      <c r="B1450" s="55" t="s">
        <v>3518</v>
      </c>
      <c r="C1450" s="55" t="s">
        <v>3518</v>
      </c>
      <c r="D1450" s="56" t="s">
        <v>3728</v>
      </c>
      <c r="E1450" s="57"/>
      <c r="F1450" s="75" t="s">
        <v>247</v>
      </c>
      <c r="G1450" s="64" t="s">
        <v>1985</v>
      </c>
      <c r="H1450" s="58">
        <v>570000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1</v>
      </c>
      <c r="K1450" s="60">
        <f>REKAP[[#This Row],[Trx In]]+REKAP[[#This Row],[Trx Out]]</f>
        <v>1</v>
      </c>
      <c r="L1450" s="55">
        <v>1</v>
      </c>
      <c r="M1450" s="74">
        <f>SUMIF(MASUK!$C:$C,REKAP[[#This Row],[ID]],MASUK!$H:$H)</f>
        <v>0</v>
      </c>
      <c r="N1450" s="74">
        <f>SUMIF(KELUAR!$C:$C,REKAP[[#This Row],[ID]],KELUAR!$H:$H)</f>
        <v>1</v>
      </c>
      <c r="O1450" s="74">
        <f>REKAP[[#This Row],[Stok Awal]]+REKAP[[#This Row],[Masuk]]-REKAP[[#This Row],[Keluar]]</f>
        <v>0</v>
      </c>
      <c r="P1450" s="55">
        <v>4</v>
      </c>
      <c r="Q1450" s="62">
        <f>REKAP[[#This Row],[Harga Satuan]]*REKAP[[#This Row],[Stok Akhir]]</f>
        <v>0</v>
      </c>
      <c r="R1450" s="61">
        <f>IF(REKAP[[#This Row],[Stok Aktual]]&lt;&gt;"",REKAP[[#This Row],[Stok Aktual]]-REKAP[[#This Row],[Stok Akhir]],0)</f>
        <v>4</v>
      </c>
      <c r="S1450" s="132"/>
      <c r="T1450" s="137">
        <f>IF(REKAP[[#This Row],[Selisih]]&lt;=-1,REKAP[[#This Row],[Harga Satuan]]*REKAP[[#This Row],[Selisih]],0)</f>
        <v>0</v>
      </c>
    </row>
    <row r="1451" spans="1:20" x14ac:dyDescent="0.25">
      <c r="A1451" s="55" t="s">
        <v>2888</v>
      </c>
      <c r="B1451" s="55" t="s">
        <v>3518</v>
      </c>
      <c r="C1451" s="55" t="s">
        <v>3518</v>
      </c>
      <c r="D1451" s="56" t="s">
        <v>2319</v>
      </c>
      <c r="E1451" s="57"/>
      <c r="F1451" s="75" t="s">
        <v>247</v>
      </c>
      <c r="G1451" s="64" t="s">
        <v>1985</v>
      </c>
      <c r="H1451" s="58">
        <v>558300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558300</v>
      </c>
      <c r="R1451" s="61">
        <f>IF(REKAP[[#This Row],[Stok Aktual]]&lt;&gt;"",REKAP[[#This Row],[Stok Aktual]]-REKAP[[#This Row],[Stok Akhir]],0)</f>
        <v>0</v>
      </c>
      <c r="S1451" s="132"/>
      <c r="T1451" s="137">
        <f>IF(REKAP[[#This Row],[Selisih]]&lt;=-1,REKAP[[#This Row],[Harga Satuan]]*REKAP[[#This Row],[Selisih]],0)</f>
        <v>0</v>
      </c>
    </row>
    <row r="1452" spans="1:20" x14ac:dyDescent="0.25">
      <c r="A1452" s="55" t="s">
        <v>2889</v>
      </c>
      <c r="B1452" s="55" t="s">
        <v>3518</v>
      </c>
      <c r="C1452" s="55" t="s">
        <v>3518</v>
      </c>
      <c r="D1452" s="56" t="s">
        <v>2320</v>
      </c>
      <c r="E1452" s="57"/>
      <c r="F1452" s="75" t="s">
        <v>247</v>
      </c>
      <c r="G1452" s="64" t="s">
        <v>1985</v>
      </c>
      <c r="H1452" s="58">
        <v>570000</v>
      </c>
      <c r="I1452" s="59">
        <f>IF(COUNTIF(MASUK[Kode Barang],REKAP[[#This Row],[ID]])=0,0,COUNTIF(MASUK[Kode Barang],REKAP[[#This Row],[ID]]))</f>
        <v>1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1</v>
      </c>
      <c r="L1452" s="55">
        <v>1</v>
      </c>
      <c r="M1452" s="74">
        <f>SUMIF(MASUK!$C:$C,REKAP[[#This Row],[ID]],MASUK!$H:$H)</f>
        <v>2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3</v>
      </c>
      <c r="P1452" s="55">
        <v>3</v>
      </c>
      <c r="Q1452" s="62">
        <f>REKAP[[#This Row],[Harga Satuan]]*REKAP[[#This Row],[Stok Akhir]]</f>
        <v>1710000</v>
      </c>
      <c r="R1452" s="61">
        <f>IF(REKAP[[#This Row],[Stok Aktual]]&lt;&gt;"",REKAP[[#This Row],[Stok Aktual]]-REKAP[[#This Row],[Stok Akhir]],0)</f>
        <v>0</v>
      </c>
      <c r="S1452" s="132"/>
      <c r="T1452" s="137">
        <f>IF(REKAP[[#This Row],[Selisih]]&lt;=-1,REKAP[[#This Row],[Harga Satuan]]*REKAP[[#This Row],[Selisih]],0)</f>
        <v>0</v>
      </c>
    </row>
    <row r="1453" spans="1:20" x14ac:dyDescent="0.25">
      <c r="A1453" s="55" t="s">
        <v>2890</v>
      </c>
      <c r="B1453" s="55" t="s">
        <v>3518</v>
      </c>
      <c r="C1453" s="55" t="s">
        <v>3518</v>
      </c>
      <c r="D1453" s="56" t="s">
        <v>2321</v>
      </c>
      <c r="E1453" s="57"/>
      <c r="F1453" s="75" t="s">
        <v>247</v>
      </c>
      <c r="G1453" s="64" t="s">
        <v>1985</v>
      </c>
      <c r="H1453" s="58">
        <v>377400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377400</v>
      </c>
      <c r="R1453" s="61">
        <f>IF(REKAP[[#This Row],[Stok Aktual]]&lt;&gt;"",REKAP[[#This Row],[Stok Aktual]]-REKAP[[#This Row],[Stok Akhir]],0)</f>
        <v>0</v>
      </c>
      <c r="S1453" s="132"/>
      <c r="T1453" s="137">
        <f>IF(REKAP[[#This Row],[Selisih]]&lt;=-1,REKAP[[#This Row],[Harga Satuan]]*REKAP[[#This Row],[Selisih]],0)</f>
        <v>0</v>
      </c>
    </row>
    <row r="1454" spans="1:20" x14ac:dyDescent="0.25">
      <c r="A1454" s="55" t="s">
        <v>2891</v>
      </c>
      <c r="B1454" s="55" t="s">
        <v>3518</v>
      </c>
      <c r="C1454" s="55" t="s">
        <v>3518</v>
      </c>
      <c r="D1454" s="56" t="s">
        <v>2322</v>
      </c>
      <c r="E1454" s="57"/>
      <c r="F1454" s="75" t="s">
        <v>247</v>
      </c>
      <c r="G1454" s="64" t="s">
        <v>1985</v>
      </c>
      <c r="H1454" s="58">
        <v>748000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1496000</v>
      </c>
      <c r="R1454" s="61">
        <f>IF(REKAP[[#This Row],[Stok Aktual]]&lt;&gt;"",REKAP[[#This Row],[Stok Aktual]]-REKAP[[#This Row],[Stok Akhir]],0)</f>
        <v>0</v>
      </c>
      <c r="S1454" s="132"/>
      <c r="T1454" s="137">
        <f>IF(REKAP[[#This Row],[Selisih]]&lt;=-1,REKAP[[#This Row],[Harga Satuan]]*REKAP[[#This Row],[Selisih]],0)</f>
        <v>0</v>
      </c>
    </row>
    <row r="1455" spans="1:20" x14ac:dyDescent="0.25">
      <c r="A1455" s="55" t="s">
        <v>2892</v>
      </c>
      <c r="B1455" s="55" t="s">
        <v>3518</v>
      </c>
      <c r="C1455" s="55" t="s">
        <v>3518</v>
      </c>
      <c r="D1455" s="56" t="s">
        <v>2323</v>
      </c>
      <c r="E1455" s="57"/>
      <c r="F1455" s="75" t="s">
        <v>247</v>
      </c>
      <c r="G1455" s="64" t="s">
        <v>1985</v>
      </c>
      <c r="H1455" s="58">
        <v>594150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0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0</v>
      </c>
      <c r="P1455" s="55"/>
      <c r="Q1455" s="62">
        <f>REKAP[[#This Row],[Harga Satuan]]*REKAP[[#This Row],[Stok Akhir]]</f>
        <v>0</v>
      </c>
      <c r="R1455" s="61">
        <f>IF(REKAP[[#This Row],[Stok Aktual]]&lt;&gt;"",REKAP[[#This Row],[Stok Aktual]]-REKAP[[#This Row],[Stok Akhir]],0)</f>
        <v>0</v>
      </c>
      <c r="S1455" s="132"/>
      <c r="T1455" s="137">
        <f>IF(REKAP[[#This Row],[Selisih]]&lt;=-1,REKAP[[#This Row],[Harga Satuan]]*REKAP[[#This Row],[Selisih]],0)</f>
        <v>0</v>
      </c>
    </row>
    <row r="1456" spans="1:20" x14ac:dyDescent="0.25">
      <c r="A1456" s="55" t="s">
        <v>2893</v>
      </c>
      <c r="B1456" s="55" t="s">
        <v>3518</v>
      </c>
      <c r="C1456" s="55" t="s">
        <v>3518</v>
      </c>
      <c r="D1456" s="56" t="s">
        <v>2324</v>
      </c>
      <c r="E1456" s="57"/>
      <c r="F1456" s="75" t="s">
        <v>247</v>
      </c>
      <c r="G1456" s="64" t="s">
        <v>1985</v>
      </c>
      <c r="H1456" s="58">
        <v>589800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1769400</v>
      </c>
      <c r="R1456" s="61">
        <f>IF(REKAP[[#This Row],[Stok Aktual]]&lt;&gt;"",REKAP[[#This Row],[Stok Aktual]]-REKAP[[#This Row],[Stok Akhir]],0)</f>
        <v>0</v>
      </c>
      <c r="S1456" s="132"/>
      <c r="T1456" s="137">
        <f>IF(REKAP[[#This Row],[Selisih]]&lt;=-1,REKAP[[#This Row],[Harga Satuan]]*REKAP[[#This Row],[Selisih]],0)</f>
        <v>0</v>
      </c>
    </row>
    <row r="1457" spans="1:20" x14ac:dyDescent="0.25">
      <c r="A1457" s="55" t="s">
        <v>2894</v>
      </c>
      <c r="B1457" s="55" t="s">
        <v>3518</v>
      </c>
      <c r="C1457" s="55" t="s">
        <v>3518</v>
      </c>
      <c r="D1457" s="56" t="s">
        <v>2325</v>
      </c>
      <c r="E1457" s="57"/>
      <c r="F1457" s="75" t="s">
        <v>247</v>
      </c>
      <c r="G1457" s="64" t="s">
        <v>1985</v>
      </c>
      <c r="H1457" s="58">
        <v>527200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3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3</v>
      </c>
      <c r="P1457" s="55"/>
      <c r="Q1457" s="62">
        <f>REKAP[[#This Row],[Harga Satuan]]*REKAP[[#This Row],[Stok Akhir]]</f>
        <v>1581600</v>
      </c>
      <c r="R1457" s="61">
        <f>IF(REKAP[[#This Row],[Stok Aktual]]&lt;&gt;"",REKAP[[#This Row],[Stok Aktual]]-REKAP[[#This Row],[Stok Akhir]],0)</f>
        <v>0</v>
      </c>
      <c r="S1457" s="132"/>
      <c r="T1457" s="137">
        <f>IF(REKAP[[#This Row],[Selisih]]&lt;=-1,REKAP[[#This Row],[Harga Satuan]]*REKAP[[#This Row],[Selisih]],0)</f>
        <v>0</v>
      </c>
    </row>
    <row r="1458" spans="1:20" x14ac:dyDescent="0.25">
      <c r="A1458" s="55" t="s">
        <v>2895</v>
      </c>
      <c r="B1458" s="55" t="s">
        <v>3518</v>
      </c>
      <c r="C1458" s="55" t="s">
        <v>3518</v>
      </c>
      <c r="D1458" s="56" t="s">
        <v>2326</v>
      </c>
      <c r="E1458" s="57"/>
      <c r="F1458" s="75" t="s">
        <v>247</v>
      </c>
      <c r="G1458" s="64" t="s">
        <v>1985</v>
      </c>
      <c r="H1458" s="58">
        <v>894800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1</v>
      </c>
      <c r="K1458" s="60">
        <f>REKAP[[#This Row],[Trx In]]+REKAP[[#This Row],[Trx Out]]</f>
        <v>1</v>
      </c>
      <c r="L1458" s="55">
        <v>2</v>
      </c>
      <c r="M1458" s="74">
        <f>SUMIF(MASUK!$C:$C,REKAP[[#This Row],[ID]],MASUK!$H:$H)</f>
        <v>0</v>
      </c>
      <c r="N1458" s="74">
        <f>SUMIF(KELUAR!$C:$C,REKAP[[#This Row],[ID]],KELUAR!$H:$H)</f>
        <v>1</v>
      </c>
      <c r="O1458" s="74">
        <f>REKAP[[#This Row],[Stok Awal]]+REKAP[[#This Row],[Masuk]]-REKAP[[#This Row],[Keluar]]</f>
        <v>1</v>
      </c>
      <c r="P1458" s="55">
        <v>1</v>
      </c>
      <c r="Q1458" s="62">
        <f>REKAP[[#This Row],[Harga Satuan]]*REKAP[[#This Row],[Stok Akhir]]</f>
        <v>894800</v>
      </c>
      <c r="R1458" s="61">
        <f>IF(REKAP[[#This Row],[Stok Aktual]]&lt;&gt;"",REKAP[[#This Row],[Stok Aktual]]-REKAP[[#This Row],[Stok Akhir]],0)</f>
        <v>0</v>
      </c>
      <c r="S1458" s="132"/>
      <c r="T1458" s="137">
        <f>IF(REKAP[[#This Row],[Selisih]]&lt;=-1,REKAP[[#This Row],[Harga Satuan]]*REKAP[[#This Row],[Selisih]],0)</f>
        <v>0</v>
      </c>
    </row>
    <row r="1459" spans="1:20" x14ac:dyDescent="0.25">
      <c r="A1459" s="55" t="s">
        <v>2896</v>
      </c>
      <c r="B1459" s="55" t="s">
        <v>3518</v>
      </c>
      <c r="C1459" s="55" t="s">
        <v>3518</v>
      </c>
      <c r="D1459" s="56" t="s">
        <v>2327</v>
      </c>
      <c r="E1459" s="57"/>
      <c r="F1459" s="75" t="s">
        <v>247</v>
      </c>
      <c r="G1459" s="64" t="s">
        <v>1985</v>
      </c>
      <c r="H1459" s="58">
        <v>738000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0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0</v>
      </c>
      <c r="P1459" s="55"/>
      <c r="Q1459" s="62">
        <f>REKAP[[#This Row],[Harga Satuan]]*REKAP[[#This Row],[Stok Akhir]]</f>
        <v>0</v>
      </c>
      <c r="R1459" s="61">
        <f>IF(REKAP[[#This Row],[Stok Aktual]]&lt;&gt;"",REKAP[[#This Row],[Stok Aktual]]-REKAP[[#This Row],[Stok Akhir]],0)</f>
        <v>0</v>
      </c>
      <c r="S1459" s="132"/>
      <c r="T1459" s="137">
        <f>IF(REKAP[[#This Row],[Selisih]]&lt;=-1,REKAP[[#This Row],[Harga Satuan]]*REKAP[[#This Row],[Selisih]],0)</f>
        <v>0</v>
      </c>
    </row>
    <row r="1460" spans="1:20" x14ac:dyDescent="0.25">
      <c r="A1460" s="55" t="s">
        <v>2897</v>
      </c>
      <c r="B1460" s="55" t="s">
        <v>3518</v>
      </c>
      <c r="C1460" s="55" t="s">
        <v>3518</v>
      </c>
      <c r="D1460" s="56" t="s">
        <v>2328</v>
      </c>
      <c r="E1460" s="57"/>
      <c r="F1460" s="75" t="s">
        <v>247</v>
      </c>
      <c r="G1460" s="64" t="s">
        <v>1985</v>
      </c>
      <c r="H1460" s="58">
        <v>702600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1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1</v>
      </c>
      <c r="P1460" s="55"/>
      <c r="Q1460" s="62">
        <f>REKAP[[#This Row],[Harga Satuan]]*REKAP[[#This Row],[Stok Akhir]]</f>
        <v>702600</v>
      </c>
      <c r="R1460" s="61">
        <f>IF(REKAP[[#This Row],[Stok Aktual]]&lt;&gt;"",REKAP[[#This Row],[Stok Aktual]]-REKAP[[#This Row],[Stok Akhir]],0)</f>
        <v>0</v>
      </c>
      <c r="S1460" s="132"/>
      <c r="T1460" s="137">
        <f>IF(REKAP[[#This Row],[Selisih]]&lt;=-1,REKAP[[#This Row],[Harga Satuan]]*REKAP[[#This Row],[Selisih]],0)</f>
        <v>0</v>
      </c>
    </row>
    <row r="1461" spans="1:20" x14ac:dyDescent="0.25">
      <c r="A1461" s="55" t="s">
        <v>2898</v>
      </c>
      <c r="B1461" s="55" t="s">
        <v>3518</v>
      </c>
      <c r="C1461" s="55" t="s">
        <v>3518</v>
      </c>
      <c r="D1461" s="56" t="s">
        <v>2329</v>
      </c>
      <c r="E1461" s="57"/>
      <c r="F1461" s="75" t="s">
        <v>247</v>
      </c>
      <c r="G1461" s="64" t="s">
        <v>1985</v>
      </c>
      <c r="H1461" s="58">
        <v>984000</v>
      </c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>
        <v>1</v>
      </c>
      <c r="M1461" s="74">
        <f>SUMIF(MASUK!$C:$C,REKAP[[#This Row],[ID]],MASUK!$H:$H)</f>
        <v>1</v>
      </c>
      <c r="N1461" s="74">
        <f>SUMIF(KELUAR!$C:$C,REKAP[[#This Row],[ID]],KELUAR!$H:$H)</f>
        <v>1</v>
      </c>
      <c r="O1461" s="74">
        <f>REKAP[[#This Row],[Stok Awal]]+REKAP[[#This Row],[Masuk]]-REKAP[[#This Row],[Keluar]]</f>
        <v>1</v>
      </c>
      <c r="P1461" s="55">
        <v>1</v>
      </c>
      <c r="Q1461" s="62">
        <f>REKAP[[#This Row],[Harga Satuan]]*REKAP[[#This Row],[Stok Akhir]]</f>
        <v>984000</v>
      </c>
      <c r="R1461" s="61">
        <f>IF(REKAP[[#This Row],[Stok Aktual]]&lt;&gt;"",REKAP[[#This Row],[Stok Aktual]]-REKAP[[#This Row],[Stok Akhir]],0)</f>
        <v>0</v>
      </c>
      <c r="S1461" s="139"/>
      <c r="T1461" s="137">
        <f>IF(REKAP[[#This Row],[Selisih]]&lt;=-1,REKAP[[#This Row],[Harga Satuan]]*REKAP[[#This Row],[Selisih]],0)</f>
        <v>0</v>
      </c>
    </row>
    <row r="1462" spans="1:20" x14ac:dyDescent="0.25">
      <c r="A1462" s="55" t="s">
        <v>2899</v>
      </c>
      <c r="B1462" s="55" t="s">
        <v>3518</v>
      </c>
      <c r="C1462" s="55" t="s">
        <v>3518</v>
      </c>
      <c r="D1462" s="56" t="s">
        <v>2330</v>
      </c>
      <c r="E1462" s="57"/>
      <c r="F1462" s="75" t="s">
        <v>247</v>
      </c>
      <c r="G1462" s="64" t="s">
        <v>1985</v>
      </c>
      <c r="H1462" s="58">
        <v>988000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>
        <f>IF(REKAP[[#This Row],[Stok Aktual]]&lt;&gt;"",REKAP[[#This Row],[Stok Aktual]]-REKAP[[#This Row],[Stok Akhir]],0)</f>
        <v>0</v>
      </c>
      <c r="S1462" s="132"/>
      <c r="T1462" s="137">
        <f>IF(REKAP[[#This Row],[Selisih]]&lt;=-1,REKAP[[#This Row],[Harga Satuan]]*REKAP[[#This Row],[Selisih]],0)</f>
        <v>0</v>
      </c>
    </row>
    <row r="1463" spans="1:20" x14ac:dyDescent="0.25">
      <c r="A1463" s="55" t="s">
        <v>2900</v>
      </c>
      <c r="B1463" s="55" t="s">
        <v>3518</v>
      </c>
      <c r="C1463" s="55" t="s">
        <v>3518</v>
      </c>
      <c r="D1463" s="56" t="s">
        <v>2331</v>
      </c>
      <c r="E1463" s="57"/>
      <c r="F1463" s="75" t="s">
        <v>247</v>
      </c>
      <c r="G1463" s="64" t="s">
        <v>1985</v>
      </c>
      <c r="H1463" s="58">
        <v>377400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4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4</v>
      </c>
      <c r="P1463" s="55"/>
      <c r="Q1463" s="62">
        <f>REKAP[[#This Row],[Harga Satuan]]*REKAP[[#This Row],[Stok Akhir]]</f>
        <v>1509600</v>
      </c>
      <c r="R1463" s="61">
        <f>IF(REKAP[[#This Row],[Stok Aktual]]&lt;&gt;"",REKAP[[#This Row],[Stok Aktual]]-REKAP[[#This Row],[Stok Akhir]],0)</f>
        <v>0</v>
      </c>
      <c r="S1463" s="132"/>
      <c r="T1463" s="137">
        <f>IF(REKAP[[#This Row],[Selisih]]&lt;=-1,REKAP[[#This Row],[Harga Satuan]]*REKAP[[#This Row],[Selisih]],0)</f>
        <v>0</v>
      </c>
    </row>
    <row r="1464" spans="1:20" x14ac:dyDescent="0.25">
      <c r="A1464" s="55" t="s">
        <v>2901</v>
      </c>
      <c r="B1464" s="55" t="s">
        <v>3518</v>
      </c>
      <c r="C1464" s="55" t="s">
        <v>3518</v>
      </c>
      <c r="D1464" s="56" t="s">
        <v>2332</v>
      </c>
      <c r="E1464" s="57"/>
      <c r="F1464" s="75" t="s">
        <v>247</v>
      </c>
      <c r="G1464" s="64" t="s">
        <v>1985</v>
      </c>
      <c r="H1464" s="58">
        <v>1240000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2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2</v>
      </c>
      <c r="P1464" s="55"/>
      <c r="Q1464" s="62">
        <f>REKAP[[#This Row],[Harga Satuan]]*REKAP[[#This Row],[Stok Akhir]]</f>
        <v>2480000</v>
      </c>
      <c r="R1464" s="61">
        <f>IF(REKAP[[#This Row],[Stok Aktual]]&lt;&gt;"",REKAP[[#This Row],[Stok Aktual]]-REKAP[[#This Row],[Stok Akhir]],0)</f>
        <v>0</v>
      </c>
      <c r="S1464" s="132"/>
      <c r="T1464" s="137">
        <f>IF(REKAP[[#This Row],[Selisih]]&lt;=-1,REKAP[[#This Row],[Harga Satuan]]*REKAP[[#This Row],[Selisih]],0)</f>
        <v>0</v>
      </c>
    </row>
    <row r="1465" spans="1:20" x14ac:dyDescent="0.25">
      <c r="A1465" s="55" t="s">
        <v>2902</v>
      </c>
      <c r="B1465" s="55" t="s">
        <v>3518</v>
      </c>
      <c r="C1465" s="55" t="s">
        <v>3518</v>
      </c>
      <c r="D1465" s="56" t="s">
        <v>2333</v>
      </c>
      <c r="E1465" s="57"/>
      <c r="F1465" s="75" t="s">
        <v>247</v>
      </c>
      <c r="G1465" s="64" t="s">
        <v>1985</v>
      </c>
      <c r="H1465" s="58">
        <v>1398500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2797000</v>
      </c>
      <c r="R1465" s="61">
        <f>IF(REKAP[[#This Row],[Stok Aktual]]&lt;&gt;"",REKAP[[#This Row],[Stok Aktual]]-REKAP[[#This Row],[Stok Akhir]],0)</f>
        <v>0</v>
      </c>
      <c r="S1465" s="132"/>
      <c r="T1465" s="137">
        <f>IF(REKAP[[#This Row],[Selisih]]&lt;=-1,REKAP[[#This Row],[Harga Satuan]]*REKAP[[#This Row],[Selisih]],0)</f>
        <v>0</v>
      </c>
    </row>
    <row r="1466" spans="1:20" x14ac:dyDescent="0.25">
      <c r="A1466" s="55" t="s">
        <v>2903</v>
      </c>
      <c r="B1466" s="55" t="s">
        <v>3518</v>
      </c>
      <c r="C1466" s="55" t="s">
        <v>3518</v>
      </c>
      <c r="D1466" s="56" t="s">
        <v>2334</v>
      </c>
      <c r="E1466" s="57"/>
      <c r="F1466" s="75" t="s">
        <v>247</v>
      </c>
      <c r="G1466" s="64" t="s">
        <v>1985</v>
      </c>
      <c r="H1466" s="58">
        <v>1040000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>
        <f>IF(REKAP[[#This Row],[Stok Aktual]]&lt;&gt;"",REKAP[[#This Row],[Stok Aktual]]-REKAP[[#This Row],[Stok Akhir]],0)</f>
        <v>0</v>
      </c>
      <c r="S1466" s="132"/>
      <c r="T1466" s="137">
        <f>IF(REKAP[[#This Row],[Selisih]]&lt;=-1,REKAP[[#This Row],[Harga Satuan]]*REKAP[[#This Row],[Selisih]],0)</f>
        <v>0</v>
      </c>
    </row>
    <row r="1467" spans="1:20" x14ac:dyDescent="0.25">
      <c r="A1467" s="55" t="s">
        <v>2904</v>
      </c>
      <c r="B1467" s="55" t="s">
        <v>3518</v>
      </c>
      <c r="C1467" s="55" t="s">
        <v>3518</v>
      </c>
      <c r="D1467" s="56" t="s">
        <v>2335</v>
      </c>
      <c r="E1467" s="57"/>
      <c r="F1467" s="75" t="s">
        <v>247</v>
      </c>
      <c r="G1467" s="64" t="s">
        <v>1985</v>
      </c>
      <c r="H1467" s="58">
        <v>1008600</v>
      </c>
      <c r="I1467" s="59">
        <f>IF(COUNTIF(MASUK[Kode Barang],REKAP[[#This Row],[ID]])=0,0,COUNTIF(MASUK[Kode Barang],REKAP[[#This Row],[ID]]))</f>
        <v>1</v>
      </c>
      <c r="J1467" s="59">
        <f>IF(COUNTIF(MASUK8[Kode Barang],REKAP[[#This Row],[ID]])=0,0,COUNTIF(MASUK8[Kode Barang],REKAP[[#This Row],[ID]]))</f>
        <v>1</v>
      </c>
      <c r="K1467" s="60">
        <f>REKAP[[#This Row],[Trx In]]+REKAP[[#This Row],[Trx Out]]</f>
        <v>2</v>
      </c>
      <c r="L1467" s="55">
        <v>0</v>
      </c>
      <c r="M1467" s="74">
        <f>SUMIF(MASUK!$C:$C,REKAP[[#This Row],[ID]],MASUK!$H:$H)</f>
        <v>5</v>
      </c>
      <c r="N1467" s="74">
        <f>SUMIF(KELUAR!$C:$C,REKAP[[#This Row],[ID]],KELUAR!$H:$H)</f>
        <v>1</v>
      </c>
      <c r="O1467" s="74">
        <f>REKAP[[#This Row],[Stok Awal]]+REKAP[[#This Row],[Masuk]]-REKAP[[#This Row],[Keluar]]</f>
        <v>4</v>
      </c>
      <c r="P1467" s="55">
        <v>4</v>
      </c>
      <c r="Q1467" s="62">
        <f>REKAP[[#This Row],[Harga Satuan]]*REKAP[[#This Row],[Stok Akhir]]</f>
        <v>4034400</v>
      </c>
      <c r="R1467" s="61">
        <f>IF(REKAP[[#This Row],[Stok Aktual]]&lt;&gt;"",REKAP[[#This Row],[Stok Aktual]]-REKAP[[#This Row],[Stok Akhir]],0)</f>
        <v>0</v>
      </c>
      <c r="S1467" s="132"/>
      <c r="T1467" s="137">
        <f>IF(REKAP[[#This Row],[Selisih]]&lt;=-1,REKAP[[#This Row],[Harga Satuan]]*REKAP[[#This Row],[Selisih]],0)</f>
        <v>0</v>
      </c>
    </row>
    <row r="1468" spans="1:20" x14ac:dyDescent="0.25">
      <c r="A1468" s="55" t="s">
        <v>2905</v>
      </c>
      <c r="B1468" s="55" t="s">
        <v>3518</v>
      </c>
      <c r="C1468" s="55" t="s">
        <v>3518</v>
      </c>
      <c r="D1468" s="56" t="s">
        <v>2336</v>
      </c>
      <c r="E1468" s="57"/>
      <c r="F1468" s="75" t="s">
        <v>247</v>
      </c>
      <c r="G1468" s="64" t="s">
        <v>1985</v>
      </c>
      <c r="H1468" s="58">
        <v>942600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3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3</v>
      </c>
      <c r="P1468" s="55"/>
      <c r="Q1468" s="62">
        <f>REKAP[[#This Row],[Harga Satuan]]*REKAP[[#This Row],[Stok Akhir]]</f>
        <v>2827800</v>
      </c>
      <c r="R1468" s="61">
        <f>IF(REKAP[[#This Row],[Stok Aktual]]&lt;&gt;"",REKAP[[#This Row],[Stok Aktual]]-REKAP[[#This Row],[Stok Akhir]],0)</f>
        <v>0</v>
      </c>
      <c r="S1468" s="132"/>
      <c r="T1468" s="137">
        <f>IF(REKAP[[#This Row],[Selisih]]&lt;=-1,REKAP[[#This Row],[Harga Satuan]]*REKAP[[#This Row],[Selisih]],0)</f>
        <v>0</v>
      </c>
    </row>
    <row r="1469" spans="1:20" x14ac:dyDescent="0.25">
      <c r="A1469" s="55" t="s">
        <v>2906</v>
      </c>
      <c r="B1469" s="55" t="s">
        <v>3518</v>
      </c>
      <c r="C1469" s="55" t="s">
        <v>3518</v>
      </c>
      <c r="D1469" s="56" t="s">
        <v>2337</v>
      </c>
      <c r="E1469" s="57"/>
      <c r="F1469" s="75" t="s">
        <v>247</v>
      </c>
      <c r="G1469" s="64" t="s">
        <v>1985</v>
      </c>
      <c r="H1469" s="58">
        <v>286000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2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2</v>
      </c>
      <c r="P1469" s="55"/>
      <c r="Q1469" s="62">
        <f>REKAP[[#This Row],[Harga Satuan]]*REKAP[[#This Row],[Stok Akhir]]</f>
        <v>572000</v>
      </c>
      <c r="R1469" s="61">
        <f>IF(REKAP[[#This Row],[Stok Aktual]]&lt;&gt;"",REKAP[[#This Row],[Stok Aktual]]-REKAP[[#This Row],[Stok Akhir]],0)</f>
        <v>0</v>
      </c>
      <c r="S1469" s="132"/>
      <c r="T1469" s="137">
        <f>IF(REKAP[[#This Row],[Selisih]]&lt;=-1,REKAP[[#This Row],[Harga Satuan]]*REKAP[[#This Row],[Selisih]],0)</f>
        <v>0</v>
      </c>
    </row>
    <row r="1470" spans="1:20" x14ac:dyDescent="0.25">
      <c r="A1470" s="55" t="s">
        <v>2907</v>
      </c>
      <c r="B1470" s="55" t="s">
        <v>3518</v>
      </c>
      <c r="C1470" s="55" t="s">
        <v>3518</v>
      </c>
      <c r="D1470" s="56" t="s">
        <v>2338</v>
      </c>
      <c r="E1470" s="57"/>
      <c r="F1470" s="75" t="s">
        <v>247</v>
      </c>
      <c r="G1470" s="64" t="s">
        <v>1985</v>
      </c>
      <c r="H1470" s="58">
        <v>286000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1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1</v>
      </c>
      <c r="P1470" s="55"/>
      <c r="Q1470" s="62">
        <f>REKAP[[#This Row],[Harga Satuan]]*REKAP[[#This Row],[Stok Akhir]]</f>
        <v>286000</v>
      </c>
      <c r="R1470" s="61">
        <f>IF(REKAP[[#This Row],[Stok Aktual]]&lt;&gt;"",REKAP[[#This Row],[Stok Aktual]]-REKAP[[#This Row],[Stok Akhir]],0)</f>
        <v>0</v>
      </c>
      <c r="S1470" s="132"/>
      <c r="T1470" s="137">
        <f>IF(REKAP[[#This Row],[Selisih]]&lt;=-1,REKAP[[#This Row],[Harga Satuan]]*REKAP[[#This Row],[Selisih]],0)</f>
        <v>0</v>
      </c>
    </row>
    <row r="1471" spans="1:20" x14ac:dyDescent="0.25">
      <c r="A1471" s="55" t="s">
        <v>2908</v>
      </c>
      <c r="B1471" s="55" t="s">
        <v>3518</v>
      </c>
      <c r="C1471" s="55" t="s">
        <v>3518</v>
      </c>
      <c r="D1471" s="56" t="s">
        <v>2339</v>
      </c>
      <c r="E1471" s="57"/>
      <c r="F1471" s="75" t="s">
        <v>247</v>
      </c>
      <c r="G1471" s="64" t="s">
        <v>1985</v>
      </c>
      <c r="H1471" s="58">
        <v>468000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3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3</v>
      </c>
      <c r="P1471" s="55"/>
      <c r="Q1471" s="62">
        <f>REKAP[[#This Row],[Harga Satuan]]*REKAP[[#This Row],[Stok Akhir]]</f>
        <v>1404000</v>
      </c>
      <c r="R1471" s="61">
        <f>IF(REKAP[[#This Row],[Stok Aktual]]&lt;&gt;"",REKAP[[#This Row],[Stok Aktual]]-REKAP[[#This Row],[Stok Akhir]],0)</f>
        <v>0</v>
      </c>
      <c r="S1471" s="132"/>
      <c r="T1471" s="137">
        <f>IF(REKAP[[#This Row],[Selisih]]&lt;=-1,REKAP[[#This Row],[Harga Satuan]]*REKAP[[#This Row],[Selisih]],0)</f>
        <v>0</v>
      </c>
    </row>
    <row r="1472" spans="1:20" x14ac:dyDescent="0.25">
      <c r="A1472" s="55" t="s">
        <v>2909</v>
      </c>
      <c r="B1472" s="55" t="s">
        <v>3518</v>
      </c>
      <c r="C1472" s="55" t="s">
        <v>3518</v>
      </c>
      <c r="D1472" s="56" t="s">
        <v>2340</v>
      </c>
      <c r="E1472" s="57"/>
      <c r="F1472" s="75" t="s">
        <v>247</v>
      </c>
      <c r="G1472" s="64" t="s">
        <v>1985</v>
      </c>
      <c r="H1472" s="58">
        <v>468000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</v>
      </c>
      <c r="P1472" s="55"/>
      <c r="Q1472" s="62">
        <f>REKAP[[#This Row],[Harga Satuan]]*REKAP[[#This Row],[Stok Akhir]]</f>
        <v>468000</v>
      </c>
      <c r="R1472" s="61">
        <f>IF(REKAP[[#This Row],[Stok Aktual]]&lt;&gt;"",REKAP[[#This Row],[Stok Aktual]]-REKAP[[#This Row],[Stok Akhir]],0)</f>
        <v>0</v>
      </c>
      <c r="S1472" s="132"/>
      <c r="T1472" s="137">
        <f>IF(REKAP[[#This Row],[Selisih]]&lt;=-1,REKAP[[#This Row],[Harga Satuan]]*REKAP[[#This Row],[Selisih]],0)</f>
        <v>0</v>
      </c>
    </row>
    <row r="1473" spans="1:20" x14ac:dyDescent="0.25">
      <c r="A1473" s="55" t="s">
        <v>2910</v>
      </c>
      <c r="B1473" s="55" t="s">
        <v>3518</v>
      </c>
      <c r="C1473" s="55" t="s">
        <v>3518</v>
      </c>
      <c r="D1473" s="56" t="s">
        <v>2341</v>
      </c>
      <c r="E1473" s="57"/>
      <c r="F1473" s="75" t="s">
        <v>247</v>
      </c>
      <c r="G1473" s="64" t="s">
        <v>1985</v>
      </c>
      <c r="H1473" s="58">
        <v>766000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0</v>
      </c>
      <c r="P1473" s="55"/>
      <c r="Q1473" s="62">
        <f>REKAP[[#This Row],[Harga Satuan]]*REKAP[[#This Row],[Stok Akhir]]</f>
        <v>0</v>
      </c>
      <c r="R1473" s="61">
        <f>IF(REKAP[[#This Row],[Stok Aktual]]&lt;&gt;"",REKAP[[#This Row],[Stok Aktual]]-REKAP[[#This Row],[Stok Akhir]],0)</f>
        <v>0</v>
      </c>
      <c r="S1473" s="132"/>
      <c r="T1473" s="137">
        <f>IF(REKAP[[#This Row],[Selisih]]&lt;=-1,REKAP[[#This Row],[Harga Satuan]]*REKAP[[#This Row],[Selisih]],0)</f>
        <v>0</v>
      </c>
    </row>
    <row r="1474" spans="1:20" x14ac:dyDescent="0.25">
      <c r="A1474" s="55" t="s">
        <v>2911</v>
      </c>
      <c r="B1474" s="55" t="s">
        <v>3518</v>
      </c>
      <c r="C1474" s="55" t="s">
        <v>3518</v>
      </c>
      <c r="D1474" s="56" t="s">
        <v>2342</v>
      </c>
      <c r="E1474" s="57"/>
      <c r="F1474" s="75" t="s">
        <v>247</v>
      </c>
      <c r="G1474" s="64" t="s">
        <v>1985</v>
      </c>
      <c r="H1474" s="58">
        <v>1875000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>
        <f>IF(REKAP[[#This Row],[Stok Aktual]]&lt;&gt;"",REKAP[[#This Row],[Stok Aktual]]-REKAP[[#This Row],[Stok Akhir]],0)</f>
        <v>0</v>
      </c>
      <c r="S1474" s="132"/>
      <c r="T1474" s="137">
        <f>IF(REKAP[[#This Row],[Selisih]]&lt;=-1,REKAP[[#This Row],[Harga Satuan]]*REKAP[[#This Row],[Selisih]],0)</f>
        <v>0</v>
      </c>
    </row>
    <row r="1475" spans="1:20" x14ac:dyDescent="0.25">
      <c r="A1475" s="55" t="s">
        <v>2912</v>
      </c>
      <c r="B1475" s="55" t="s">
        <v>3518</v>
      </c>
      <c r="C1475" s="55" t="s">
        <v>3518</v>
      </c>
      <c r="D1475" s="56" t="s">
        <v>2343</v>
      </c>
      <c r="E1475" s="57"/>
      <c r="F1475" s="75" t="s">
        <v>247</v>
      </c>
      <c r="G1475" s="64" t="s">
        <v>1985</v>
      </c>
      <c r="H1475" s="58">
        <v>1686000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1686000</v>
      </c>
      <c r="R1475" s="61">
        <f>IF(REKAP[[#This Row],[Stok Aktual]]&lt;&gt;"",REKAP[[#This Row],[Stok Aktual]]-REKAP[[#This Row],[Stok Akhir]],0)</f>
        <v>0</v>
      </c>
      <c r="S1475" s="132"/>
      <c r="T1475" s="137">
        <f>IF(REKAP[[#This Row],[Selisih]]&lt;=-1,REKAP[[#This Row],[Harga Satuan]]*REKAP[[#This Row],[Selisih]],0)</f>
        <v>0</v>
      </c>
    </row>
    <row r="1476" spans="1:20" x14ac:dyDescent="0.25">
      <c r="A1476" s="55" t="s">
        <v>2913</v>
      </c>
      <c r="B1476" s="55" t="s">
        <v>3518</v>
      </c>
      <c r="C1476" s="55" t="s">
        <v>3518</v>
      </c>
      <c r="D1476" s="56" t="s">
        <v>2344</v>
      </c>
      <c r="E1476" s="57"/>
      <c r="F1476" s="75" t="s">
        <v>247</v>
      </c>
      <c r="G1476" s="64" t="s">
        <v>1985</v>
      </c>
      <c r="H1476" s="58">
        <v>1323600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2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2</v>
      </c>
      <c r="P1476" s="55"/>
      <c r="Q1476" s="62">
        <f>REKAP[[#This Row],[Harga Satuan]]*REKAP[[#This Row],[Stok Akhir]]</f>
        <v>2647200</v>
      </c>
      <c r="R1476" s="61">
        <f>IF(REKAP[[#This Row],[Stok Aktual]]&lt;&gt;"",REKAP[[#This Row],[Stok Aktual]]-REKAP[[#This Row],[Stok Akhir]],0)</f>
        <v>0</v>
      </c>
      <c r="S1476" s="132"/>
      <c r="T1476" s="137">
        <f>IF(REKAP[[#This Row],[Selisih]]&lt;=-1,REKAP[[#This Row],[Harga Satuan]]*REKAP[[#This Row],[Selisih]],0)</f>
        <v>0</v>
      </c>
    </row>
    <row r="1477" spans="1:20" x14ac:dyDescent="0.25">
      <c r="A1477" s="55" t="s">
        <v>2914</v>
      </c>
      <c r="B1477" s="55" t="s">
        <v>3518</v>
      </c>
      <c r="C1477" s="55" t="s">
        <v>3518</v>
      </c>
      <c r="D1477" s="56" t="s">
        <v>2345</v>
      </c>
      <c r="E1477" s="57"/>
      <c r="F1477" s="75" t="s">
        <v>247</v>
      </c>
      <c r="G1477" s="64" t="s">
        <v>1985</v>
      </c>
      <c r="H1477" s="58">
        <v>1660000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0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0</v>
      </c>
      <c r="P1477" s="55"/>
      <c r="Q1477" s="62">
        <f>REKAP[[#This Row],[Harga Satuan]]*REKAP[[#This Row],[Stok Akhir]]</f>
        <v>0</v>
      </c>
      <c r="R1477" s="61">
        <f>IF(REKAP[[#This Row],[Stok Aktual]]&lt;&gt;"",REKAP[[#This Row],[Stok Aktual]]-REKAP[[#This Row],[Stok Akhir]],0)</f>
        <v>0</v>
      </c>
      <c r="S1477" s="132"/>
      <c r="T1477" s="137">
        <f>IF(REKAP[[#This Row],[Selisih]]&lt;=-1,REKAP[[#This Row],[Harga Satuan]]*REKAP[[#This Row],[Selisih]],0)</f>
        <v>0</v>
      </c>
    </row>
    <row r="1478" spans="1:20" x14ac:dyDescent="0.25">
      <c r="A1478" s="55" t="s">
        <v>2915</v>
      </c>
      <c r="B1478" s="55" t="s">
        <v>3518</v>
      </c>
      <c r="C1478" s="55" t="s">
        <v>3518</v>
      </c>
      <c r="D1478" s="56" t="s">
        <v>2346</v>
      </c>
      <c r="E1478" s="57"/>
      <c r="F1478" s="75" t="s">
        <v>247</v>
      </c>
      <c r="G1478" s="64" t="s">
        <v>1985</v>
      </c>
      <c r="H1478" s="58">
        <v>2437500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0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>
        <f>IF(REKAP[[#This Row],[Stok Aktual]]&lt;&gt;"",REKAP[[#This Row],[Stok Aktual]]-REKAP[[#This Row],[Stok Akhir]],0)</f>
        <v>0</v>
      </c>
      <c r="S1478" s="132"/>
      <c r="T1478" s="137">
        <f>IF(REKAP[[#This Row],[Selisih]]&lt;=-1,REKAP[[#This Row],[Harga Satuan]]*REKAP[[#This Row],[Selisih]],0)</f>
        <v>0</v>
      </c>
    </row>
    <row r="1479" spans="1:20" x14ac:dyDescent="0.25">
      <c r="A1479" s="55" t="s">
        <v>2916</v>
      </c>
      <c r="B1479" s="55" t="s">
        <v>3518</v>
      </c>
      <c r="C1479" s="55" t="s">
        <v>3518</v>
      </c>
      <c r="D1479" s="56" t="s">
        <v>2347</v>
      </c>
      <c r="E1479" s="57"/>
      <c r="F1479" s="75" t="s">
        <v>247</v>
      </c>
      <c r="G1479" s="64" t="s">
        <v>1985</v>
      </c>
      <c r="H1479" s="58">
        <v>475800</v>
      </c>
      <c r="I1479" s="59">
        <f>IF(COUNTIF(MASUK[Kode Barang],REKAP[[#This Row],[ID]])=0,0,COUNTIF(MASUK[Kode Barang],REKAP[[#This Row],[ID]]))</f>
        <v>2</v>
      </c>
      <c r="J1479" s="59">
        <f>IF(COUNTIF(MASUK8[Kode Barang],REKAP[[#This Row],[ID]])=0,0,COUNTIF(MASUK8[Kode Barang],REKAP[[#This Row],[ID]]))</f>
        <v>1</v>
      </c>
      <c r="K1479" s="60">
        <f>REKAP[[#This Row],[Trx In]]+REKAP[[#This Row],[Trx Out]]</f>
        <v>3</v>
      </c>
      <c r="L1479" s="55">
        <v>2</v>
      </c>
      <c r="M1479" s="74">
        <f>SUMIF(MASUK!$C:$C,REKAP[[#This Row],[ID]],MASUK!$H:$H)</f>
        <v>3</v>
      </c>
      <c r="N1479" s="74">
        <f>SUMIF(KELUAR!$C:$C,REKAP[[#This Row],[ID]],KELUAR!$H:$H)</f>
        <v>1</v>
      </c>
      <c r="O1479" s="74">
        <f>REKAP[[#This Row],[Stok Awal]]+REKAP[[#This Row],[Masuk]]-REKAP[[#This Row],[Keluar]]</f>
        <v>4</v>
      </c>
      <c r="P1479" s="55">
        <v>4</v>
      </c>
      <c r="Q1479" s="62">
        <f>REKAP[[#This Row],[Harga Satuan]]*REKAP[[#This Row],[Stok Akhir]]</f>
        <v>1903200</v>
      </c>
      <c r="R1479" s="61">
        <f>IF(REKAP[[#This Row],[Stok Aktual]]&lt;&gt;"",REKAP[[#This Row],[Stok Aktual]]-REKAP[[#This Row],[Stok Akhir]],0)</f>
        <v>0</v>
      </c>
      <c r="S1479" s="132"/>
      <c r="T1479" s="137">
        <f>IF(REKAP[[#This Row],[Selisih]]&lt;=-1,REKAP[[#This Row],[Harga Satuan]]*REKAP[[#This Row],[Selisih]],0)</f>
        <v>0</v>
      </c>
    </row>
    <row r="1480" spans="1:20" x14ac:dyDescent="0.25">
      <c r="A1480" s="55" t="s">
        <v>2917</v>
      </c>
      <c r="B1480" s="55" t="s">
        <v>3518</v>
      </c>
      <c r="C1480" s="55" t="s">
        <v>3518</v>
      </c>
      <c r="D1480" s="56" t="s">
        <v>2348</v>
      </c>
      <c r="E1480" s="57"/>
      <c r="F1480" s="75" t="s">
        <v>247</v>
      </c>
      <c r="G1480" s="64" t="s">
        <v>1985</v>
      </c>
      <c r="H1480" s="58">
        <v>2370000</v>
      </c>
      <c r="I1480" s="59">
        <f>IF(COUNTIF(MASUK[Kode Barang],REKAP[[#This Row],[ID]])=0,0,COUNTIF(MASUK[Kode Barang],REKAP[[#This Row],[ID]]))</f>
        <v>1</v>
      </c>
      <c r="J1480" s="59">
        <f>IF(COUNTIF(MASUK8[Kode Barang],REKAP[[#This Row],[ID]])=0,0,COUNTIF(MASUK8[Kode Barang],REKAP[[#This Row],[ID]]))</f>
        <v>1</v>
      </c>
      <c r="K1480" s="60">
        <f>REKAP[[#This Row],[Trx In]]+REKAP[[#This Row],[Trx Out]]</f>
        <v>2</v>
      </c>
      <c r="L1480" s="55">
        <v>1</v>
      </c>
      <c r="M1480" s="74">
        <f>SUMIF(MASUK!$C:$C,REKAP[[#This Row],[ID]],MASUK!$H:$H)</f>
        <v>1</v>
      </c>
      <c r="N1480" s="74">
        <f>SUMIF(KELUAR!$C:$C,REKAP[[#This Row],[ID]],KELUAR!$H:$H)</f>
        <v>1</v>
      </c>
      <c r="O1480" s="74">
        <f>REKAP[[#This Row],[Stok Awal]]+REKAP[[#This Row],[Masuk]]-REKAP[[#This Row],[Keluar]]</f>
        <v>1</v>
      </c>
      <c r="P1480" s="55">
        <v>1</v>
      </c>
      <c r="Q1480" s="62">
        <f>REKAP[[#This Row],[Harga Satuan]]*REKAP[[#This Row],[Stok Akhir]]</f>
        <v>2370000</v>
      </c>
      <c r="R1480" s="61">
        <f>IF(REKAP[[#This Row],[Stok Aktual]]&lt;&gt;"",REKAP[[#This Row],[Stok Aktual]]-REKAP[[#This Row],[Stok Akhir]],0)</f>
        <v>0</v>
      </c>
      <c r="S1480" s="132"/>
      <c r="T1480" s="137">
        <f>IF(REKAP[[#This Row],[Selisih]]&lt;=-1,REKAP[[#This Row],[Harga Satuan]]*REKAP[[#This Row],[Selisih]],0)</f>
        <v>0</v>
      </c>
    </row>
    <row r="1481" spans="1:20" x14ac:dyDescent="0.25">
      <c r="A1481" s="55" t="s">
        <v>2918</v>
      </c>
      <c r="B1481" s="55" t="s">
        <v>3519</v>
      </c>
      <c r="C1481" s="55" t="s">
        <v>3519</v>
      </c>
      <c r="D1481" s="56" t="s">
        <v>2349</v>
      </c>
      <c r="E1481" s="57"/>
      <c r="F1481" s="75" t="s">
        <v>247</v>
      </c>
      <c r="G1481" s="64"/>
      <c r="H1481" s="58">
        <v>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</v>
      </c>
      <c r="P1481" s="55"/>
      <c r="Q1481" s="62">
        <f>REKAP[[#This Row],[Harga Satuan]]*REKAP[[#This Row],[Stok Akhir]]</f>
        <v>0</v>
      </c>
      <c r="R1481" s="61">
        <f>IF(REKAP[[#This Row],[Stok Aktual]]&lt;&gt;"",REKAP[[#This Row],[Stok Aktual]]-REKAP[[#This Row],[Stok Akhir]],0)</f>
        <v>0</v>
      </c>
      <c r="S1481" s="132"/>
      <c r="T1481" s="137">
        <f>IF(REKAP[[#This Row],[Selisih]]&lt;=-1,REKAP[[#This Row],[Harga Satuan]]*REKAP[[#This Row],[Selisih]],0)</f>
        <v>0</v>
      </c>
    </row>
    <row r="1482" spans="1:20" x14ac:dyDescent="0.25">
      <c r="A1482" s="55" t="s">
        <v>2919</v>
      </c>
      <c r="B1482" s="55" t="s">
        <v>3520</v>
      </c>
      <c r="C1482" s="55" t="s">
        <v>3520</v>
      </c>
      <c r="D1482" s="56" t="s">
        <v>2350</v>
      </c>
      <c r="E1482" s="57"/>
      <c r="F1482" s="75" t="s">
        <v>247</v>
      </c>
      <c r="G1482" s="64"/>
      <c r="H1482" s="58">
        <v>250000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1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1</v>
      </c>
      <c r="P1482" s="55"/>
      <c r="Q1482" s="62">
        <f>REKAP[[#This Row],[Harga Satuan]]*REKAP[[#This Row],[Stok Akhir]]</f>
        <v>250000</v>
      </c>
      <c r="R1482" s="61">
        <f>IF(REKAP[[#This Row],[Stok Aktual]]&lt;&gt;"",REKAP[[#This Row],[Stok Aktual]]-REKAP[[#This Row],[Stok Akhir]],0)</f>
        <v>0</v>
      </c>
      <c r="S1482" s="132"/>
      <c r="T1482" s="137">
        <f>IF(REKAP[[#This Row],[Selisih]]&lt;=-1,REKAP[[#This Row],[Harga Satuan]]*REKAP[[#This Row],[Selisih]],0)</f>
        <v>0</v>
      </c>
    </row>
    <row r="1483" spans="1:20" x14ac:dyDescent="0.25">
      <c r="A1483" s="55" t="s">
        <v>2920</v>
      </c>
      <c r="B1483" s="55" t="s">
        <v>3519</v>
      </c>
      <c r="C1483" s="55" t="s">
        <v>3519</v>
      </c>
      <c r="D1483" s="56" t="s">
        <v>2351</v>
      </c>
      <c r="E1483" s="57"/>
      <c r="F1483" s="75" t="s">
        <v>247</v>
      </c>
      <c r="G1483" s="64" t="s">
        <v>2193</v>
      </c>
      <c r="H1483" s="58">
        <v>204000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</v>
      </c>
      <c r="P1483" s="55"/>
      <c r="Q1483" s="62">
        <f>REKAP[[#This Row],[Harga Satuan]]*REKAP[[#This Row],[Stok Akhir]]</f>
        <v>408000</v>
      </c>
      <c r="R1483" s="61">
        <f>IF(REKAP[[#This Row],[Stok Aktual]]&lt;&gt;"",REKAP[[#This Row],[Stok Aktual]]-REKAP[[#This Row],[Stok Akhir]],0)</f>
        <v>0</v>
      </c>
      <c r="S1483" s="132"/>
      <c r="T1483" s="137">
        <f>IF(REKAP[[#This Row],[Selisih]]&lt;=-1,REKAP[[#This Row],[Harga Satuan]]*REKAP[[#This Row],[Selisih]],0)</f>
        <v>0</v>
      </c>
    </row>
    <row r="1484" spans="1:20" x14ac:dyDescent="0.25">
      <c r="A1484" s="55" t="s">
        <v>2921</v>
      </c>
      <c r="B1484" s="55" t="s">
        <v>3521</v>
      </c>
      <c r="C1484" s="55" t="s">
        <v>3521</v>
      </c>
      <c r="D1484" s="56" t="s">
        <v>2352</v>
      </c>
      <c r="E1484" s="57"/>
      <c r="F1484" s="75" t="s">
        <v>247</v>
      </c>
      <c r="G1484" s="64" t="s">
        <v>2176</v>
      </c>
      <c r="H1484" s="58">
        <v>300000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1</v>
      </c>
      <c r="P1484" s="55"/>
      <c r="Q1484" s="62">
        <f>REKAP[[#This Row],[Harga Satuan]]*REKAP[[#This Row],[Stok Akhir]]</f>
        <v>300000</v>
      </c>
      <c r="R1484" s="61">
        <f>IF(REKAP[[#This Row],[Stok Aktual]]&lt;&gt;"",REKAP[[#This Row],[Stok Aktual]]-REKAP[[#This Row],[Stok Akhir]],0)</f>
        <v>0</v>
      </c>
      <c r="S1484" s="132"/>
      <c r="T1484" s="137">
        <f>IF(REKAP[[#This Row],[Selisih]]&lt;=-1,REKAP[[#This Row],[Harga Satuan]]*REKAP[[#This Row],[Selisih]],0)</f>
        <v>0</v>
      </c>
    </row>
    <row r="1485" spans="1:20" x14ac:dyDescent="0.25">
      <c r="A1485" s="55" t="s">
        <v>2922</v>
      </c>
      <c r="B1485" s="55" t="s">
        <v>2353</v>
      </c>
      <c r="C1485" s="55" t="s">
        <v>2353</v>
      </c>
      <c r="D1485" s="56" t="s">
        <v>2354</v>
      </c>
      <c r="E1485" s="57"/>
      <c r="F1485" s="75" t="s">
        <v>247</v>
      </c>
      <c r="G1485" s="64" t="s">
        <v>2176</v>
      </c>
      <c r="H1485" s="58">
        <v>450000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450000</v>
      </c>
      <c r="R1485" s="61">
        <f>IF(REKAP[[#This Row],[Stok Aktual]]&lt;&gt;"",REKAP[[#This Row],[Stok Aktual]]-REKAP[[#This Row],[Stok Akhir]],0)</f>
        <v>0</v>
      </c>
      <c r="S1485" s="132"/>
      <c r="T1485" s="137">
        <f>IF(REKAP[[#This Row],[Selisih]]&lt;=-1,REKAP[[#This Row],[Harga Satuan]]*REKAP[[#This Row],[Selisih]],0)</f>
        <v>0</v>
      </c>
    </row>
    <row r="1486" spans="1:20" x14ac:dyDescent="0.25">
      <c r="A1486" s="55" t="s">
        <v>2923</v>
      </c>
      <c r="B1486" s="55" t="s">
        <v>3522</v>
      </c>
      <c r="C1486" s="55" t="s">
        <v>3522</v>
      </c>
      <c r="D1486" s="56" t="s">
        <v>2355</v>
      </c>
      <c r="E1486" s="57"/>
      <c r="F1486" s="75" t="s">
        <v>247</v>
      </c>
      <c r="G1486" s="64" t="s">
        <v>2193</v>
      </c>
      <c r="H1486" s="58">
        <v>450000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2</v>
      </c>
      <c r="P1486" s="55"/>
      <c r="Q1486" s="62">
        <f>REKAP[[#This Row],[Harga Satuan]]*REKAP[[#This Row],[Stok Akhir]]</f>
        <v>900000</v>
      </c>
      <c r="R1486" s="61">
        <f>IF(REKAP[[#This Row],[Stok Aktual]]&lt;&gt;"",REKAP[[#This Row],[Stok Aktual]]-REKAP[[#This Row],[Stok Akhir]],0)</f>
        <v>0</v>
      </c>
      <c r="S1486" s="132"/>
      <c r="T1486" s="137">
        <f>IF(REKAP[[#This Row],[Selisih]]&lt;=-1,REKAP[[#This Row],[Harga Satuan]]*REKAP[[#This Row],[Selisih]],0)</f>
        <v>0</v>
      </c>
    </row>
    <row r="1487" spans="1:20" x14ac:dyDescent="0.25">
      <c r="A1487" s="55" t="s">
        <v>2924</v>
      </c>
      <c r="B1487" s="55" t="s">
        <v>2356</v>
      </c>
      <c r="C1487" s="55" t="s">
        <v>2356</v>
      </c>
      <c r="D1487" s="56" t="s">
        <v>2357</v>
      </c>
      <c r="E1487" s="57"/>
      <c r="F1487" s="75" t="s">
        <v>247</v>
      </c>
      <c r="G1487" s="64"/>
      <c r="H1487" s="58">
        <v>361000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1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1</v>
      </c>
      <c r="P1487" s="55"/>
      <c r="Q1487" s="62">
        <f>REKAP[[#This Row],[Harga Satuan]]*REKAP[[#This Row],[Stok Akhir]]</f>
        <v>361000</v>
      </c>
      <c r="R1487" s="61">
        <f>IF(REKAP[[#This Row],[Stok Aktual]]&lt;&gt;"",REKAP[[#This Row],[Stok Aktual]]-REKAP[[#This Row],[Stok Akhir]],0)</f>
        <v>0</v>
      </c>
      <c r="S1487" s="132"/>
      <c r="T1487" s="137">
        <f>IF(REKAP[[#This Row],[Selisih]]&lt;=-1,REKAP[[#This Row],[Harga Satuan]]*REKAP[[#This Row],[Selisih]],0)</f>
        <v>0</v>
      </c>
    </row>
    <row r="1488" spans="1:20" x14ac:dyDescent="0.25">
      <c r="A1488" s="55" t="s">
        <v>2925</v>
      </c>
      <c r="B1488" s="55" t="s">
        <v>3523</v>
      </c>
      <c r="C1488" s="55" t="s">
        <v>3523</v>
      </c>
      <c r="D1488" s="56" t="s">
        <v>2358</v>
      </c>
      <c r="E1488" s="57"/>
      <c r="F1488" s="75" t="s">
        <v>247</v>
      </c>
      <c r="G1488" s="64"/>
      <c r="H1488" s="58">
        <v>361000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361000</v>
      </c>
      <c r="R1488" s="61">
        <f>IF(REKAP[[#This Row],[Stok Aktual]]&lt;&gt;"",REKAP[[#This Row],[Stok Aktual]]-REKAP[[#This Row],[Stok Akhir]],0)</f>
        <v>0</v>
      </c>
      <c r="S1488" s="132"/>
      <c r="T1488" s="137">
        <f>IF(REKAP[[#This Row],[Selisih]]&lt;=-1,REKAP[[#This Row],[Harga Satuan]]*REKAP[[#This Row],[Selisih]],0)</f>
        <v>0</v>
      </c>
    </row>
    <row r="1489" spans="1:20" x14ac:dyDescent="0.25">
      <c r="A1489" s="55" t="s">
        <v>2926</v>
      </c>
      <c r="B1489" s="55" t="s">
        <v>3523</v>
      </c>
      <c r="C1489" s="55" t="s">
        <v>3523</v>
      </c>
      <c r="D1489" s="56" t="s">
        <v>2359</v>
      </c>
      <c r="E1489" s="57"/>
      <c r="F1489" s="75" t="s">
        <v>247</v>
      </c>
      <c r="G1489" s="64"/>
      <c r="H1489" s="58">
        <v>361000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1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1</v>
      </c>
      <c r="P1489" s="55"/>
      <c r="Q1489" s="62">
        <f>REKAP[[#This Row],[Harga Satuan]]*REKAP[[#This Row],[Stok Akhir]]</f>
        <v>361000</v>
      </c>
      <c r="R1489" s="61">
        <f>IF(REKAP[[#This Row],[Stok Aktual]]&lt;&gt;"",REKAP[[#This Row],[Stok Aktual]]-REKAP[[#This Row],[Stok Akhir]],0)</f>
        <v>0</v>
      </c>
      <c r="S1489" s="132"/>
      <c r="T1489" s="137">
        <f>IF(REKAP[[#This Row],[Selisih]]&lt;=-1,REKAP[[#This Row],[Harga Satuan]]*REKAP[[#This Row],[Selisih]],0)</f>
        <v>0</v>
      </c>
    </row>
    <row r="1490" spans="1:20" x14ac:dyDescent="0.25">
      <c r="A1490" s="55" t="s">
        <v>2927</v>
      </c>
      <c r="B1490" s="55" t="s">
        <v>3524</v>
      </c>
      <c r="C1490" s="55" t="s">
        <v>3524</v>
      </c>
      <c r="D1490" s="56" t="s">
        <v>2360</v>
      </c>
      <c r="E1490" s="57"/>
      <c r="F1490" s="75" t="s">
        <v>247</v>
      </c>
      <c r="G1490" s="64"/>
      <c r="H1490" s="58">
        <v>242600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</v>
      </c>
      <c r="P1490" s="55"/>
      <c r="Q1490" s="62">
        <f>REKAP[[#This Row],[Harga Satuan]]*REKAP[[#This Row],[Stok Akhir]]</f>
        <v>242600</v>
      </c>
      <c r="R1490" s="61">
        <f>IF(REKAP[[#This Row],[Stok Aktual]]&lt;&gt;"",REKAP[[#This Row],[Stok Aktual]]-REKAP[[#This Row],[Stok Akhir]],0)</f>
        <v>0</v>
      </c>
      <c r="S1490" s="132"/>
      <c r="T1490" s="137">
        <f>IF(REKAP[[#This Row],[Selisih]]&lt;=-1,REKAP[[#This Row],[Harga Satuan]]*REKAP[[#This Row],[Selisih]],0)</f>
        <v>0</v>
      </c>
    </row>
    <row r="1491" spans="1:20" x14ac:dyDescent="0.25">
      <c r="A1491" s="55" t="s">
        <v>2928</v>
      </c>
      <c r="B1491" s="55" t="s">
        <v>3541</v>
      </c>
      <c r="C1491" s="55" t="s">
        <v>3541</v>
      </c>
      <c r="D1491" s="56"/>
      <c r="E1491" s="57"/>
      <c r="F1491" s="75" t="s">
        <v>247</v>
      </c>
      <c r="G1491" s="64"/>
      <c r="H1491" s="58">
        <v>150000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1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1</v>
      </c>
      <c r="P1491" s="55"/>
      <c r="Q1491" s="62">
        <f>REKAP[[#This Row],[Harga Satuan]]*REKAP[[#This Row],[Stok Akhir]]</f>
        <v>150000</v>
      </c>
      <c r="R1491" s="61">
        <f>IF(REKAP[[#This Row],[Stok Aktual]]&lt;&gt;"",REKAP[[#This Row],[Stok Aktual]]-REKAP[[#This Row],[Stok Akhir]],0)</f>
        <v>0</v>
      </c>
      <c r="S1491" s="132"/>
      <c r="T1491" s="137">
        <f>IF(REKAP[[#This Row],[Selisih]]&lt;=-1,REKAP[[#This Row],[Harga Satuan]]*REKAP[[#This Row],[Selisih]],0)</f>
        <v>0</v>
      </c>
    </row>
    <row r="1492" spans="1:20" x14ac:dyDescent="0.25">
      <c r="A1492" s="55" t="s">
        <v>2929</v>
      </c>
      <c r="B1492" s="55" t="s">
        <v>2361</v>
      </c>
      <c r="C1492" s="55" t="s">
        <v>2361</v>
      </c>
      <c r="D1492" s="56" t="s">
        <v>2362</v>
      </c>
      <c r="E1492" s="57"/>
      <c r="F1492" s="75" t="s">
        <v>247</v>
      </c>
      <c r="G1492" s="64" t="s">
        <v>2193</v>
      </c>
      <c r="H1492" s="58">
        <v>150000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2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2</v>
      </c>
      <c r="P1492" s="55"/>
      <c r="Q1492" s="62">
        <f>REKAP[[#This Row],[Harga Satuan]]*REKAP[[#This Row],[Stok Akhir]]</f>
        <v>300000</v>
      </c>
      <c r="R1492" s="61">
        <f>IF(REKAP[[#This Row],[Stok Aktual]]&lt;&gt;"",REKAP[[#This Row],[Stok Aktual]]-REKAP[[#This Row],[Stok Akhir]],0)</f>
        <v>0</v>
      </c>
      <c r="S1492" s="132"/>
      <c r="T1492" s="137">
        <f>IF(REKAP[[#This Row],[Selisih]]&lt;=-1,REKAP[[#This Row],[Harga Satuan]]*REKAP[[#This Row],[Selisih]],0)</f>
        <v>0</v>
      </c>
    </row>
    <row r="1493" spans="1:20" x14ac:dyDescent="0.25">
      <c r="A1493" s="55" t="s">
        <v>2930</v>
      </c>
      <c r="B1493" s="55" t="s">
        <v>3542</v>
      </c>
      <c r="C1493" s="55" t="s">
        <v>3542</v>
      </c>
      <c r="D1493" s="56" t="s">
        <v>2363</v>
      </c>
      <c r="E1493" s="57"/>
      <c r="F1493" s="75" t="s">
        <v>247</v>
      </c>
      <c r="G1493" s="64" t="s">
        <v>828</v>
      </c>
      <c r="H1493" s="58">
        <v>210000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210000</v>
      </c>
      <c r="R1493" s="61">
        <f>IF(REKAP[[#This Row],[Stok Aktual]]&lt;&gt;"",REKAP[[#This Row],[Stok Aktual]]-REKAP[[#This Row],[Stok Akhir]],0)</f>
        <v>0</v>
      </c>
      <c r="S1493" s="132"/>
      <c r="T1493" s="137">
        <f>IF(REKAP[[#This Row],[Selisih]]&lt;=-1,REKAP[[#This Row],[Harga Satuan]]*REKAP[[#This Row],[Selisih]],0)</f>
        <v>0</v>
      </c>
    </row>
    <row r="1494" spans="1:20" x14ac:dyDescent="0.25">
      <c r="A1494" s="55" t="s">
        <v>2931</v>
      </c>
      <c r="B1494" s="55" t="s">
        <v>3543</v>
      </c>
      <c r="C1494" s="55" t="s">
        <v>3543</v>
      </c>
      <c r="D1494" s="56" t="s">
        <v>2364</v>
      </c>
      <c r="E1494" s="57"/>
      <c r="F1494" s="75" t="s">
        <v>247</v>
      </c>
      <c r="G1494" s="64" t="s">
        <v>828</v>
      </c>
      <c r="H1494" s="58">
        <v>210700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210700</v>
      </c>
      <c r="R1494" s="61">
        <f>IF(REKAP[[#This Row],[Stok Aktual]]&lt;&gt;"",REKAP[[#This Row],[Stok Aktual]]-REKAP[[#This Row],[Stok Akhir]],0)</f>
        <v>0</v>
      </c>
      <c r="S1494" s="132"/>
      <c r="T1494" s="137">
        <f>IF(REKAP[[#This Row],[Selisih]]&lt;=-1,REKAP[[#This Row],[Harga Satuan]]*REKAP[[#This Row],[Selisih]],0)</f>
        <v>0</v>
      </c>
    </row>
    <row r="1495" spans="1:20" x14ac:dyDescent="0.25">
      <c r="A1495" s="55" t="s">
        <v>2932</v>
      </c>
      <c r="B1495" s="55" t="s">
        <v>3544</v>
      </c>
      <c r="C1495" s="55" t="s">
        <v>3544</v>
      </c>
      <c r="D1495" s="56" t="s">
        <v>2365</v>
      </c>
      <c r="E1495" s="57"/>
      <c r="F1495" s="75" t="s">
        <v>247</v>
      </c>
      <c r="G1495" s="64" t="s">
        <v>828</v>
      </c>
      <c r="H1495" s="58">
        <v>598000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2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2</v>
      </c>
      <c r="P1495" s="55"/>
      <c r="Q1495" s="62">
        <f>REKAP[[#This Row],[Harga Satuan]]*REKAP[[#This Row],[Stok Akhir]]</f>
        <v>1196000</v>
      </c>
      <c r="R1495" s="61">
        <f>IF(REKAP[[#This Row],[Stok Aktual]]&lt;&gt;"",REKAP[[#This Row],[Stok Aktual]]-REKAP[[#This Row],[Stok Akhir]],0)</f>
        <v>0</v>
      </c>
      <c r="S1495" s="132"/>
      <c r="T1495" s="137">
        <f>IF(REKAP[[#This Row],[Selisih]]&lt;=-1,REKAP[[#This Row],[Harga Satuan]]*REKAP[[#This Row],[Selisih]],0)</f>
        <v>0</v>
      </c>
    </row>
    <row r="1496" spans="1:20" x14ac:dyDescent="0.25">
      <c r="A1496" s="55" t="s">
        <v>2933</v>
      </c>
      <c r="B1496" s="55" t="s">
        <v>3545</v>
      </c>
      <c r="C1496" s="55" t="s">
        <v>3545</v>
      </c>
      <c r="D1496" s="56" t="s">
        <v>2366</v>
      </c>
      <c r="E1496" s="57"/>
      <c r="F1496" s="75" t="s">
        <v>247</v>
      </c>
      <c r="G1496" s="64" t="s">
        <v>2367</v>
      </c>
      <c r="H1496" s="58">
        <v>210000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1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1</v>
      </c>
      <c r="P1496" s="55">
        <v>3</v>
      </c>
      <c r="Q1496" s="62">
        <f>REKAP[[#This Row],[Harga Satuan]]*REKAP[[#This Row],[Stok Akhir]]</f>
        <v>210000</v>
      </c>
      <c r="R1496" s="61">
        <f>IF(REKAP[[#This Row],[Stok Aktual]]&lt;&gt;"",REKAP[[#This Row],[Stok Aktual]]-REKAP[[#This Row],[Stok Akhir]],0)</f>
        <v>2</v>
      </c>
      <c r="S1496" s="132"/>
      <c r="T1496" s="137">
        <f>IF(REKAP[[#This Row],[Selisih]]&lt;=-1,REKAP[[#This Row],[Harga Satuan]]*REKAP[[#This Row],[Selisih]],0)</f>
        <v>0</v>
      </c>
    </row>
    <row r="1497" spans="1:20" x14ac:dyDescent="0.25">
      <c r="A1497" s="55" t="s">
        <v>2934</v>
      </c>
      <c r="B1497" s="55" t="s">
        <v>3546</v>
      </c>
      <c r="C1497" s="55" t="s">
        <v>3546</v>
      </c>
      <c r="D1497" s="56" t="s">
        <v>2368</v>
      </c>
      <c r="E1497" s="57"/>
      <c r="F1497" s="75" t="s">
        <v>247</v>
      </c>
      <c r="G1497" s="64" t="s">
        <v>2176</v>
      </c>
      <c r="H1497" s="58">
        <v>230000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230000</v>
      </c>
      <c r="R1497" s="61">
        <f>IF(REKAP[[#This Row],[Stok Aktual]]&lt;&gt;"",REKAP[[#This Row],[Stok Aktual]]-REKAP[[#This Row],[Stok Akhir]],0)</f>
        <v>0</v>
      </c>
      <c r="S1497" s="132"/>
      <c r="T1497" s="137">
        <f>IF(REKAP[[#This Row],[Selisih]]&lt;=-1,REKAP[[#This Row],[Harga Satuan]]*REKAP[[#This Row],[Selisih]],0)</f>
        <v>0</v>
      </c>
    </row>
    <row r="1498" spans="1:20" x14ac:dyDescent="0.25">
      <c r="A1498" s="55" t="s">
        <v>2935</v>
      </c>
      <c r="B1498" s="55" t="s">
        <v>3544</v>
      </c>
      <c r="C1498" s="55" t="s">
        <v>3544</v>
      </c>
      <c r="D1498" s="56" t="s">
        <v>2369</v>
      </c>
      <c r="E1498" s="57"/>
      <c r="F1498" s="75" t="s">
        <v>247</v>
      </c>
      <c r="G1498" s="64" t="s">
        <v>2176</v>
      </c>
      <c r="H1498" s="58">
        <v>391000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0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0</v>
      </c>
      <c r="P1498" s="55"/>
      <c r="Q1498" s="62">
        <f>REKAP[[#This Row],[Harga Satuan]]*REKAP[[#This Row],[Stok Akhir]]</f>
        <v>0</v>
      </c>
      <c r="R1498" s="61">
        <f>IF(REKAP[[#This Row],[Stok Aktual]]&lt;&gt;"",REKAP[[#This Row],[Stok Aktual]]-REKAP[[#This Row],[Stok Akhir]],0)</f>
        <v>0</v>
      </c>
      <c r="S1498" s="132"/>
      <c r="T1498" s="137">
        <f>IF(REKAP[[#This Row],[Selisih]]&lt;=-1,REKAP[[#This Row],[Harga Satuan]]*REKAP[[#This Row],[Selisih]],0)</f>
        <v>0</v>
      </c>
    </row>
    <row r="1499" spans="1:20" x14ac:dyDescent="0.25">
      <c r="A1499" s="55" t="s">
        <v>2936</v>
      </c>
      <c r="B1499" s="55" t="s">
        <v>2370</v>
      </c>
      <c r="C1499" s="55" t="s">
        <v>2370</v>
      </c>
      <c r="D1499" s="56" t="s">
        <v>2371</v>
      </c>
      <c r="E1499" s="57"/>
      <c r="F1499" s="75" t="s">
        <v>247</v>
      </c>
      <c r="G1499" s="64" t="s">
        <v>828</v>
      </c>
      <c r="H1499" s="58">
        <v>381500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0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0</v>
      </c>
      <c r="P1499" s="55"/>
      <c r="Q1499" s="62">
        <f>REKAP[[#This Row],[Harga Satuan]]*REKAP[[#This Row],[Stok Akhir]]</f>
        <v>0</v>
      </c>
      <c r="R1499" s="61">
        <f>IF(REKAP[[#This Row],[Stok Aktual]]&lt;&gt;"",REKAP[[#This Row],[Stok Aktual]]-REKAP[[#This Row],[Stok Akhir]],0)</f>
        <v>0</v>
      </c>
      <c r="S1499" s="132"/>
      <c r="T1499" s="137">
        <f>IF(REKAP[[#This Row],[Selisih]]&lt;=-1,REKAP[[#This Row],[Harga Satuan]]*REKAP[[#This Row],[Selisih]],0)</f>
        <v>0</v>
      </c>
    </row>
    <row r="1500" spans="1:20" x14ac:dyDescent="0.25">
      <c r="A1500" s="55" t="s">
        <v>2937</v>
      </c>
      <c r="B1500" s="55" t="s">
        <v>3547</v>
      </c>
      <c r="C1500" s="55" t="s">
        <v>3547</v>
      </c>
      <c r="D1500" s="56" t="s">
        <v>2372</v>
      </c>
      <c r="E1500" s="57"/>
      <c r="F1500" s="75" t="s">
        <v>247</v>
      </c>
      <c r="G1500" s="64" t="s">
        <v>828</v>
      </c>
      <c r="H1500" s="58">
        <v>434000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434000</v>
      </c>
      <c r="R1500" s="61">
        <f>IF(REKAP[[#This Row],[Stok Aktual]]&lt;&gt;"",REKAP[[#This Row],[Stok Aktual]]-REKAP[[#This Row],[Stok Akhir]],0)</f>
        <v>0</v>
      </c>
      <c r="S1500" s="132"/>
      <c r="T1500" s="137">
        <f>IF(REKAP[[#This Row],[Selisih]]&lt;=-1,REKAP[[#This Row],[Harga Satuan]]*REKAP[[#This Row],[Selisih]],0)</f>
        <v>0</v>
      </c>
    </row>
    <row r="1501" spans="1:20" x14ac:dyDescent="0.25">
      <c r="A1501" s="55" t="s">
        <v>2938</v>
      </c>
      <c r="B1501" s="55" t="s">
        <v>3548</v>
      </c>
      <c r="C1501" s="55" t="s">
        <v>3548</v>
      </c>
      <c r="D1501" s="56" t="s">
        <v>2373</v>
      </c>
      <c r="E1501" s="57"/>
      <c r="F1501" s="75" t="s">
        <v>247</v>
      </c>
      <c r="G1501" s="64" t="s">
        <v>2176</v>
      </c>
      <c r="H1501" s="58">
        <v>486500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1</v>
      </c>
      <c r="K1501" s="60">
        <f>REKAP[[#This Row],[Trx In]]+REKAP[[#This Row],[Trx Out]]</f>
        <v>1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1</v>
      </c>
      <c r="O1501" s="74">
        <f>REKAP[[#This Row],[Stok Awal]]+REKAP[[#This Row],[Masuk]]-REKAP[[#This Row],[Keluar]]</f>
        <v>0</v>
      </c>
      <c r="P1501" s="55">
        <v>0</v>
      </c>
      <c r="Q1501" s="62">
        <f>REKAP[[#This Row],[Harga Satuan]]*REKAP[[#This Row],[Stok Akhir]]</f>
        <v>0</v>
      </c>
      <c r="R1501" s="61">
        <f>IF(REKAP[[#This Row],[Stok Aktual]]&lt;&gt;"",REKAP[[#This Row],[Stok Aktual]]-REKAP[[#This Row],[Stok Akhir]],0)</f>
        <v>0</v>
      </c>
      <c r="S1501" s="132"/>
      <c r="T1501" s="137">
        <f>IF(REKAP[[#This Row],[Selisih]]&lt;=-1,REKAP[[#This Row],[Harga Satuan]]*REKAP[[#This Row],[Selisih]],0)</f>
        <v>0</v>
      </c>
    </row>
    <row r="1502" spans="1:20" x14ac:dyDescent="0.25">
      <c r="A1502" s="55" t="s">
        <v>2939</v>
      </c>
      <c r="B1502" s="55" t="s">
        <v>3549</v>
      </c>
      <c r="C1502" s="55" t="s">
        <v>3549</v>
      </c>
      <c r="D1502" s="56" t="s">
        <v>2374</v>
      </c>
      <c r="E1502" s="57"/>
      <c r="F1502" s="75" t="s">
        <v>247</v>
      </c>
      <c r="G1502" s="64" t="s">
        <v>1989</v>
      </c>
      <c r="H1502" s="58">
        <v>286000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1</v>
      </c>
      <c r="M1502" s="74">
        <f>SUMIF(MASUK!$C:$C,REKAP[[#This Row],[ID]],MASUK!$H:$H)</f>
        <v>1</v>
      </c>
      <c r="N1502" s="74">
        <f>SUMIF(KELUAR!$C:$C,REKAP[[#This Row],[ID]],KELUAR!$H:$H)</f>
        <v>1</v>
      </c>
      <c r="O1502" s="74">
        <f>REKAP[[#This Row],[Stok Awal]]+REKAP[[#This Row],[Masuk]]-REKAP[[#This Row],[Keluar]]</f>
        <v>1</v>
      </c>
      <c r="P1502" s="55">
        <v>1</v>
      </c>
      <c r="Q1502" s="62">
        <f>REKAP[[#This Row],[Harga Satuan]]*REKAP[[#This Row],[Stok Akhir]]</f>
        <v>286000</v>
      </c>
      <c r="R1502" s="61">
        <f>IF(REKAP[[#This Row],[Stok Aktual]]&lt;&gt;"",REKAP[[#This Row],[Stok Aktual]]-REKAP[[#This Row],[Stok Akhir]],0)</f>
        <v>0</v>
      </c>
      <c r="S1502" s="132"/>
      <c r="T1502" s="137">
        <f>IF(REKAP[[#This Row],[Selisih]]&lt;=-1,REKAP[[#This Row],[Harga Satuan]]*REKAP[[#This Row],[Selisih]],0)</f>
        <v>0</v>
      </c>
    </row>
    <row r="1503" spans="1:20" x14ac:dyDescent="0.25">
      <c r="A1503" s="55" t="s">
        <v>2940</v>
      </c>
      <c r="B1503" s="55" t="s">
        <v>2375</v>
      </c>
      <c r="C1503" s="55" t="s">
        <v>2375</v>
      </c>
      <c r="D1503" s="56" t="s">
        <v>2376</v>
      </c>
      <c r="E1503" s="57"/>
      <c r="F1503" s="75" t="s">
        <v>247</v>
      </c>
      <c r="G1503" s="64"/>
      <c r="H1503" s="58">
        <v>439500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1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1</v>
      </c>
      <c r="P1503" s="55"/>
      <c r="Q1503" s="62">
        <f>REKAP[[#This Row],[Harga Satuan]]*REKAP[[#This Row],[Stok Akhir]]</f>
        <v>439500</v>
      </c>
      <c r="R1503" s="61">
        <f>IF(REKAP[[#This Row],[Stok Aktual]]&lt;&gt;"",REKAP[[#This Row],[Stok Aktual]]-REKAP[[#This Row],[Stok Akhir]],0)</f>
        <v>0</v>
      </c>
      <c r="S1503" s="132"/>
      <c r="T1503" s="137">
        <f>IF(REKAP[[#This Row],[Selisih]]&lt;=-1,REKAP[[#This Row],[Harga Satuan]]*REKAP[[#This Row],[Selisih]],0)</f>
        <v>0</v>
      </c>
    </row>
    <row r="1504" spans="1:20" x14ac:dyDescent="0.25">
      <c r="A1504" s="55" t="s">
        <v>2941</v>
      </c>
      <c r="B1504" s="55" t="s">
        <v>2375</v>
      </c>
      <c r="C1504" s="55" t="s">
        <v>2375</v>
      </c>
      <c r="D1504" s="56" t="s">
        <v>2377</v>
      </c>
      <c r="E1504" s="57"/>
      <c r="F1504" s="75" t="s">
        <v>247</v>
      </c>
      <c r="G1504" s="64"/>
      <c r="H1504" s="58">
        <v>546000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1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1</v>
      </c>
      <c r="P1504" s="55"/>
      <c r="Q1504" s="62">
        <f>REKAP[[#This Row],[Harga Satuan]]*REKAP[[#This Row],[Stok Akhir]]</f>
        <v>546000</v>
      </c>
      <c r="R1504" s="61">
        <f>IF(REKAP[[#This Row],[Stok Aktual]]&lt;&gt;"",REKAP[[#This Row],[Stok Aktual]]-REKAP[[#This Row],[Stok Akhir]],0)</f>
        <v>0</v>
      </c>
      <c r="S1504" s="132"/>
      <c r="T1504" s="137">
        <f>IF(REKAP[[#This Row],[Selisih]]&lt;=-1,REKAP[[#This Row],[Harga Satuan]]*REKAP[[#This Row],[Selisih]],0)</f>
        <v>0</v>
      </c>
    </row>
    <row r="1505" spans="1:20" x14ac:dyDescent="0.25">
      <c r="A1505" s="55" t="s">
        <v>2942</v>
      </c>
      <c r="B1505" s="55" t="s">
        <v>2375</v>
      </c>
      <c r="C1505" s="55" t="s">
        <v>2375</v>
      </c>
      <c r="D1505" s="56" t="s">
        <v>2378</v>
      </c>
      <c r="E1505" s="57"/>
      <c r="F1505" s="75" t="s">
        <v>247</v>
      </c>
      <c r="G1505" s="64" t="s">
        <v>1989</v>
      </c>
      <c r="H1505" s="58">
        <v>814000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1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1</v>
      </c>
      <c r="P1505" s="55"/>
      <c r="Q1505" s="62">
        <f>REKAP[[#This Row],[Harga Satuan]]*REKAP[[#This Row],[Stok Akhir]]</f>
        <v>814000</v>
      </c>
      <c r="R1505" s="61">
        <f>IF(REKAP[[#This Row],[Stok Aktual]]&lt;&gt;"",REKAP[[#This Row],[Stok Aktual]]-REKAP[[#This Row],[Stok Akhir]],0)</f>
        <v>0</v>
      </c>
      <c r="S1505" s="132"/>
      <c r="T1505" s="137">
        <f>IF(REKAP[[#This Row],[Selisih]]&lt;=-1,REKAP[[#This Row],[Harga Satuan]]*REKAP[[#This Row],[Selisih]],0)</f>
        <v>0</v>
      </c>
    </row>
    <row r="1506" spans="1:20" x14ac:dyDescent="0.25">
      <c r="A1506" s="55" t="s">
        <v>2943</v>
      </c>
      <c r="B1506" s="55" t="s">
        <v>3544</v>
      </c>
      <c r="C1506" s="55" t="s">
        <v>3544</v>
      </c>
      <c r="D1506" s="56" t="s">
        <v>2379</v>
      </c>
      <c r="E1506" s="57"/>
      <c r="F1506" s="75" t="s">
        <v>247</v>
      </c>
      <c r="G1506" s="64"/>
      <c r="H1506" s="58">
        <v>1323000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0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0</v>
      </c>
      <c r="P1506" s="55"/>
      <c r="Q1506" s="62">
        <f>REKAP[[#This Row],[Harga Satuan]]*REKAP[[#This Row],[Stok Akhir]]</f>
        <v>0</v>
      </c>
      <c r="R1506" s="61">
        <f>IF(REKAP[[#This Row],[Stok Aktual]]&lt;&gt;"",REKAP[[#This Row],[Stok Aktual]]-REKAP[[#This Row],[Stok Akhir]],0)</f>
        <v>0</v>
      </c>
      <c r="S1506" s="132"/>
      <c r="T1506" s="137">
        <f>IF(REKAP[[#This Row],[Selisih]]&lt;=-1,REKAP[[#This Row],[Harga Satuan]]*REKAP[[#This Row],[Selisih]],0)</f>
        <v>0</v>
      </c>
    </row>
    <row r="1507" spans="1:20" x14ac:dyDescent="0.25">
      <c r="A1507" s="55" t="s">
        <v>2944</v>
      </c>
      <c r="B1507" s="55" t="s">
        <v>3551</v>
      </c>
      <c r="C1507" s="55" t="s">
        <v>3551</v>
      </c>
      <c r="D1507" s="56" t="s">
        <v>2380</v>
      </c>
      <c r="E1507" s="57"/>
      <c r="F1507" s="75" t="s">
        <v>247</v>
      </c>
      <c r="G1507" s="64" t="s">
        <v>828</v>
      </c>
      <c r="H1507" s="58">
        <v>1920000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0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>
        <f>IF(REKAP[[#This Row],[Stok Aktual]]&lt;&gt;"",REKAP[[#This Row],[Stok Aktual]]-REKAP[[#This Row],[Stok Akhir]],0)</f>
        <v>0</v>
      </c>
      <c r="S1507" s="132"/>
      <c r="T1507" s="137">
        <f>IF(REKAP[[#This Row],[Selisih]]&lt;=-1,REKAP[[#This Row],[Harga Satuan]]*REKAP[[#This Row],[Selisih]],0)</f>
        <v>0</v>
      </c>
    </row>
    <row r="1508" spans="1:20" x14ac:dyDescent="0.25">
      <c r="A1508" s="55" t="s">
        <v>2945</v>
      </c>
      <c r="B1508" s="55" t="s">
        <v>3544</v>
      </c>
      <c r="C1508" s="55" t="s">
        <v>3544</v>
      </c>
      <c r="D1508" s="56" t="s">
        <v>2381</v>
      </c>
      <c r="E1508" s="57"/>
      <c r="F1508" s="75" t="s">
        <v>247</v>
      </c>
      <c r="G1508" s="64"/>
      <c r="H1508" s="58">
        <v>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30000</v>
      </c>
      <c r="R1508" s="61">
        <f>IF(REKAP[[#This Row],[Stok Aktual]]&lt;&gt;"",REKAP[[#This Row],[Stok Aktual]]-REKAP[[#This Row],[Stok Akhir]],0)</f>
        <v>0</v>
      </c>
      <c r="S1508" s="132"/>
      <c r="T1508" s="137">
        <f>IF(REKAP[[#This Row],[Selisih]]&lt;=-1,REKAP[[#This Row],[Harga Satuan]]*REKAP[[#This Row],[Selisih]],0)</f>
        <v>0</v>
      </c>
    </row>
    <row r="1509" spans="1:20" x14ac:dyDescent="0.25">
      <c r="A1509" s="55" t="s">
        <v>2946</v>
      </c>
      <c r="B1509" s="55" t="s">
        <v>3552</v>
      </c>
      <c r="C1509" s="55" t="s">
        <v>3552</v>
      </c>
      <c r="D1509" s="56" t="s">
        <v>2382</v>
      </c>
      <c r="E1509" s="57"/>
      <c r="F1509" s="75" t="s">
        <v>247</v>
      </c>
      <c r="G1509" s="64" t="s">
        <v>1989</v>
      </c>
      <c r="H1509" s="58">
        <v>386500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386500</v>
      </c>
      <c r="R1509" s="61">
        <f>IF(REKAP[[#This Row],[Stok Aktual]]&lt;&gt;"",REKAP[[#This Row],[Stok Aktual]]-REKAP[[#This Row],[Stok Akhir]],0)</f>
        <v>0</v>
      </c>
      <c r="S1509" s="132"/>
      <c r="T1509" s="137">
        <f>IF(REKAP[[#This Row],[Selisih]]&lt;=-1,REKAP[[#This Row],[Harga Satuan]]*REKAP[[#This Row],[Selisih]],0)</f>
        <v>0</v>
      </c>
    </row>
    <row r="1510" spans="1:20" x14ac:dyDescent="0.25">
      <c r="A1510" s="55" t="s">
        <v>2947</v>
      </c>
      <c r="B1510" s="55" t="s">
        <v>3552</v>
      </c>
      <c r="C1510" s="55" t="s">
        <v>3552</v>
      </c>
      <c r="D1510" s="56" t="s">
        <v>2383</v>
      </c>
      <c r="E1510" s="57"/>
      <c r="F1510" s="75" t="s">
        <v>247</v>
      </c>
      <c r="G1510" s="64" t="s">
        <v>2384</v>
      </c>
      <c r="H1510" s="58">
        <v>565000</v>
      </c>
      <c r="I1510" s="59">
        <f>IF(COUNTIF(MASUK[Kode Barang],REKAP[[#This Row],[ID]])=0,0,COUNTIF(MASUK[Kode Barang],REKAP[[#This Row],[ID]]))</f>
        <v>1</v>
      </c>
      <c r="J1510" s="59">
        <f>IF(COUNTIF(MASUK8[Kode Barang],REKAP[[#This Row],[ID]])=0,0,COUNTIF(MASUK8[Kode Barang],REKAP[[#This Row],[ID]]))</f>
        <v>1</v>
      </c>
      <c r="K1510" s="60">
        <f>REKAP[[#This Row],[Trx In]]+REKAP[[#This Row],[Trx Out]]</f>
        <v>2</v>
      </c>
      <c r="L1510" s="55">
        <v>1</v>
      </c>
      <c r="M1510" s="74">
        <f>SUMIF(MASUK!$C:$C,REKAP[[#This Row],[ID]],MASUK!$H:$H)</f>
        <v>2</v>
      </c>
      <c r="N1510" s="74">
        <f>SUMIF(KELUAR!$C:$C,REKAP[[#This Row],[ID]],KELUAR!$H:$H)</f>
        <v>1</v>
      </c>
      <c r="O1510" s="74">
        <f>REKAP[[#This Row],[Stok Awal]]+REKAP[[#This Row],[Masuk]]-REKAP[[#This Row],[Keluar]]</f>
        <v>2</v>
      </c>
      <c r="P1510" s="55">
        <v>2</v>
      </c>
      <c r="Q1510" s="62">
        <f>REKAP[[#This Row],[Harga Satuan]]*REKAP[[#This Row],[Stok Akhir]]</f>
        <v>1130000</v>
      </c>
      <c r="R1510" s="61">
        <f>IF(REKAP[[#This Row],[Stok Aktual]]&lt;&gt;"",REKAP[[#This Row],[Stok Aktual]]-REKAP[[#This Row],[Stok Akhir]],0)</f>
        <v>0</v>
      </c>
      <c r="S1510" s="132"/>
      <c r="T1510" s="137">
        <f>IF(REKAP[[#This Row],[Selisih]]&lt;=-1,REKAP[[#This Row],[Harga Satuan]]*REKAP[[#This Row],[Selisih]],0)</f>
        <v>0</v>
      </c>
    </row>
    <row r="1511" spans="1:20" x14ac:dyDescent="0.25">
      <c r="A1511" s="55" t="s">
        <v>2948</v>
      </c>
      <c r="B1511" s="55" t="s">
        <v>2385</v>
      </c>
      <c r="C1511" s="55" t="s">
        <v>2385</v>
      </c>
      <c r="D1511" s="56" t="s">
        <v>2386</v>
      </c>
      <c r="E1511" s="57"/>
      <c r="F1511" s="75" t="s">
        <v>247</v>
      </c>
      <c r="G1511" s="64"/>
      <c r="H1511" s="58">
        <v>130000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130000</v>
      </c>
      <c r="R1511" s="61">
        <f>IF(REKAP[[#This Row],[Stok Aktual]]&lt;&gt;"",REKAP[[#This Row],[Stok Aktual]]-REKAP[[#This Row],[Stok Akhir]],0)</f>
        <v>0</v>
      </c>
      <c r="S1511" s="132"/>
      <c r="T1511" s="137">
        <f>IF(REKAP[[#This Row],[Selisih]]&lt;=-1,REKAP[[#This Row],[Harga Satuan]]*REKAP[[#This Row],[Selisih]],0)</f>
        <v>0</v>
      </c>
    </row>
    <row r="1512" spans="1:20" x14ac:dyDescent="0.25">
      <c r="A1512" s="55" t="s">
        <v>2949</v>
      </c>
      <c r="B1512" s="55" t="s">
        <v>3544</v>
      </c>
      <c r="C1512" s="55" t="s">
        <v>3544</v>
      </c>
      <c r="D1512" s="56" t="s">
        <v>2387</v>
      </c>
      <c r="E1512" s="57"/>
      <c r="F1512" s="75" t="s">
        <v>247</v>
      </c>
      <c r="G1512" s="64"/>
      <c r="H1512" s="58">
        <v>55440.000000000007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0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>
        <f>IF(REKAP[[#This Row],[Stok Aktual]]&lt;&gt;"",REKAP[[#This Row],[Stok Aktual]]-REKAP[[#This Row],[Stok Akhir]],0)</f>
        <v>0</v>
      </c>
      <c r="S1512" s="132"/>
      <c r="T1512" s="137">
        <f>IF(REKAP[[#This Row],[Selisih]]&lt;=-1,REKAP[[#This Row],[Harga Satuan]]*REKAP[[#This Row],[Selisih]],0)</f>
        <v>0</v>
      </c>
    </row>
    <row r="1513" spans="1:20" x14ac:dyDescent="0.25">
      <c r="A1513" s="55" t="s">
        <v>2950</v>
      </c>
      <c r="B1513" s="55" t="s">
        <v>3550</v>
      </c>
      <c r="C1513" s="55" t="s">
        <v>3550</v>
      </c>
      <c r="D1513" s="56" t="s">
        <v>2388</v>
      </c>
      <c r="E1513" s="57"/>
      <c r="F1513" s="75" t="s">
        <v>247</v>
      </c>
      <c r="G1513" s="64"/>
      <c r="H1513" s="58">
        <v>993000</v>
      </c>
      <c r="I1513" s="59">
        <f>IF(COUNTIF(MASUK[Kode Barang],REKAP[[#This Row],[ID]])=0,0,COUNTIF(MASUK[Kode Barang],REKAP[[#This Row],[ID]]))</f>
        <v>1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1</v>
      </c>
      <c r="L1513" s="55">
        <v>0</v>
      </c>
      <c r="M1513" s="74">
        <f>SUMIF(MASUK!$C:$C,REKAP[[#This Row],[ID]],MASUK!$H:$H)</f>
        <v>1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1</v>
      </c>
      <c r="P1513" s="55">
        <v>1</v>
      </c>
      <c r="Q1513" s="62">
        <f>REKAP[[#This Row],[Harga Satuan]]*REKAP[[#This Row],[Stok Akhir]]</f>
        <v>993000</v>
      </c>
      <c r="R1513" s="61">
        <f>IF(REKAP[[#This Row],[Stok Aktual]]&lt;&gt;"",REKAP[[#This Row],[Stok Aktual]]-REKAP[[#This Row],[Stok Akhir]],0)</f>
        <v>0</v>
      </c>
      <c r="S1513" s="132"/>
      <c r="T1513" s="137">
        <f>IF(REKAP[[#This Row],[Selisih]]&lt;=-1,REKAP[[#This Row],[Harga Satuan]]*REKAP[[#This Row],[Selisih]],0)</f>
        <v>0</v>
      </c>
    </row>
    <row r="1514" spans="1:20" x14ac:dyDescent="0.25">
      <c r="A1514" s="55" t="s">
        <v>2951</v>
      </c>
      <c r="B1514" s="55" t="s">
        <v>3553</v>
      </c>
      <c r="C1514" s="55" t="s">
        <v>3553</v>
      </c>
      <c r="D1514" s="56" t="s">
        <v>2389</v>
      </c>
      <c r="E1514" s="57"/>
      <c r="F1514" s="75" t="s">
        <v>247</v>
      </c>
      <c r="G1514" s="64" t="s">
        <v>2390</v>
      </c>
      <c r="H1514" s="58">
        <v>203000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1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1</v>
      </c>
      <c r="P1514" s="55"/>
      <c r="Q1514" s="62">
        <f>REKAP[[#This Row],[Harga Satuan]]*REKAP[[#This Row],[Stok Akhir]]</f>
        <v>203000</v>
      </c>
      <c r="R1514" s="61">
        <f>IF(REKAP[[#This Row],[Stok Aktual]]&lt;&gt;"",REKAP[[#This Row],[Stok Aktual]]-REKAP[[#This Row],[Stok Akhir]],0)</f>
        <v>0</v>
      </c>
      <c r="S1514" s="132"/>
      <c r="T1514" s="137">
        <f>IF(REKAP[[#This Row],[Selisih]]&lt;=-1,REKAP[[#This Row],[Harga Satuan]]*REKAP[[#This Row],[Selisih]],0)</f>
        <v>0</v>
      </c>
    </row>
    <row r="1515" spans="1:20" x14ac:dyDescent="0.25">
      <c r="A1515" s="55" t="s">
        <v>2952</v>
      </c>
      <c r="B1515" s="55" t="s">
        <v>2391</v>
      </c>
      <c r="C1515" s="55" t="s">
        <v>2391</v>
      </c>
      <c r="D1515" s="56" t="s">
        <v>2392</v>
      </c>
      <c r="E1515" s="57"/>
      <c r="F1515" s="75" t="s">
        <v>247</v>
      </c>
      <c r="G1515" s="64"/>
      <c r="H1515" s="58">
        <v>1400000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1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1</v>
      </c>
      <c r="P1515" s="55"/>
      <c r="Q1515" s="62">
        <f>REKAP[[#This Row],[Harga Satuan]]*REKAP[[#This Row],[Stok Akhir]]</f>
        <v>1400000</v>
      </c>
      <c r="R1515" s="61">
        <f>IF(REKAP[[#This Row],[Stok Aktual]]&lt;&gt;"",REKAP[[#This Row],[Stok Aktual]]-REKAP[[#This Row],[Stok Akhir]],0)</f>
        <v>0</v>
      </c>
      <c r="S1515" s="132"/>
      <c r="T1515" s="137">
        <f>IF(REKAP[[#This Row],[Selisih]]&lt;=-1,REKAP[[#This Row],[Harga Satuan]]*REKAP[[#This Row],[Selisih]],0)</f>
        <v>0</v>
      </c>
    </row>
    <row r="1516" spans="1:20" x14ac:dyDescent="0.25">
      <c r="A1516" s="55" t="s">
        <v>2953</v>
      </c>
      <c r="B1516" s="55" t="s">
        <v>2393</v>
      </c>
      <c r="C1516" s="55" t="s">
        <v>2393</v>
      </c>
      <c r="D1516" s="56" t="s">
        <v>2394</v>
      </c>
      <c r="E1516" s="57"/>
      <c r="F1516" s="75" t="s">
        <v>247</v>
      </c>
      <c r="G1516" s="64"/>
      <c r="H1516" s="58">
        <v>130000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0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0</v>
      </c>
      <c r="P1516" s="55"/>
      <c r="Q1516" s="62">
        <f>REKAP[[#This Row],[Harga Satuan]]*REKAP[[#This Row],[Stok Akhir]]</f>
        <v>0</v>
      </c>
      <c r="R1516" s="61">
        <f>IF(REKAP[[#This Row],[Stok Aktual]]&lt;&gt;"",REKAP[[#This Row],[Stok Aktual]]-REKAP[[#This Row],[Stok Akhir]],0)</f>
        <v>0</v>
      </c>
      <c r="S1516" s="132"/>
      <c r="T1516" s="137">
        <f>IF(REKAP[[#This Row],[Selisih]]&lt;=-1,REKAP[[#This Row],[Harga Satuan]]*REKAP[[#This Row],[Selisih]],0)</f>
        <v>0</v>
      </c>
    </row>
    <row r="1517" spans="1:20" x14ac:dyDescent="0.25">
      <c r="A1517" s="55" t="s">
        <v>2954</v>
      </c>
      <c r="B1517" s="55" t="s">
        <v>2393</v>
      </c>
      <c r="C1517" s="55" t="s">
        <v>2393</v>
      </c>
      <c r="D1517" s="56" t="s">
        <v>2395</v>
      </c>
      <c r="E1517" s="57"/>
      <c r="F1517" s="75" t="s">
        <v>247</v>
      </c>
      <c r="G1517" s="64"/>
      <c r="H1517" s="58">
        <v>130000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>
        <f>IF(REKAP[[#This Row],[Stok Aktual]]&lt;&gt;"",REKAP[[#This Row],[Stok Aktual]]-REKAP[[#This Row],[Stok Akhir]],0)</f>
        <v>0</v>
      </c>
      <c r="S1517" s="132"/>
      <c r="T1517" s="137">
        <f>IF(REKAP[[#This Row],[Selisih]]&lt;=-1,REKAP[[#This Row],[Harga Satuan]]*REKAP[[#This Row],[Selisih]],0)</f>
        <v>0</v>
      </c>
    </row>
    <row r="1518" spans="1:20" x14ac:dyDescent="0.25">
      <c r="A1518" s="55" t="s">
        <v>2955</v>
      </c>
      <c r="B1518" s="55" t="s">
        <v>3554</v>
      </c>
      <c r="C1518" s="55" t="s">
        <v>3554</v>
      </c>
      <c r="D1518" s="56" t="s">
        <v>2396</v>
      </c>
      <c r="E1518" s="57"/>
      <c r="F1518" s="75" t="s">
        <v>247</v>
      </c>
      <c r="G1518" s="64"/>
      <c r="H1518" s="58">
        <v>3000000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3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3</v>
      </c>
      <c r="P1518" s="55"/>
      <c r="Q1518" s="62">
        <f>REKAP[[#This Row],[Harga Satuan]]*REKAP[[#This Row],[Stok Akhir]]</f>
        <v>9000000</v>
      </c>
      <c r="R1518" s="61">
        <f>IF(REKAP[[#This Row],[Stok Aktual]]&lt;&gt;"",REKAP[[#This Row],[Stok Aktual]]-REKAP[[#This Row],[Stok Akhir]],0)</f>
        <v>0</v>
      </c>
      <c r="S1518" s="132"/>
      <c r="T1518" s="137">
        <f>IF(REKAP[[#This Row],[Selisih]]&lt;=-1,REKAP[[#This Row],[Harga Satuan]]*REKAP[[#This Row],[Selisih]],0)</f>
        <v>0</v>
      </c>
    </row>
    <row r="1519" spans="1:20" x14ac:dyDescent="0.25">
      <c r="A1519" s="55" t="s">
        <v>2956</v>
      </c>
      <c r="B1519" s="55" t="s">
        <v>3554</v>
      </c>
      <c r="C1519" s="55" t="s">
        <v>3554</v>
      </c>
      <c r="D1519" s="56" t="s">
        <v>2397</v>
      </c>
      <c r="E1519" s="57"/>
      <c r="F1519" s="75" t="s">
        <v>247</v>
      </c>
      <c r="G1519" s="64"/>
      <c r="H1519" s="58">
        <v>3000000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>
        <f>IF(REKAP[[#This Row],[Stok Aktual]]&lt;&gt;"",REKAP[[#This Row],[Stok Aktual]]-REKAP[[#This Row],[Stok Akhir]],0)</f>
        <v>0</v>
      </c>
      <c r="S1519" s="132"/>
      <c r="T1519" s="137">
        <f>IF(REKAP[[#This Row],[Selisih]]&lt;=-1,REKAP[[#This Row],[Harga Satuan]]*REKAP[[#This Row],[Selisih]],0)</f>
        <v>0</v>
      </c>
    </row>
    <row r="1520" spans="1:20" x14ac:dyDescent="0.25">
      <c r="A1520" s="55" t="s">
        <v>2957</v>
      </c>
      <c r="B1520" s="55" t="s">
        <v>3554</v>
      </c>
      <c r="C1520" s="55" t="s">
        <v>3554</v>
      </c>
      <c r="D1520" s="56" t="s">
        <v>2398</v>
      </c>
      <c r="E1520" s="57"/>
      <c r="F1520" s="75" t="s">
        <v>247</v>
      </c>
      <c r="G1520" s="64"/>
      <c r="H1520" s="58">
        <v>3000000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0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0</v>
      </c>
      <c r="P1520" s="55"/>
      <c r="Q1520" s="62">
        <f>REKAP[[#This Row],[Harga Satuan]]*REKAP[[#This Row],[Stok Akhir]]</f>
        <v>0</v>
      </c>
      <c r="R1520" s="61">
        <f>IF(REKAP[[#This Row],[Stok Aktual]]&lt;&gt;"",REKAP[[#This Row],[Stok Aktual]]-REKAP[[#This Row],[Stok Akhir]],0)</f>
        <v>0</v>
      </c>
      <c r="S1520" s="132"/>
      <c r="T1520" s="137">
        <f>IF(REKAP[[#This Row],[Selisih]]&lt;=-1,REKAP[[#This Row],[Harga Satuan]]*REKAP[[#This Row],[Selisih]],0)</f>
        <v>0</v>
      </c>
    </row>
    <row r="1521" spans="1:20" x14ac:dyDescent="0.25">
      <c r="A1521" s="55" t="s">
        <v>2958</v>
      </c>
      <c r="B1521" s="55" t="s">
        <v>3554</v>
      </c>
      <c r="C1521" s="55" t="s">
        <v>3554</v>
      </c>
      <c r="D1521" s="56" t="s">
        <v>2399</v>
      </c>
      <c r="E1521" s="57"/>
      <c r="F1521" s="75" t="s">
        <v>247</v>
      </c>
      <c r="G1521" s="64"/>
      <c r="H1521" s="58">
        <v>3000000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3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3</v>
      </c>
      <c r="P1521" s="55"/>
      <c r="Q1521" s="62">
        <f>REKAP[[#This Row],[Harga Satuan]]*REKAP[[#This Row],[Stok Akhir]]</f>
        <v>9000000</v>
      </c>
      <c r="R1521" s="61">
        <f>IF(REKAP[[#This Row],[Stok Aktual]]&lt;&gt;"",REKAP[[#This Row],[Stok Aktual]]-REKAP[[#This Row],[Stok Akhir]],0)</f>
        <v>0</v>
      </c>
      <c r="S1521" s="132"/>
      <c r="T1521" s="137">
        <f>IF(REKAP[[#This Row],[Selisih]]&lt;=-1,REKAP[[#This Row],[Harga Satuan]]*REKAP[[#This Row],[Selisih]],0)</f>
        <v>0</v>
      </c>
    </row>
    <row r="1522" spans="1:20" x14ac:dyDescent="0.25">
      <c r="A1522" s="55" t="s">
        <v>2959</v>
      </c>
      <c r="B1522" s="55" t="s">
        <v>3554</v>
      </c>
      <c r="C1522" s="55" t="s">
        <v>3554</v>
      </c>
      <c r="D1522" s="56" t="s">
        <v>2400</v>
      </c>
      <c r="E1522" s="57"/>
      <c r="F1522" s="75" t="s">
        <v>247</v>
      </c>
      <c r="G1522" s="64"/>
      <c r="H1522" s="58">
        <v>3000000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8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8</v>
      </c>
      <c r="P1522" s="55"/>
      <c r="Q1522" s="62">
        <f>REKAP[[#This Row],[Harga Satuan]]*REKAP[[#This Row],[Stok Akhir]]</f>
        <v>24000000</v>
      </c>
      <c r="R1522" s="61">
        <f>IF(REKAP[[#This Row],[Stok Aktual]]&lt;&gt;"",REKAP[[#This Row],[Stok Aktual]]-REKAP[[#This Row],[Stok Akhir]],0)</f>
        <v>0</v>
      </c>
      <c r="S1522" s="132"/>
      <c r="T1522" s="137">
        <f>IF(REKAP[[#This Row],[Selisih]]&lt;=-1,REKAP[[#This Row],[Harga Satuan]]*REKAP[[#This Row],[Selisih]],0)</f>
        <v>0</v>
      </c>
    </row>
    <row r="1523" spans="1:20" x14ac:dyDescent="0.25">
      <c r="A1523" s="55" t="s">
        <v>2960</v>
      </c>
      <c r="B1523" s="55" t="s">
        <v>3554</v>
      </c>
      <c r="C1523" s="55" t="s">
        <v>3554</v>
      </c>
      <c r="D1523" s="56" t="s">
        <v>2401</v>
      </c>
      <c r="E1523" s="57"/>
      <c r="F1523" s="75" t="s">
        <v>247</v>
      </c>
      <c r="G1523" s="64"/>
      <c r="H1523" s="58">
        <v>3000000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3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3</v>
      </c>
      <c r="P1523" s="55"/>
      <c r="Q1523" s="62">
        <f>REKAP[[#This Row],[Harga Satuan]]*REKAP[[#This Row],[Stok Akhir]]</f>
        <v>9000000</v>
      </c>
      <c r="R1523" s="61">
        <f>IF(REKAP[[#This Row],[Stok Aktual]]&lt;&gt;"",REKAP[[#This Row],[Stok Aktual]]-REKAP[[#This Row],[Stok Akhir]],0)</f>
        <v>0</v>
      </c>
      <c r="S1523" s="132"/>
      <c r="T1523" s="137">
        <f>IF(REKAP[[#This Row],[Selisih]]&lt;=-1,REKAP[[#This Row],[Harga Satuan]]*REKAP[[#This Row],[Selisih]],0)</f>
        <v>0</v>
      </c>
    </row>
    <row r="1524" spans="1:20" x14ac:dyDescent="0.25">
      <c r="A1524" s="55" t="s">
        <v>2961</v>
      </c>
      <c r="B1524" s="55" t="s">
        <v>3487</v>
      </c>
      <c r="C1524" s="55" t="s">
        <v>3487</v>
      </c>
      <c r="D1524" s="56" t="s">
        <v>2402</v>
      </c>
      <c r="E1524" s="57"/>
      <c r="F1524" s="75" t="s">
        <v>247</v>
      </c>
      <c r="G1524" s="64" t="s">
        <v>249</v>
      </c>
      <c r="H1524" s="58">
        <v>4428000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0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0</v>
      </c>
      <c r="P1524" s="55"/>
      <c r="Q1524" s="62">
        <f>REKAP[[#This Row],[Harga Satuan]]*REKAP[[#This Row],[Stok Akhir]]</f>
        <v>0</v>
      </c>
      <c r="R1524" s="61">
        <f>IF(REKAP[[#This Row],[Stok Aktual]]&lt;&gt;"",REKAP[[#This Row],[Stok Aktual]]-REKAP[[#This Row],[Stok Akhir]],0)</f>
        <v>0</v>
      </c>
      <c r="S1524" s="132"/>
      <c r="T1524" s="137">
        <f>IF(REKAP[[#This Row],[Selisih]]&lt;=-1,REKAP[[#This Row],[Harga Satuan]]*REKAP[[#This Row],[Selisih]],0)</f>
        <v>0</v>
      </c>
    </row>
    <row r="1525" spans="1:20" x14ac:dyDescent="0.25">
      <c r="A1525" s="55" t="s">
        <v>2962</v>
      </c>
      <c r="B1525" s="55" t="s">
        <v>3487</v>
      </c>
      <c r="C1525" s="55" t="s">
        <v>3487</v>
      </c>
      <c r="D1525" s="56" t="s">
        <v>2403</v>
      </c>
      <c r="E1525" s="57"/>
      <c r="F1525" s="75" t="s">
        <v>247</v>
      </c>
      <c r="G1525" s="64" t="s">
        <v>249</v>
      </c>
      <c r="H1525" s="58">
        <v>4648000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0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0</v>
      </c>
      <c r="P1525" s="55"/>
      <c r="Q1525" s="62">
        <f>REKAP[[#This Row],[Harga Satuan]]*REKAP[[#This Row],[Stok Akhir]]</f>
        <v>0</v>
      </c>
      <c r="R1525" s="61">
        <f>IF(REKAP[[#This Row],[Stok Aktual]]&lt;&gt;"",REKAP[[#This Row],[Stok Aktual]]-REKAP[[#This Row],[Stok Akhir]],0)</f>
        <v>0</v>
      </c>
      <c r="S1525" s="132"/>
      <c r="T1525" s="137">
        <f>IF(REKAP[[#This Row],[Selisih]]&lt;=-1,REKAP[[#This Row],[Harga Satuan]]*REKAP[[#This Row],[Selisih]],0)</f>
        <v>0</v>
      </c>
    </row>
    <row r="1526" spans="1:20" x14ac:dyDescent="0.25">
      <c r="A1526" s="55" t="s">
        <v>2963</v>
      </c>
      <c r="B1526" s="55" t="s">
        <v>3487</v>
      </c>
      <c r="C1526" s="55" t="s">
        <v>3487</v>
      </c>
      <c r="D1526" s="56" t="s">
        <v>2404</v>
      </c>
      <c r="E1526" s="57"/>
      <c r="F1526" s="75" t="s">
        <v>247</v>
      </c>
      <c r="G1526" s="64" t="s">
        <v>249</v>
      </c>
      <c r="H1526" s="58">
        <v>5916000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>
        <f>IF(REKAP[[#This Row],[Stok Aktual]]&lt;&gt;"",REKAP[[#This Row],[Stok Aktual]]-REKAP[[#This Row],[Stok Akhir]],0)</f>
        <v>0</v>
      </c>
      <c r="S1526" s="132"/>
      <c r="T1526" s="137">
        <f>IF(REKAP[[#This Row],[Selisih]]&lt;=-1,REKAP[[#This Row],[Harga Satuan]]*REKAP[[#This Row],[Selisih]],0)</f>
        <v>0</v>
      </c>
    </row>
    <row r="1527" spans="1:20" x14ac:dyDescent="0.25">
      <c r="A1527" s="55" t="s">
        <v>2964</v>
      </c>
      <c r="B1527" s="55" t="s">
        <v>3555</v>
      </c>
      <c r="C1527" s="55" t="s">
        <v>3555</v>
      </c>
      <c r="D1527" s="56" t="s">
        <v>2405</v>
      </c>
      <c r="E1527" s="57"/>
      <c r="F1527" s="75" t="s">
        <v>247</v>
      </c>
      <c r="G1527" s="64"/>
      <c r="H1527" s="58">
        <v>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1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1</v>
      </c>
      <c r="P1527" s="55"/>
      <c r="Q1527" s="62">
        <f>REKAP[[#This Row],[Harga Satuan]]*REKAP[[#This Row],[Stok Akhir]]</f>
        <v>0</v>
      </c>
      <c r="R1527" s="61">
        <f>IF(REKAP[[#This Row],[Stok Aktual]]&lt;&gt;"",REKAP[[#This Row],[Stok Aktual]]-REKAP[[#This Row],[Stok Akhir]],0)</f>
        <v>0</v>
      </c>
      <c r="S1527" s="132"/>
      <c r="T1527" s="137">
        <f>IF(REKAP[[#This Row],[Selisih]]&lt;=-1,REKAP[[#This Row],[Harga Satuan]]*REKAP[[#This Row],[Selisih]],0)</f>
        <v>0</v>
      </c>
    </row>
    <row r="1528" spans="1:20" x14ac:dyDescent="0.25">
      <c r="A1528" s="55" t="s">
        <v>2965</v>
      </c>
      <c r="B1528" s="55" t="s">
        <v>3555</v>
      </c>
      <c r="C1528" s="55" t="s">
        <v>3555</v>
      </c>
      <c r="D1528" s="56" t="s">
        <v>2406</v>
      </c>
      <c r="E1528" s="57"/>
      <c r="F1528" s="75" t="s">
        <v>247</v>
      </c>
      <c r="G1528" s="64"/>
      <c r="H1528" s="58">
        <v>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0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0</v>
      </c>
      <c r="P1528" s="55"/>
      <c r="Q1528" s="62">
        <f>REKAP[[#This Row],[Harga Satuan]]*REKAP[[#This Row],[Stok Akhir]]</f>
        <v>0</v>
      </c>
      <c r="R1528" s="61">
        <f>IF(REKAP[[#This Row],[Stok Aktual]]&lt;&gt;"",REKAP[[#This Row],[Stok Aktual]]-REKAP[[#This Row],[Stok Akhir]],0)</f>
        <v>0</v>
      </c>
      <c r="S1528" s="132"/>
      <c r="T1528" s="137">
        <f>IF(REKAP[[#This Row],[Selisih]]&lt;=-1,REKAP[[#This Row],[Harga Satuan]]*REKAP[[#This Row],[Selisih]],0)</f>
        <v>0</v>
      </c>
    </row>
    <row r="1529" spans="1:20" x14ac:dyDescent="0.25">
      <c r="A1529" s="55" t="s">
        <v>2966</v>
      </c>
      <c r="B1529" s="55" t="s">
        <v>3555</v>
      </c>
      <c r="C1529" s="55" t="s">
        <v>3555</v>
      </c>
      <c r="D1529" s="56" t="s">
        <v>2407</v>
      </c>
      <c r="E1529" s="57"/>
      <c r="F1529" s="75" t="s">
        <v>247</v>
      </c>
      <c r="G1529" s="64"/>
      <c r="H1529" s="58">
        <v>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2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2</v>
      </c>
      <c r="P1529" s="55"/>
      <c r="Q1529" s="62">
        <f>REKAP[[#This Row],[Harga Satuan]]*REKAP[[#This Row],[Stok Akhir]]</f>
        <v>0</v>
      </c>
      <c r="R1529" s="61">
        <f>IF(REKAP[[#This Row],[Stok Aktual]]&lt;&gt;"",REKAP[[#This Row],[Stok Aktual]]-REKAP[[#This Row],[Stok Akhir]],0)</f>
        <v>0</v>
      </c>
      <c r="S1529" s="132"/>
      <c r="T1529" s="137">
        <f>IF(REKAP[[#This Row],[Selisih]]&lt;=-1,REKAP[[#This Row],[Harga Satuan]]*REKAP[[#This Row],[Selisih]],0)</f>
        <v>0</v>
      </c>
    </row>
    <row r="1530" spans="1:20" x14ac:dyDescent="0.25">
      <c r="A1530" s="55" t="s">
        <v>2967</v>
      </c>
      <c r="B1530" s="55" t="s">
        <v>3556</v>
      </c>
      <c r="C1530" s="55" t="s">
        <v>3556</v>
      </c>
      <c r="D1530" s="56" t="s">
        <v>2408</v>
      </c>
      <c r="E1530" s="57"/>
      <c r="F1530" s="75" t="s">
        <v>247</v>
      </c>
      <c r="G1530" s="64"/>
      <c r="H1530" s="58">
        <v>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>
        <f>IF(REKAP[[#This Row],[Stok Aktual]]&lt;&gt;"",REKAP[[#This Row],[Stok Aktual]]-REKAP[[#This Row],[Stok Akhir]],0)</f>
        <v>0</v>
      </c>
      <c r="S1530" s="132"/>
      <c r="T1530" s="137">
        <f>IF(REKAP[[#This Row],[Selisih]]&lt;=-1,REKAP[[#This Row],[Harga Satuan]]*REKAP[[#This Row],[Selisih]],0)</f>
        <v>0</v>
      </c>
    </row>
    <row r="1531" spans="1:20" x14ac:dyDescent="0.25">
      <c r="A1531" s="55" t="s">
        <v>2968</v>
      </c>
      <c r="B1531" s="55" t="s">
        <v>2409</v>
      </c>
      <c r="C1531" s="55" t="s">
        <v>2409</v>
      </c>
      <c r="D1531" s="56" t="s">
        <v>3495</v>
      </c>
      <c r="E1531" s="57"/>
      <c r="F1531" s="75" t="s">
        <v>247</v>
      </c>
      <c r="G1531" s="64" t="s">
        <v>2410</v>
      </c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>
        <f>IF(REKAP[[#This Row],[Stok Aktual]]&lt;&gt;"",REKAP[[#This Row],[Stok Aktual]]-REKAP[[#This Row],[Stok Akhir]],0)</f>
        <v>0</v>
      </c>
      <c r="S1531" s="132"/>
      <c r="T1531" s="137">
        <f>IF(REKAP[[#This Row],[Selisih]]&lt;=-1,REKAP[[#This Row],[Harga Satuan]]*REKAP[[#This Row],[Selisih]],0)</f>
        <v>0</v>
      </c>
    </row>
    <row r="1532" spans="1:20" x14ac:dyDescent="0.25">
      <c r="A1532" s="55" t="s">
        <v>2969</v>
      </c>
      <c r="B1532" s="55" t="s">
        <v>3568</v>
      </c>
      <c r="C1532" s="55" t="s">
        <v>3568</v>
      </c>
      <c r="D1532" s="56" t="s">
        <v>2411</v>
      </c>
      <c r="E1532" s="57"/>
      <c r="F1532" s="75" t="s">
        <v>247</v>
      </c>
      <c r="G1532" s="64"/>
      <c r="H1532" s="58">
        <v>50000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>
        <f>IF(REKAP[[#This Row],[Stok Aktual]]&lt;&gt;"",REKAP[[#This Row],[Stok Aktual]]-REKAP[[#This Row],[Stok Akhir]],0)</f>
        <v>0</v>
      </c>
      <c r="S1532" s="132"/>
      <c r="T1532" s="137">
        <f>IF(REKAP[[#This Row],[Selisih]]&lt;=-1,REKAP[[#This Row],[Harga Satuan]]*REKAP[[#This Row],[Selisih]],0)</f>
        <v>0</v>
      </c>
    </row>
    <row r="1533" spans="1:20" x14ac:dyDescent="0.25">
      <c r="A1533" s="55" t="s">
        <v>2970</v>
      </c>
      <c r="B1533" s="55" t="s">
        <v>3568</v>
      </c>
      <c r="C1533" s="55" t="s">
        <v>3568</v>
      </c>
      <c r="D1533" s="56" t="s">
        <v>2412</v>
      </c>
      <c r="E1533" s="57"/>
      <c r="F1533" s="75" t="s">
        <v>247</v>
      </c>
      <c r="G1533" s="64" t="s">
        <v>1983</v>
      </c>
      <c r="H1533" s="58">
        <v>332000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20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20</v>
      </c>
      <c r="P1533" s="55"/>
      <c r="Q1533" s="62">
        <f>REKAP[[#This Row],[Harga Satuan]]*REKAP[[#This Row],[Stok Akhir]]</f>
        <v>6640000</v>
      </c>
      <c r="R1533" s="61">
        <f>IF(REKAP[[#This Row],[Stok Aktual]]&lt;&gt;"",REKAP[[#This Row],[Stok Aktual]]-REKAP[[#This Row],[Stok Akhir]],0)</f>
        <v>0</v>
      </c>
      <c r="S1533" s="132"/>
      <c r="T1533" s="137">
        <f>IF(REKAP[[#This Row],[Selisih]]&lt;=-1,REKAP[[#This Row],[Harga Satuan]]*REKAP[[#This Row],[Selisih]],0)</f>
        <v>0</v>
      </c>
    </row>
    <row r="1534" spans="1:20" x14ac:dyDescent="0.25">
      <c r="A1534" s="55" t="s">
        <v>2971</v>
      </c>
      <c r="B1534" s="55" t="s">
        <v>3569</v>
      </c>
      <c r="C1534" s="55" t="s">
        <v>3569</v>
      </c>
      <c r="D1534" s="56" t="s">
        <v>2413</v>
      </c>
      <c r="E1534" s="57"/>
      <c r="F1534" s="75" t="s">
        <v>247</v>
      </c>
      <c r="G1534" s="64" t="s">
        <v>1983</v>
      </c>
      <c r="H1534" s="58">
        <v>197000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20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20</v>
      </c>
      <c r="P1534" s="55"/>
      <c r="Q1534" s="62">
        <f>REKAP[[#This Row],[Harga Satuan]]*REKAP[[#This Row],[Stok Akhir]]</f>
        <v>3940000</v>
      </c>
      <c r="R1534" s="61">
        <f>IF(REKAP[[#This Row],[Stok Aktual]]&lt;&gt;"",REKAP[[#This Row],[Stok Aktual]]-REKAP[[#This Row],[Stok Akhir]],0)</f>
        <v>0</v>
      </c>
      <c r="S1534" s="132"/>
      <c r="T1534" s="137">
        <f>IF(REKAP[[#This Row],[Selisih]]&lt;=-1,REKAP[[#This Row],[Harga Satuan]]*REKAP[[#This Row],[Selisih]],0)</f>
        <v>0</v>
      </c>
    </row>
    <row r="1535" spans="1:20" x14ac:dyDescent="0.25">
      <c r="A1535" s="55" t="s">
        <v>2972</v>
      </c>
      <c r="B1535" s="55" t="s">
        <v>3570</v>
      </c>
      <c r="C1535" s="55" t="s">
        <v>3570</v>
      </c>
      <c r="D1535" s="56" t="s">
        <v>2414</v>
      </c>
      <c r="E1535" s="57"/>
      <c r="F1535" s="75" t="s">
        <v>247</v>
      </c>
      <c r="G1535" s="64"/>
      <c r="H1535" s="58">
        <v>83343.399999999994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11</v>
      </c>
      <c r="P1535" s="55"/>
      <c r="Q1535" s="62">
        <f>REKAP[[#This Row],[Harga Satuan]]*REKAP[[#This Row],[Stok Akhir]]</f>
        <v>916777.39999999991</v>
      </c>
      <c r="R1535" s="61">
        <f>IF(REKAP[[#This Row],[Stok Aktual]]&lt;&gt;"",REKAP[[#This Row],[Stok Aktual]]-REKAP[[#This Row],[Stok Akhir]],0)</f>
        <v>0</v>
      </c>
      <c r="S1535" s="132"/>
      <c r="T1535" s="137">
        <f>IF(REKAP[[#This Row],[Selisih]]&lt;=-1,REKAP[[#This Row],[Harga Satuan]]*REKAP[[#This Row],[Selisih]],0)</f>
        <v>0</v>
      </c>
    </row>
    <row r="1536" spans="1:20" x14ac:dyDescent="0.25">
      <c r="A1536" s="55" t="s">
        <v>2973</v>
      </c>
      <c r="B1536" s="55" t="s">
        <v>3571</v>
      </c>
      <c r="C1536" s="55" t="s">
        <v>3571</v>
      </c>
      <c r="D1536" s="56" t="s">
        <v>2415</v>
      </c>
      <c r="E1536" s="57"/>
      <c r="F1536" s="75" t="s">
        <v>247</v>
      </c>
      <c r="G1536" s="64"/>
      <c r="H1536" s="58"/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35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35</v>
      </c>
      <c r="P1536" s="55"/>
      <c r="Q1536" s="62">
        <f>REKAP[[#This Row],[Harga Satuan]]*REKAP[[#This Row],[Stok Akhir]]</f>
        <v>0</v>
      </c>
      <c r="R1536" s="61">
        <f>IF(REKAP[[#This Row],[Stok Aktual]]&lt;&gt;"",REKAP[[#This Row],[Stok Aktual]]-REKAP[[#This Row],[Stok Akhir]],0)</f>
        <v>0</v>
      </c>
      <c r="S1536" s="132"/>
      <c r="T1536" s="137">
        <f>IF(REKAP[[#This Row],[Selisih]]&lt;=-1,REKAP[[#This Row],[Harga Satuan]]*REKAP[[#This Row],[Selisih]],0)</f>
        <v>0</v>
      </c>
    </row>
    <row r="1537" spans="1:20" x14ac:dyDescent="0.25">
      <c r="A1537" s="55" t="s">
        <v>2974</v>
      </c>
      <c r="B1537" s="55" t="s">
        <v>3568</v>
      </c>
      <c r="C1537" s="55" t="s">
        <v>3568</v>
      </c>
      <c r="D1537" s="56" t="s">
        <v>2416</v>
      </c>
      <c r="E1537" s="57"/>
      <c r="F1537" s="75" t="s">
        <v>247</v>
      </c>
      <c r="G1537" s="64"/>
      <c r="H1537" s="58"/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20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20</v>
      </c>
      <c r="P1537" s="55"/>
      <c r="Q1537" s="62">
        <f>REKAP[[#This Row],[Harga Satuan]]*REKAP[[#This Row],[Stok Akhir]]</f>
        <v>0</v>
      </c>
      <c r="R1537" s="61">
        <f>IF(REKAP[[#This Row],[Stok Aktual]]&lt;&gt;"",REKAP[[#This Row],[Stok Aktual]]-REKAP[[#This Row],[Stok Akhir]],0)</f>
        <v>0</v>
      </c>
      <c r="S1537" s="132"/>
      <c r="T1537" s="137">
        <f>IF(REKAP[[#This Row],[Selisih]]&lt;=-1,REKAP[[#This Row],[Harga Satuan]]*REKAP[[#This Row],[Selisih]],0)</f>
        <v>0</v>
      </c>
    </row>
    <row r="1538" spans="1:20" x14ac:dyDescent="0.25">
      <c r="A1538" s="55" t="s">
        <v>2975</v>
      </c>
      <c r="B1538" s="55" t="s">
        <v>3569</v>
      </c>
      <c r="C1538" s="55" t="s">
        <v>3569</v>
      </c>
      <c r="D1538" s="56" t="s">
        <v>2417</v>
      </c>
      <c r="E1538" s="57"/>
      <c r="F1538" s="75" t="s">
        <v>247</v>
      </c>
      <c r="G1538" s="64" t="s">
        <v>1983</v>
      </c>
      <c r="H1538" s="58">
        <v>157000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10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10</v>
      </c>
      <c r="P1538" s="55"/>
      <c r="Q1538" s="62">
        <f>REKAP[[#This Row],[Harga Satuan]]*REKAP[[#This Row],[Stok Akhir]]</f>
        <v>1570000</v>
      </c>
      <c r="R1538" s="61">
        <f>IF(REKAP[[#This Row],[Stok Aktual]]&lt;&gt;"",REKAP[[#This Row],[Stok Aktual]]-REKAP[[#This Row],[Stok Akhir]],0)</f>
        <v>0</v>
      </c>
      <c r="S1538" s="132"/>
      <c r="T1538" s="137">
        <f>IF(REKAP[[#This Row],[Selisih]]&lt;=-1,REKAP[[#This Row],[Harga Satuan]]*REKAP[[#This Row],[Selisih]],0)</f>
        <v>0</v>
      </c>
    </row>
    <row r="1539" spans="1:20" x14ac:dyDescent="0.25">
      <c r="A1539" s="55" t="s">
        <v>2976</v>
      </c>
      <c r="B1539" s="55" t="s">
        <v>3568</v>
      </c>
      <c r="C1539" s="55" t="s">
        <v>3568</v>
      </c>
      <c r="D1539" s="56" t="s">
        <v>2418</v>
      </c>
      <c r="E1539" s="57"/>
      <c r="F1539" s="75" t="s">
        <v>247</v>
      </c>
      <c r="G1539" s="64"/>
      <c r="H1539" s="58"/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9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9</v>
      </c>
      <c r="P1539" s="55"/>
      <c r="Q1539" s="62">
        <f>REKAP[[#This Row],[Harga Satuan]]*REKAP[[#This Row],[Stok Akhir]]</f>
        <v>0</v>
      </c>
      <c r="R1539" s="61">
        <f>IF(REKAP[[#This Row],[Stok Aktual]]&lt;&gt;"",REKAP[[#This Row],[Stok Aktual]]-REKAP[[#This Row],[Stok Akhir]],0)</f>
        <v>0</v>
      </c>
      <c r="S1539" s="132"/>
      <c r="T1539" s="137">
        <f>IF(REKAP[[#This Row],[Selisih]]&lt;=-1,REKAP[[#This Row],[Harga Satuan]]*REKAP[[#This Row],[Selisih]],0)</f>
        <v>0</v>
      </c>
    </row>
    <row r="1540" spans="1:20" x14ac:dyDescent="0.25">
      <c r="A1540" s="55" t="s">
        <v>2977</v>
      </c>
      <c r="B1540" s="55" t="s">
        <v>3572</v>
      </c>
      <c r="C1540" s="55" t="s">
        <v>3572</v>
      </c>
      <c r="D1540" s="56" t="s">
        <v>2419</v>
      </c>
      <c r="E1540" s="57"/>
      <c r="F1540" s="75" t="s">
        <v>247</v>
      </c>
      <c r="G1540" s="64"/>
      <c r="H1540" s="58"/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8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8</v>
      </c>
      <c r="P1540" s="55"/>
      <c r="Q1540" s="62">
        <f>REKAP[[#This Row],[Harga Satuan]]*REKAP[[#This Row],[Stok Akhir]]</f>
        <v>0</v>
      </c>
      <c r="R1540" s="61">
        <f>IF(REKAP[[#This Row],[Stok Aktual]]&lt;&gt;"",REKAP[[#This Row],[Stok Aktual]]-REKAP[[#This Row],[Stok Akhir]],0)</f>
        <v>0</v>
      </c>
      <c r="S1540" s="132"/>
      <c r="T1540" s="137">
        <f>IF(REKAP[[#This Row],[Selisih]]&lt;=-1,REKAP[[#This Row],[Harga Satuan]]*REKAP[[#This Row],[Selisih]],0)</f>
        <v>0</v>
      </c>
    </row>
    <row r="1541" spans="1:20" x14ac:dyDescent="0.25">
      <c r="A1541" s="55" t="s">
        <v>2978</v>
      </c>
      <c r="B1541" s="55" t="s">
        <v>3568</v>
      </c>
      <c r="C1541" s="55" t="s">
        <v>3568</v>
      </c>
      <c r="D1541" s="56" t="s">
        <v>2420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10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10</v>
      </c>
      <c r="P1541" s="55"/>
      <c r="Q1541" s="62">
        <f>REKAP[[#This Row],[Harga Satuan]]*REKAP[[#This Row],[Stok Akhir]]</f>
        <v>0</v>
      </c>
      <c r="R1541" s="61">
        <f>IF(REKAP[[#This Row],[Stok Aktual]]&lt;&gt;"",REKAP[[#This Row],[Stok Aktual]]-REKAP[[#This Row],[Stok Akhir]],0)</f>
        <v>0</v>
      </c>
      <c r="S1541" s="132"/>
      <c r="T1541" s="137">
        <f>IF(REKAP[[#This Row],[Selisih]]&lt;=-1,REKAP[[#This Row],[Harga Satuan]]*REKAP[[#This Row],[Selisih]],0)</f>
        <v>0</v>
      </c>
    </row>
    <row r="1542" spans="1:20" x14ac:dyDescent="0.25">
      <c r="A1542" s="55" t="s">
        <v>2979</v>
      </c>
      <c r="B1542" s="55" t="s">
        <v>3572</v>
      </c>
      <c r="C1542" s="55" t="s">
        <v>3572</v>
      </c>
      <c r="D1542" s="56" t="s">
        <v>2421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97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97</v>
      </c>
      <c r="P1542" s="55"/>
      <c r="Q1542" s="62">
        <f>REKAP[[#This Row],[Harga Satuan]]*REKAP[[#This Row],[Stok Akhir]]</f>
        <v>0</v>
      </c>
      <c r="R1542" s="61">
        <f>IF(REKAP[[#This Row],[Stok Aktual]]&lt;&gt;"",REKAP[[#This Row],[Stok Aktual]]-REKAP[[#This Row],[Stok Akhir]],0)</f>
        <v>0</v>
      </c>
      <c r="S1542" s="132"/>
      <c r="T1542" s="137">
        <f>IF(REKAP[[#This Row],[Selisih]]&lt;=-1,REKAP[[#This Row],[Harga Satuan]]*REKAP[[#This Row],[Selisih]],0)</f>
        <v>0</v>
      </c>
    </row>
    <row r="1543" spans="1:20" x14ac:dyDescent="0.25">
      <c r="A1543" s="55" t="s">
        <v>2980</v>
      </c>
      <c r="B1543" s="55" t="s">
        <v>3573</v>
      </c>
      <c r="C1543" s="55" t="s">
        <v>3573</v>
      </c>
      <c r="D1543" s="56" t="s">
        <v>2422</v>
      </c>
      <c r="E1543" s="57"/>
      <c r="F1543" s="75" t="s">
        <v>247</v>
      </c>
      <c r="G1543" s="64"/>
      <c r="H1543" s="58">
        <v>40000</v>
      </c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8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8</v>
      </c>
      <c r="P1543" s="55"/>
      <c r="Q1543" s="62">
        <f>REKAP[[#This Row],[Harga Satuan]]*REKAP[[#This Row],[Stok Akhir]]</f>
        <v>320000</v>
      </c>
      <c r="R1543" s="61">
        <f>IF(REKAP[[#This Row],[Stok Aktual]]&lt;&gt;"",REKAP[[#This Row],[Stok Aktual]]-REKAP[[#This Row],[Stok Akhir]],0)</f>
        <v>0</v>
      </c>
      <c r="S1543" s="132"/>
      <c r="T1543" s="137">
        <f>IF(REKAP[[#This Row],[Selisih]]&lt;=-1,REKAP[[#This Row],[Harga Satuan]]*REKAP[[#This Row],[Selisih]],0)</f>
        <v>0</v>
      </c>
    </row>
    <row r="1544" spans="1:20" x14ac:dyDescent="0.25">
      <c r="A1544" s="55" t="s">
        <v>2981</v>
      </c>
      <c r="B1544" s="55" t="s">
        <v>3557</v>
      </c>
      <c r="C1544" s="55" t="s">
        <v>3557</v>
      </c>
      <c r="D1544" s="56" t="s">
        <v>2423</v>
      </c>
      <c r="E1544" s="57"/>
      <c r="F1544" s="75" t="s">
        <v>247</v>
      </c>
      <c r="G1544" s="64" t="s">
        <v>1985</v>
      </c>
      <c r="H1544" s="58">
        <v>410000</v>
      </c>
      <c r="I1544" s="59">
        <f>IF(COUNTIF(MASUK[Kode Barang],REKAP[[#This Row],[ID]])=0,0,COUNTIF(MASUK[Kode Barang],REKAP[[#This Row],[ID]]))</f>
        <v>1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1</v>
      </c>
      <c r="L1544" s="55">
        <v>3</v>
      </c>
      <c r="M1544" s="74">
        <f>SUMIF(MASUK!$C:$C,REKAP[[#This Row],[ID]],MASUK!$H:$H)</f>
        <v>2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5</v>
      </c>
      <c r="P1544" s="55">
        <v>5</v>
      </c>
      <c r="Q1544" s="62">
        <f>REKAP[[#This Row],[Harga Satuan]]*REKAP[[#This Row],[Stok Akhir]]</f>
        <v>2050000</v>
      </c>
      <c r="R1544" s="61">
        <f>IF(REKAP[[#This Row],[Stok Aktual]]&lt;&gt;"",REKAP[[#This Row],[Stok Aktual]]-REKAP[[#This Row],[Stok Akhir]],0)</f>
        <v>0</v>
      </c>
      <c r="S1544" s="132"/>
      <c r="T1544" s="137">
        <f>IF(REKAP[[#This Row],[Selisih]]&lt;=-1,REKAP[[#This Row],[Harga Satuan]]*REKAP[[#This Row],[Selisih]],0)</f>
        <v>0</v>
      </c>
    </row>
    <row r="1545" spans="1:20" x14ac:dyDescent="0.25">
      <c r="A1545" s="55" t="s">
        <v>2982</v>
      </c>
      <c r="B1545" s="55" t="s">
        <v>3557</v>
      </c>
      <c r="C1545" s="55" t="s">
        <v>3557</v>
      </c>
      <c r="D1545" s="56" t="s">
        <v>2424</v>
      </c>
      <c r="E1545" s="57"/>
      <c r="F1545" s="75" t="s">
        <v>247</v>
      </c>
      <c r="G1545" s="64" t="s">
        <v>1985</v>
      </c>
      <c r="H1545" s="58">
        <v>352000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6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6</v>
      </c>
      <c r="P1545" s="55"/>
      <c r="Q1545" s="62">
        <f>REKAP[[#This Row],[Harga Satuan]]*REKAP[[#This Row],[Stok Akhir]]</f>
        <v>2112000</v>
      </c>
      <c r="R1545" s="61">
        <f>IF(REKAP[[#This Row],[Stok Aktual]]&lt;&gt;"",REKAP[[#This Row],[Stok Aktual]]-REKAP[[#This Row],[Stok Akhir]],0)</f>
        <v>0</v>
      </c>
      <c r="S1545" s="132"/>
      <c r="T1545" s="137">
        <f>IF(REKAP[[#This Row],[Selisih]]&lt;=-1,REKAP[[#This Row],[Harga Satuan]]*REKAP[[#This Row],[Selisih]],0)</f>
        <v>0</v>
      </c>
    </row>
    <row r="1546" spans="1:20" x14ac:dyDescent="0.25">
      <c r="A1546" s="55" t="s">
        <v>2983</v>
      </c>
      <c r="B1546" s="55" t="s">
        <v>3557</v>
      </c>
      <c r="C1546" s="55" t="s">
        <v>3557</v>
      </c>
      <c r="D1546" s="56" t="s">
        <v>2425</v>
      </c>
      <c r="E1546" s="57"/>
      <c r="F1546" s="75" t="s">
        <v>247</v>
      </c>
      <c r="G1546" s="64" t="s">
        <v>1985</v>
      </c>
      <c r="H1546" s="58">
        <v>405000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4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4</v>
      </c>
      <c r="P1546" s="55"/>
      <c r="Q1546" s="62">
        <f>REKAP[[#This Row],[Harga Satuan]]*REKAP[[#This Row],[Stok Akhir]]</f>
        <v>1620000</v>
      </c>
      <c r="R1546" s="61">
        <f>IF(REKAP[[#This Row],[Stok Aktual]]&lt;&gt;"",REKAP[[#This Row],[Stok Aktual]]-REKAP[[#This Row],[Stok Akhir]],0)</f>
        <v>0</v>
      </c>
      <c r="S1546" s="132"/>
      <c r="T1546" s="137">
        <f>IF(REKAP[[#This Row],[Selisih]]&lt;=-1,REKAP[[#This Row],[Harga Satuan]]*REKAP[[#This Row],[Selisih]],0)</f>
        <v>0</v>
      </c>
    </row>
    <row r="1547" spans="1:20" x14ac:dyDescent="0.25">
      <c r="A1547" s="55" t="s">
        <v>2984</v>
      </c>
      <c r="B1547" s="55" t="s">
        <v>3557</v>
      </c>
      <c r="C1547" s="55" t="s">
        <v>3557</v>
      </c>
      <c r="D1547" s="56" t="s">
        <v>2426</v>
      </c>
      <c r="E1547" s="57"/>
      <c r="F1547" s="75" t="s">
        <v>247</v>
      </c>
      <c r="G1547" s="64" t="s">
        <v>1985</v>
      </c>
      <c r="H1547" s="58">
        <v>368000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6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6</v>
      </c>
      <c r="P1547" s="55"/>
      <c r="Q1547" s="62">
        <f>REKAP[[#This Row],[Harga Satuan]]*REKAP[[#This Row],[Stok Akhir]]</f>
        <v>2208000</v>
      </c>
      <c r="R1547" s="61">
        <f>IF(REKAP[[#This Row],[Stok Aktual]]&lt;&gt;"",REKAP[[#This Row],[Stok Aktual]]-REKAP[[#This Row],[Stok Akhir]],0)</f>
        <v>0</v>
      </c>
      <c r="S1547" s="132"/>
      <c r="T1547" s="137">
        <f>IF(REKAP[[#This Row],[Selisih]]&lt;=-1,REKAP[[#This Row],[Harga Satuan]]*REKAP[[#This Row],[Selisih]],0)</f>
        <v>0</v>
      </c>
    </row>
    <row r="1548" spans="1:20" x14ac:dyDescent="0.25">
      <c r="A1548" s="55" t="s">
        <v>2985</v>
      </c>
      <c r="B1548" s="55" t="s">
        <v>3557</v>
      </c>
      <c r="C1548" s="55" t="s">
        <v>3557</v>
      </c>
      <c r="D1548" s="56" t="s">
        <v>2427</v>
      </c>
      <c r="E1548" s="57"/>
      <c r="F1548" s="75" t="s">
        <v>247</v>
      </c>
      <c r="G1548" s="64"/>
      <c r="H1548" s="58">
        <v>40000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10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10</v>
      </c>
      <c r="P1548" s="55"/>
      <c r="Q1548" s="62">
        <f>REKAP[[#This Row],[Harga Satuan]]*REKAP[[#This Row],[Stok Akhir]]</f>
        <v>400000</v>
      </c>
      <c r="R1548" s="61">
        <f>IF(REKAP[[#This Row],[Stok Aktual]]&lt;&gt;"",REKAP[[#This Row],[Stok Aktual]]-REKAP[[#This Row],[Stok Akhir]],0)</f>
        <v>0</v>
      </c>
      <c r="S1548" s="132"/>
      <c r="T1548" s="137">
        <f>IF(REKAP[[#This Row],[Selisih]]&lt;=-1,REKAP[[#This Row],[Harga Satuan]]*REKAP[[#This Row],[Selisih]],0)</f>
        <v>0</v>
      </c>
    </row>
    <row r="1549" spans="1:20" x14ac:dyDescent="0.25">
      <c r="A1549" s="55" t="s">
        <v>2986</v>
      </c>
      <c r="B1549" s="55" t="s">
        <v>3557</v>
      </c>
      <c r="C1549" s="55" t="s">
        <v>3557</v>
      </c>
      <c r="D1549" s="56" t="s">
        <v>2428</v>
      </c>
      <c r="E1549" s="57"/>
      <c r="F1549" s="75" t="s">
        <v>247</v>
      </c>
      <c r="G1549" s="64" t="s">
        <v>1985</v>
      </c>
      <c r="H1549" s="58">
        <v>89300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473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473</v>
      </c>
      <c r="P1549" s="55"/>
      <c r="Q1549" s="62">
        <f>REKAP[[#This Row],[Harga Satuan]]*REKAP[[#This Row],[Stok Akhir]]</f>
        <v>42238900</v>
      </c>
      <c r="R1549" s="61">
        <f>IF(REKAP[[#This Row],[Stok Aktual]]&lt;&gt;"",REKAP[[#This Row],[Stok Aktual]]-REKAP[[#This Row],[Stok Akhir]],0)</f>
        <v>0</v>
      </c>
      <c r="S1549" s="132"/>
      <c r="T1549" s="137">
        <f>IF(REKAP[[#This Row],[Selisih]]&lt;=-1,REKAP[[#This Row],[Harga Satuan]]*REKAP[[#This Row],[Selisih]],0)</f>
        <v>0</v>
      </c>
    </row>
    <row r="1550" spans="1:20" x14ac:dyDescent="0.25">
      <c r="A1550" s="55" t="s">
        <v>2987</v>
      </c>
      <c r="B1550" s="55" t="s">
        <v>3557</v>
      </c>
      <c r="C1550" s="55" t="s">
        <v>3557</v>
      </c>
      <c r="D1550" s="56" t="s">
        <v>2429</v>
      </c>
      <c r="E1550" s="57"/>
      <c r="F1550" s="75" t="s">
        <v>247</v>
      </c>
      <c r="G1550" s="64" t="s">
        <v>1985</v>
      </c>
      <c r="H1550" s="58">
        <v>466000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6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6</v>
      </c>
      <c r="P1550" s="55"/>
      <c r="Q1550" s="62">
        <f>REKAP[[#This Row],[Harga Satuan]]*REKAP[[#This Row],[Stok Akhir]]</f>
        <v>2796000</v>
      </c>
      <c r="R1550" s="61">
        <f>IF(REKAP[[#This Row],[Stok Aktual]]&lt;&gt;"",REKAP[[#This Row],[Stok Aktual]]-REKAP[[#This Row],[Stok Akhir]],0)</f>
        <v>0</v>
      </c>
      <c r="S1550" s="132"/>
      <c r="T1550" s="137">
        <f>IF(REKAP[[#This Row],[Selisih]]&lt;=-1,REKAP[[#This Row],[Harga Satuan]]*REKAP[[#This Row],[Selisih]],0)</f>
        <v>0</v>
      </c>
    </row>
    <row r="1551" spans="1:20" x14ac:dyDescent="0.25">
      <c r="A1551" s="55" t="s">
        <v>2988</v>
      </c>
      <c r="B1551" s="55" t="s">
        <v>3557</v>
      </c>
      <c r="C1551" s="55" t="s">
        <v>3557</v>
      </c>
      <c r="D1551" s="56" t="s">
        <v>2430</v>
      </c>
      <c r="E1551" s="57"/>
      <c r="F1551" s="75" t="s">
        <v>247</v>
      </c>
      <c r="G1551" s="64" t="s">
        <v>1985</v>
      </c>
      <c r="H1551" s="58">
        <v>440000</v>
      </c>
      <c r="I1551" s="59">
        <f>IF(COUNTIF(MASUK[Kode Barang],REKAP[[#This Row],[ID]])=0,0,COUNTIF(MASUK[Kode Barang],REKAP[[#This Row],[ID]]))</f>
        <v>1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1</v>
      </c>
      <c r="L1551" s="55">
        <v>1</v>
      </c>
      <c r="M1551" s="74">
        <f>SUMIF(MASUK!$C:$C,REKAP[[#This Row],[ID]],MASUK!$H:$H)</f>
        <v>2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3</v>
      </c>
      <c r="P1551" s="55">
        <v>3</v>
      </c>
      <c r="Q1551" s="62">
        <f>REKAP[[#This Row],[Harga Satuan]]*REKAP[[#This Row],[Stok Akhir]]</f>
        <v>1320000</v>
      </c>
      <c r="R1551" s="61">
        <f>IF(REKAP[[#This Row],[Stok Aktual]]&lt;&gt;"",REKAP[[#This Row],[Stok Aktual]]-REKAP[[#This Row],[Stok Akhir]],0)</f>
        <v>0</v>
      </c>
      <c r="S1551" s="132"/>
      <c r="T1551" s="137">
        <f>IF(REKAP[[#This Row],[Selisih]]&lt;=-1,REKAP[[#This Row],[Harga Satuan]]*REKAP[[#This Row],[Selisih]],0)</f>
        <v>0</v>
      </c>
    </row>
    <row r="1552" spans="1:20" x14ac:dyDescent="0.25">
      <c r="A1552" s="55" t="s">
        <v>2989</v>
      </c>
      <c r="B1552" s="55" t="s">
        <v>3557</v>
      </c>
      <c r="C1552" s="55" t="s">
        <v>3557</v>
      </c>
      <c r="D1552" s="56" t="s">
        <v>2431</v>
      </c>
      <c r="E1552" s="57"/>
      <c r="F1552" s="75" t="s">
        <v>247</v>
      </c>
      <c r="G1552" s="64" t="s">
        <v>1985</v>
      </c>
      <c r="H1552" s="58">
        <v>482000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1</v>
      </c>
      <c r="K1552" s="60">
        <f>REKAP[[#This Row],[Trx In]]+REKAP[[#This Row],[Trx Out]]</f>
        <v>1</v>
      </c>
      <c r="L1552" s="55">
        <v>2</v>
      </c>
      <c r="M1552" s="74">
        <f>SUMIF(MASUK!$C:$C,REKAP[[#This Row],[ID]],MASUK!$H:$H)</f>
        <v>0</v>
      </c>
      <c r="N1552" s="74">
        <f>SUMIF(KELUAR!$C:$C,REKAP[[#This Row],[ID]],KELUAR!$H:$H)</f>
        <v>2</v>
      </c>
      <c r="O1552" s="74">
        <f>REKAP[[#This Row],[Stok Awal]]+REKAP[[#This Row],[Masuk]]-REKAP[[#This Row],[Keluar]]</f>
        <v>0</v>
      </c>
      <c r="P1552" s="55">
        <v>0</v>
      </c>
      <c r="Q1552" s="62">
        <f>REKAP[[#This Row],[Harga Satuan]]*REKAP[[#This Row],[Stok Akhir]]</f>
        <v>0</v>
      </c>
      <c r="R1552" s="61">
        <f>IF(REKAP[[#This Row],[Stok Aktual]]&lt;&gt;"",REKAP[[#This Row],[Stok Aktual]]-REKAP[[#This Row],[Stok Akhir]],0)</f>
        <v>0</v>
      </c>
      <c r="S1552" s="132"/>
      <c r="T1552" s="137">
        <f>IF(REKAP[[#This Row],[Selisih]]&lt;=-1,REKAP[[#This Row],[Harga Satuan]]*REKAP[[#This Row],[Selisih]],0)</f>
        <v>0</v>
      </c>
    </row>
    <row r="1553" spans="1:20" x14ac:dyDescent="0.25">
      <c r="A1553" s="55" t="s">
        <v>2990</v>
      </c>
      <c r="B1553" s="55" t="s">
        <v>3557</v>
      </c>
      <c r="C1553" s="55" t="s">
        <v>3557</v>
      </c>
      <c r="D1553" s="56" t="s">
        <v>2432</v>
      </c>
      <c r="E1553" s="57"/>
      <c r="F1553" s="75" t="s">
        <v>247</v>
      </c>
      <c r="G1553" s="64" t="s">
        <v>1985</v>
      </c>
      <c r="H1553" s="58">
        <v>482000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4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4</v>
      </c>
      <c r="P1553" s="55"/>
      <c r="Q1553" s="62">
        <f>REKAP[[#This Row],[Harga Satuan]]*REKAP[[#This Row],[Stok Akhir]]</f>
        <v>1928000</v>
      </c>
      <c r="R1553" s="61">
        <f>IF(REKAP[[#This Row],[Stok Aktual]]&lt;&gt;"",REKAP[[#This Row],[Stok Aktual]]-REKAP[[#This Row],[Stok Akhir]],0)</f>
        <v>0</v>
      </c>
      <c r="S1553" s="132"/>
      <c r="T1553" s="137">
        <f>IF(REKAP[[#This Row],[Selisih]]&lt;=-1,REKAP[[#This Row],[Harga Satuan]]*REKAP[[#This Row],[Selisih]],0)</f>
        <v>0</v>
      </c>
    </row>
    <row r="1554" spans="1:20" x14ac:dyDescent="0.25">
      <c r="A1554" s="55" t="s">
        <v>2991</v>
      </c>
      <c r="B1554" s="55" t="s">
        <v>3557</v>
      </c>
      <c r="C1554" s="55" t="s">
        <v>3557</v>
      </c>
      <c r="D1554" s="56" t="s">
        <v>2433</v>
      </c>
      <c r="E1554" s="57"/>
      <c r="F1554" s="75" t="s">
        <v>247</v>
      </c>
      <c r="G1554" s="64" t="s">
        <v>1985</v>
      </c>
      <c r="H1554" s="58">
        <v>832800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</v>
      </c>
      <c r="P1554" s="55"/>
      <c r="Q1554" s="62">
        <f>REKAP[[#This Row],[Harga Satuan]]*REKAP[[#This Row],[Stok Akhir]]</f>
        <v>832800</v>
      </c>
      <c r="R1554" s="61">
        <f>IF(REKAP[[#This Row],[Stok Aktual]]&lt;&gt;"",REKAP[[#This Row],[Stok Aktual]]-REKAP[[#This Row],[Stok Akhir]],0)</f>
        <v>0</v>
      </c>
      <c r="S1554" s="132"/>
      <c r="T1554" s="137">
        <f>IF(REKAP[[#This Row],[Selisih]]&lt;=-1,REKAP[[#This Row],[Harga Satuan]]*REKAP[[#This Row],[Selisih]],0)</f>
        <v>0</v>
      </c>
    </row>
    <row r="1555" spans="1:20" x14ac:dyDescent="0.25">
      <c r="A1555" s="55" t="s">
        <v>2992</v>
      </c>
      <c r="B1555" s="55" t="s">
        <v>3557</v>
      </c>
      <c r="C1555" s="55" t="s">
        <v>3557</v>
      </c>
      <c r="D1555" s="56" t="s">
        <v>2434</v>
      </c>
      <c r="E1555" s="57"/>
      <c r="F1555" s="75" t="s">
        <v>247</v>
      </c>
      <c r="G1555" s="64" t="s">
        <v>1985</v>
      </c>
      <c r="H1555" s="58">
        <v>832800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>
        <f>IF(REKAP[[#This Row],[Stok Aktual]]&lt;&gt;"",REKAP[[#This Row],[Stok Aktual]]-REKAP[[#This Row],[Stok Akhir]],0)</f>
        <v>0</v>
      </c>
      <c r="S1555" s="132"/>
      <c r="T1555" s="137">
        <f>IF(REKAP[[#This Row],[Selisih]]&lt;=-1,REKAP[[#This Row],[Harga Satuan]]*REKAP[[#This Row],[Selisih]],0)</f>
        <v>0</v>
      </c>
    </row>
    <row r="1556" spans="1:20" x14ac:dyDescent="0.25">
      <c r="A1556" s="55" t="s">
        <v>2993</v>
      </c>
      <c r="B1556" s="55" t="s">
        <v>3558</v>
      </c>
      <c r="C1556" s="55" t="s">
        <v>3558</v>
      </c>
      <c r="D1556" s="56" t="s">
        <v>2435</v>
      </c>
      <c r="E1556" s="57"/>
      <c r="F1556" s="75" t="s">
        <v>247</v>
      </c>
      <c r="G1556" s="64"/>
      <c r="H1556" s="58">
        <v>45000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270000</v>
      </c>
      <c r="R1556" s="61">
        <f>IF(REKAP[[#This Row],[Stok Aktual]]&lt;&gt;"",REKAP[[#This Row],[Stok Aktual]]-REKAP[[#This Row],[Stok Akhir]],0)</f>
        <v>0</v>
      </c>
      <c r="S1556" s="132"/>
      <c r="T1556" s="137">
        <f>IF(REKAP[[#This Row],[Selisih]]&lt;=-1,REKAP[[#This Row],[Harga Satuan]]*REKAP[[#This Row],[Selisih]],0)</f>
        <v>0</v>
      </c>
    </row>
    <row r="1557" spans="1:20" x14ac:dyDescent="0.25">
      <c r="A1557" s="55" t="s">
        <v>2994</v>
      </c>
      <c r="B1557" s="55" t="s">
        <v>3559</v>
      </c>
      <c r="C1557" s="55" t="s">
        <v>3559</v>
      </c>
      <c r="D1557" s="56" t="s">
        <v>2436</v>
      </c>
      <c r="E1557" s="57"/>
      <c r="F1557" s="75" t="s">
        <v>247</v>
      </c>
      <c r="G1557" s="64" t="s">
        <v>2437</v>
      </c>
      <c r="H1557" s="58">
        <v>381000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16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16</v>
      </c>
      <c r="P1557" s="55"/>
      <c r="Q1557" s="62">
        <f>REKAP[[#This Row],[Harga Satuan]]*REKAP[[#This Row],[Stok Akhir]]</f>
        <v>6096000</v>
      </c>
      <c r="R1557" s="61">
        <f>IF(REKAP[[#This Row],[Stok Aktual]]&lt;&gt;"",REKAP[[#This Row],[Stok Aktual]]-REKAP[[#This Row],[Stok Akhir]],0)</f>
        <v>0</v>
      </c>
      <c r="S1557" s="132"/>
      <c r="T1557" s="137">
        <f>IF(REKAP[[#This Row],[Selisih]]&lt;=-1,REKAP[[#This Row],[Harga Satuan]]*REKAP[[#This Row],[Selisih]],0)</f>
        <v>0</v>
      </c>
    </row>
    <row r="1558" spans="1:20" x14ac:dyDescent="0.25">
      <c r="A1558" s="55" t="s">
        <v>2995</v>
      </c>
      <c r="B1558" s="55" t="s">
        <v>3574</v>
      </c>
      <c r="C1558" s="55" t="s">
        <v>3574</v>
      </c>
      <c r="D1558" s="56" t="s">
        <v>2438</v>
      </c>
      <c r="E1558" s="57"/>
      <c r="F1558" s="75" t="s">
        <v>247</v>
      </c>
      <c r="G1558" s="64" t="s">
        <v>1989</v>
      </c>
      <c r="H1558" s="58">
        <v>102000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>
        <f>IF(REKAP[[#This Row],[Stok Aktual]]&lt;&gt;"",REKAP[[#This Row],[Stok Aktual]]-REKAP[[#This Row],[Stok Akhir]],0)</f>
        <v>0</v>
      </c>
      <c r="S1558" s="132"/>
      <c r="T1558" s="137">
        <f>IF(REKAP[[#This Row],[Selisih]]&lt;=-1,REKAP[[#This Row],[Harga Satuan]]*REKAP[[#This Row],[Selisih]],0)</f>
        <v>0</v>
      </c>
    </row>
    <row r="1559" spans="1:20" x14ac:dyDescent="0.25">
      <c r="A1559" s="55" t="s">
        <v>2996</v>
      </c>
      <c r="B1559" s="55" t="s">
        <v>3560</v>
      </c>
      <c r="C1559" s="55" t="s">
        <v>3560</v>
      </c>
      <c r="D1559" s="56" t="s">
        <v>2439</v>
      </c>
      <c r="E1559" s="57"/>
      <c r="F1559" s="75" t="s">
        <v>247</v>
      </c>
      <c r="G1559" s="64"/>
      <c r="H1559" s="58">
        <v>73000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130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130</v>
      </c>
      <c r="P1559" s="55"/>
      <c r="Q1559" s="62">
        <f>REKAP[[#This Row],[Harga Satuan]]*REKAP[[#This Row],[Stok Akhir]]</f>
        <v>9490000</v>
      </c>
      <c r="R1559" s="61">
        <f>IF(REKAP[[#This Row],[Stok Aktual]]&lt;&gt;"",REKAP[[#This Row],[Stok Aktual]]-REKAP[[#This Row],[Stok Akhir]],0)</f>
        <v>0</v>
      </c>
      <c r="S1559" s="132"/>
      <c r="T1559" s="137">
        <f>IF(REKAP[[#This Row],[Selisih]]&lt;=-1,REKAP[[#This Row],[Harga Satuan]]*REKAP[[#This Row],[Selisih]],0)</f>
        <v>0</v>
      </c>
    </row>
    <row r="1560" spans="1:20" x14ac:dyDescent="0.25">
      <c r="A1560" s="55" t="s">
        <v>2997</v>
      </c>
      <c r="B1560" s="55" t="s">
        <v>3561</v>
      </c>
      <c r="C1560" s="55" t="s">
        <v>3561</v>
      </c>
      <c r="D1560" s="56" t="s">
        <v>2440</v>
      </c>
      <c r="E1560" s="57"/>
      <c r="F1560" s="75" t="s">
        <v>247</v>
      </c>
      <c r="G1560" s="64"/>
      <c r="H1560" s="58">
        <v>66500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20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20</v>
      </c>
      <c r="P1560" s="55"/>
      <c r="Q1560" s="62">
        <f>REKAP[[#This Row],[Harga Satuan]]*REKAP[[#This Row],[Stok Akhir]]</f>
        <v>1330000</v>
      </c>
      <c r="R1560" s="61">
        <f>IF(REKAP[[#This Row],[Stok Aktual]]&lt;&gt;"",REKAP[[#This Row],[Stok Aktual]]-REKAP[[#This Row],[Stok Akhir]],0)</f>
        <v>0</v>
      </c>
      <c r="S1560" s="132"/>
      <c r="T1560" s="137">
        <f>IF(REKAP[[#This Row],[Selisih]]&lt;=-1,REKAP[[#This Row],[Harga Satuan]]*REKAP[[#This Row],[Selisih]],0)</f>
        <v>0</v>
      </c>
    </row>
    <row r="1561" spans="1:20" x14ac:dyDescent="0.25">
      <c r="A1561" s="55" t="s">
        <v>2998</v>
      </c>
      <c r="B1561" s="55" t="s">
        <v>3559</v>
      </c>
      <c r="C1561" s="55" t="s">
        <v>3559</v>
      </c>
      <c r="D1561" s="56" t="s">
        <v>2439</v>
      </c>
      <c r="E1561" s="57"/>
      <c r="F1561" s="75" t="s">
        <v>247</v>
      </c>
      <c r="G1561" s="64"/>
      <c r="H1561" s="58">
        <v>111500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60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60</v>
      </c>
      <c r="P1561" s="55"/>
      <c r="Q1561" s="62">
        <f>REKAP[[#This Row],[Harga Satuan]]*REKAP[[#This Row],[Stok Akhir]]</f>
        <v>6690000</v>
      </c>
      <c r="R1561" s="61">
        <f>IF(REKAP[[#This Row],[Stok Aktual]]&lt;&gt;"",REKAP[[#This Row],[Stok Aktual]]-REKAP[[#This Row],[Stok Akhir]],0)</f>
        <v>0</v>
      </c>
      <c r="S1561" s="132"/>
      <c r="T1561" s="137">
        <f>IF(REKAP[[#This Row],[Selisih]]&lt;=-1,REKAP[[#This Row],[Harga Satuan]]*REKAP[[#This Row],[Selisih]],0)</f>
        <v>0</v>
      </c>
    </row>
    <row r="1562" spans="1:20" x14ac:dyDescent="0.25">
      <c r="A1562" s="55" t="s">
        <v>2999</v>
      </c>
      <c r="B1562" s="55" t="s">
        <v>3562</v>
      </c>
      <c r="C1562" s="55" t="s">
        <v>3562</v>
      </c>
      <c r="D1562" s="56" t="s">
        <v>2441</v>
      </c>
      <c r="E1562" s="57"/>
      <c r="F1562" s="75" t="s">
        <v>247</v>
      </c>
      <c r="G1562" s="64"/>
      <c r="H1562" s="58">
        <v>80000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800000</v>
      </c>
      <c r="R1562" s="61">
        <f>IF(REKAP[[#This Row],[Stok Aktual]]&lt;&gt;"",REKAP[[#This Row],[Stok Aktual]]-REKAP[[#This Row],[Stok Akhir]],0)</f>
        <v>0</v>
      </c>
      <c r="S1562" s="132"/>
      <c r="T1562" s="137">
        <f>IF(REKAP[[#This Row],[Selisih]]&lt;=-1,REKAP[[#This Row],[Harga Satuan]]*REKAP[[#This Row],[Selisih]],0)</f>
        <v>0</v>
      </c>
    </row>
    <row r="1563" spans="1:20" x14ac:dyDescent="0.25">
      <c r="A1563" s="55" t="s">
        <v>3000</v>
      </c>
      <c r="B1563" s="55" t="s">
        <v>3563</v>
      </c>
      <c r="C1563" s="55" t="s">
        <v>3563</v>
      </c>
      <c r="D1563" s="56" t="s">
        <v>2442</v>
      </c>
      <c r="E1563" s="57"/>
      <c r="F1563" s="75" t="s">
        <v>247</v>
      </c>
      <c r="G1563" s="64" t="s">
        <v>2443</v>
      </c>
      <c r="H1563" s="58">
        <v>109000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14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14</v>
      </c>
      <c r="P1563" s="55"/>
      <c r="Q1563" s="62">
        <f>REKAP[[#This Row],[Harga Satuan]]*REKAP[[#This Row],[Stok Akhir]]</f>
        <v>1526000</v>
      </c>
      <c r="R1563" s="61">
        <f>IF(REKAP[[#This Row],[Stok Aktual]]&lt;&gt;"",REKAP[[#This Row],[Stok Aktual]]-REKAP[[#This Row],[Stok Akhir]],0)</f>
        <v>0</v>
      </c>
      <c r="S1563" s="132"/>
      <c r="T1563" s="137">
        <f>IF(REKAP[[#This Row],[Selisih]]&lt;=-1,REKAP[[#This Row],[Harga Satuan]]*REKAP[[#This Row],[Selisih]],0)</f>
        <v>0</v>
      </c>
    </row>
    <row r="1564" spans="1:20" x14ac:dyDescent="0.25">
      <c r="A1564" s="55" t="s">
        <v>3001</v>
      </c>
      <c r="B1564" s="55" t="s">
        <v>3561</v>
      </c>
      <c r="C1564" s="55" t="s">
        <v>3561</v>
      </c>
      <c r="D1564" s="56" t="s">
        <v>2444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>
        <f>IF(REKAP[[#This Row],[Stok Aktual]]&lt;&gt;"",REKAP[[#This Row],[Stok Aktual]]-REKAP[[#This Row],[Stok Akhir]],0)</f>
        <v>0</v>
      </c>
      <c r="S1564" s="132"/>
      <c r="T1564" s="137">
        <f>IF(REKAP[[#This Row],[Selisih]]&lt;=-1,REKAP[[#This Row],[Harga Satuan]]*REKAP[[#This Row],[Selisih]],0)</f>
        <v>0</v>
      </c>
    </row>
    <row r="1565" spans="1:20" x14ac:dyDescent="0.25">
      <c r="A1565" s="55" t="s">
        <v>3002</v>
      </c>
      <c r="B1565" s="55" t="s">
        <v>3561</v>
      </c>
      <c r="C1565" s="55" t="s">
        <v>3561</v>
      </c>
      <c r="D1565" s="56" t="s">
        <v>2446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>
        <f>IF(REKAP[[#This Row],[Stok Aktual]]&lt;&gt;"",REKAP[[#This Row],[Stok Aktual]]-REKAP[[#This Row],[Stok Akhir]],0)</f>
        <v>0</v>
      </c>
      <c r="S1565" s="132"/>
      <c r="T1565" s="137">
        <f>IF(REKAP[[#This Row],[Selisih]]&lt;=-1,REKAP[[#This Row],[Harga Satuan]]*REKAP[[#This Row],[Selisih]],0)</f>
        <v>0</v>
      </c>
    </row>
    <row r="1566" spans="1:20" x14ac:dyDescent="0.25">
      <c r="A1566" s="55" t="s">
        <v>3003</v>
      </c>
      <c r="B1566" s="55" t="s">
        <v>3561</v>
      </c>
      <c r="C1566" s="55" t="s">
        <v>3561</v>
      </c>
      <c r="D1566" s="56" t="s">
        <v>2447</v>
      </c>
      <c r="E1566" s="57"/>
      <c r="F1566" s="75" t="s">
        <v>247</v>
      </c>
      <c r="G1566" s="64" t="s">
        <v>2445</v>
      </c>
      <c r="H1566" s="58">
        <v>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10</v>
      </c>
      <c r="P1566" s="55"/>
      <c r="Q1566" s="62">
        <f>REKAP[[#This Row],[Harga Satuan]]*REKAP[[#This Row],[Stok Akhir]]</f>
        <v>0</v>
      </c>
      <c r="R1566" s="61">
        <f>IF(REKAP[[#This Row],[Stok Aktual]]&lt;&gt;"",REKAP[[#This Row],[Stok Aktual]]-REKAP[[#This Row],[Stok Akhir]],0)</f>
        <v>0</v>
      </c>
      <c r="S1566" s="132"/>
      <c r="T1566" s="137">
        <f>IF(REKAP[[#This Row],[Selisih]]&lt;=-1,REKAP[[#This Row],[Harga Satuan]]*REKAP[[#This Row],[Selisih]],0)</f>
        <v>0</v>
      </c>
    </row>
    <row r="1567" spans="1:20" x14ac:dyDescent="0.25">
      <c r="A1567" s="55" t="s">
        <v>3004</v>
      </c>
      <c r="B1567" s="55" t="s">
        <v>3561</v>
      </c>
      <c r="C1567" s="55" t="s">
        <v>3561</v>
      </c>
      <c r="D1567" s="56" t="s">
        <v>2448</v>
      </c>
      <c r="E1567" s="57"/>
      <c r="F1567" s="75" t="s">
        <v>247</v>
      </c>
      <c r="G1567" s="64" t="s">
        <v>2445</v>
      </c>
      <c r="H1567" s="58">
        <v>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9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9</v>
      </c>
      <c r="P1567" s="55"/>
      <c r="Q1567" s="62">
        <f>REKAP[[#This Row],[Harga Satuan]]*REKAP[[#This Row],[Stok Akhir]]</f>
        <v>0</v>
      </c>
      <c r="R1567" s="61">
        <f>IF(REKAP[[#This Row],[Stok Aktual]]&lt;&gt;"",REKAP[[#This Row],[Stok Aktual]]-REKAP[[#This Row],[Stok Akhir]],0)</f>
        <v>0</v>
      </c>
      <c r="S1567" s="132"/>
      <c r="T1567" s="137">
        <f>IF(REKAP[[#This Row],[Selisih]]&lt;=-1,REKAP[[#This Row],[Harga Satuan]]*REKAP[[#This Row],[Selisih]],0)</f>
        <v>0</v>
      </c>
    </row>
    <row r="1568" spans="1:20" x14ac:dyDescent="0.25">
      <c r="A1568" s="55" t="s">
        <v>3005</v>
      </c>
      <c r="B1568" s="55" t="s">
        <v>3575</v>
      </c>
      <c r="C1568" s="55" t="s">
        <v>3575</v>
      </c>
      <c r="D1568" s="56" t="s">
        <v>2449</v>
      </c>
      <c r="E1568" s="57"/>
      <c r="F1568" s="75" t="s">
        <v>247</v>
      </c>
      <c r="G1568" s="64" t="s">
        <v>2193</v>
      </c>
      <c r="H1568" s="58">
        <v>100915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1</v>
      </c>
      <c r="K1568" s="60">
        <f>REKAP[[#This Row],[Trx In]]+REKAP[[#This Row],[Trx Out]]</f>
        <v>1</v>
      </c>
      <c r="L1568" s="55">
        <v>8</v>
      </c>
      <c r="M1568" s="74">
        <f>SUMIF(MASUK!$C:$C,REKAP[[#This Row],[ID]],MASUK!$H:$H)</f>
        <v>0</v>
      </c>
      <c r="N1568" s="74">
        <f>SUMIF(KELUAR!$C:$C,REKAP[[#This Row],[ID]],KELUAR!$H:$H)</f>
        <v>2</v>
      </c>
      <c r="O1568" s="74">
        <f>REKAP[[#This Row],[Stok Awal]]+REKAP[[#This Row],[Masuk]]-REKAP[[#This Row],[Keluar]]</f>
        <v>6</v>
      </c>
      <c r="P1568" s="55">
        <v>6</v>
      </c>
      <c r="Q1568" s="62">
        <f>REKAP[[#This Row],[Harga Satuan]]*REKAP[[#This Row],[Stok Akhir]]</f>
        <v>605490</v>
      </c>
      <c r="R1568" s="61">
        <f>IF(REKAP[[#This Row],[Stok Aktual]]&lt;&gt;"",REKAP[[#This Row],[Stok Aktual]]-REKAP[[#This Row],[Stok Akhir]],0)</f>
        <v>0</v>
      </c>
      <c r="S1568" s="132"/>
      <c r="T1568" s="137">
        <f>IF(REKAP[[#This Row],[Selisih]]&lt;=-1,REKAP[[#This Row],[Harga Satuan]]*REKAP[[#This Row],[Selisih]],0)</f>
        <v>0</v>
      </c>
    </row>
    <row r="1569" spans="1:20" x14ac:dyDescent="0.25">
      <c r="A1569" s="55" t="s">
        <v>3006</v>
      </c>
      <c r="B1569" s="55" t="s">
        <v>3575</v>
      </c>
      <c r="C1569" s="55" t="s">
        <v>3575</v>
      </c>
      <c r="D1569" s="56" t="s">
        <v>2450</v>
      </c>
      <c r="E1569" s="57"/>
      <c r="F1569" s="75" t="s">
        <v>247</v>
      </c>
      <c r="G1569" s="64"/>
      <c r="H1569" s="58">
        <v>65890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</v>
      </c>
      <c r="P1569" s="55"/>
      <c r="Q1569" s="62">
        <f>REKAP[[#This Row],[Harga Satuan]]*REKAP[[#This Row],[Stok Akhir]]</f>
        <v>65890</v>
      </c>
      <c r="R1569" s="61">
        <f>IF(REKAP[[#This Row],[Stok Aktual]]&lt;&gt;"",REKAP[[#This Row],[Stok Aktual]]-REKAP[[#This Row],[Stok Akhir]],0)</f>
        <v>0</v>
      </c>
      <c r="S1569" s="132"/>
      <c r="T1569" s="137">
        <f>IF(REKAP[[#This Row],[Selisih]]&lt;=-1,REKAP[[#This Row],[Harga Satuan]]*REKAP[[#This Row],[Selisih]],0)</f>
        <v>0</v>
      </c>
    </row>
    <row r="1570" spans="1:20" x14ac:dyDescent="0.25">
      <c r="A1570" s="55" t="s">
        <v>3007</v>
      </c>
      <c r="B1570" s="55" t="s">
        <v>3564</v>
      </c>
      <c r="C1570" s="55" t="s">
        <v>3564</v>
      </c>
      <c r="D1570" s="56" t="s">
        <v>2451</v>
      </c>
      <c r="E1570" s="57"/>
      <c r="F1570" s="75" t="s">
        <v>247</v>
      </c>
      <c r="G1570" s="64" t="s">
        <v>1979</v>
      </c>
      <c r="H1570" s="58">
        <v>59800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1</v>
      </c>
      <c r="K1570" s="60">
        <f>REKAP[[#This Row],[Trx In]]+REKAP[[#This Row],[Trx Out]]</f>
        <v>1</v>
      </c>
      <c r="L1570" s="55">
        <v>7</v>
      </c>
      <c r="M1570" s="74">
        <f>SUMIF(MASUK!$C:$C,REKAP[[#This Row],[ID]],MASUK!$H:$H)</f>
        <v>0</v>
      </c>
      <c r="N1570" s="74">
        <f>SUMIF(KELUAR!$C:$C,REKAP[[#This Row],[ID]],KELUAR!$H:$H)</f>
        <v>3</v>
      </c>
      <c r="O1570" s="74">
        <f>REKAP[[#This Row],[Stok Awal]]+REKAP[[#This Row],[Masuk]]-REKAP[[#This Row],[Keluar]]</f>
        <v>4</v>
      </c>
      <c r="P1570" s="55">
        <v>14</v>
      </c>
      <c r="Q1570" s="62">
        <f>REKAP[[#This Row],[Harga Satuan]]*REKAP[[#This Row],[Stok Akhir]]</f>
        <v>239200</v>
      </c>
      <c r="R1570" s="61">
        <f>IF(REKAP[[#This Row],[Stok Aktual]]&lt;&gt;"",REKAP[[#This Row],[Stok Aktual]]-REKAP[[#This Row],[Stok Akhir]],0)</f>
        <v>10</v>
      </c>
      <c r="S1570" s="132"/>
      <c r="T1570" s="137">
        <f>IF(REKAP[[#This Row],[Selisih]]&lt;=-1,REKAP[[#This Row],[Harga Satuan]]*REKAP[[#This Row],[Selisih]],0)</f>
        <v>0</v>
      </c>
    </row>
    <row r="1571" spans="1:20" x14ac:dyDescent="0.25">
      <c r="A1571" s="55" t="s">
        <v>3008</v>
      </c>
      <c r="B1571" s="55" t="s">
        <v>3564</v>
      </c>
      <c r="C1571" s="55" t="s">
        <v>3564</v>
      </c>
      <c r="D1571" s="56" t="s">
        <v>2452</v>
      </c>
      <c r="E1571" s="57"/>
      <c r="F1571" s="75" t="s">
        <v>247</v>
      </c>
      <c r="G1571" s="64"/>
      <c r="H1571" s="58">
        <v>58500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19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19</v>
      </c>
      <c r="P1571" s="55"/>
      <c r="Q1571" s="62">
        <f>REKAP[[#This Row],[Harga Satuan]]*REKAP[[#This Row],[Stok Akhir]]</f>
        <v>1111500</v>
      </c>
      <c r="R1571" s="61">
        <f>IF(REKAP[[#This Row],[Stok Aktual]]&lt;&gt;"",REKAP[[#This Row],[Stok Aktual]]-REKAP[[#This Row],[Stok Akhir]],0)</f>
        <v>0</v>
      </c>
      <c r="S1571" s="132"/>
      <c r="T1571" s="137">
        <f>IF(REKAP[[#This Row],[Selisih]]&lt;=-1,REKAP[[#This Row],[Harga Satuan]]*REKAP[[#This Row],[Selisih]],0)</f>
        <v>0</v>
      </c>
    </row>
    <row r="1572" spans="1:20" x14ac:dyDescent="0.25">
      <c r="A1572" s="55" t="s">
        <v>3009</v>
      </c>
      <c r="B1572" s="55" t="s">
        <v>3564</v>
      </c>
      <c r="C1572" s="55" t="s">
        <v>3564</v>
      </c>
      <c r="D1572" s="56" t="s">
        <v>2453</v>
      </c>
      <c r="E1572" s="57"/>
      <c r="F1572" s="75" t="s">
        <v>247</v>
      </c>
      <c r="G1572" s="64"/>
      <c r="H1572" s="58">
        <v>70500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7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7</v>
      </c>
      <c r="P1572" s="55"/>
      <c r="Q1572" s="62">
        <f>REKAP[[#This Row],[Harga Satuan]]*REKAP[[#This Row],[Stok Akhir]]</f>
        <v>493500</v>
      </c>
      <c r="R1572" s="61">
        <f>IF(REKAP[[#This Row],[Stok Aktual]]&lt;&gt;"",REKAP[[#This Row],[Stok Aktual]]-REKAP[[#This Row],[Stok Akhir]],0)</f>
        <v>0</v>
      </c>
      <c r="S1572" s="132"/>
      <c r="T1572" s="137">
        <f>IF(REKAP[[#This Row],[Selisih]]&lt;=-1,REKAP[[#This Row],[Harga Satuan]]*REKAP[[#This Row],[Selisih]],0)</f>
        <v>0</v>
      </c>
    </row>
    <row r="1573" spans="1:20" x14ac:dyDescent="0.25">
      <c r="A1573" s="55" t="s">
        <v>3010</v>
      </c>
      <c r="B1573" s="55" t="s">
        <v>3564</v>
      </c>
      <c r="C1573" s="55" t="s">
        <v>3564</v>
      </c>
      <c r="D1573" s="56" t="s">
        <v>2454</v>
      </c>
      <c r="E1573" s="57"/>
      <c r="F1573" s="75" t="s">
        <v>247</v>
      </c>
      <c r="G1573" s="64" t="s">
        <v>2455</v>
      </c>
      <c r="H1573" s="58">
        <v>46500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1</v>
      </c>
      <c r="L1573" s="55">
        <v>10</v>
      </c>
      <c r="M1573" s="74">
        <f>SUMIF(MASUK!$C:$C,REKAP[[#This Row],[ID]],MASUK!$H:$H)</f>
        <v>0</v>
      </c>
      <c r="N1573" s="74">
        <f>SUMIF(KELUAR!$C:$C,REKAP[[#This Row],[ID]],KELUAR!$H:$H)</f>
        <v>2</v>
      </c>
      <c r="O1573" s="74">
        <f>REKAP[[#This Row],[Stok Awal]]+REKAP[[#This Row],[Masuk]]-REKAP[[#This Row],[Keluar]]</f>
        <v>8</v>
      </c>
      <c r="P1573" s="55">
        <v>8</v>
      </c>
      <c r="Q1573" s="62">
        <f>REKAP[[#This Row],[Harga Satuan]]*REKAP[[#This Row],[Stok Akhir]]</f>
        <v>372000</v>
      </c>
      <c r="R1573" s="61">
        <f>IF(REKAP[[#This Row],[Stok Aktual]]&lt;&gt;"",REKAP[[#This Row],[Stok Aktual]]-REKAP[[#This Row],[Stok Akhir]],0)</f>
        <v>0</v>
      </c>
      <c r="S1573" s="132"/>
      <c r="T1573" s="137">
        <f>IF(REKAP[[#This Row],[Selisih]]&lt;=-1,REKAP[[#This Row],[Harga Satuan]]*REKAP[[#This Row],[Selisih]],0)</f>
        <v>0</v>
      </c>
    </row>
    <row r="1574" spans="1:20" x14ac:dyDescent="0.25">
      <c r="A1574" s="55" t="s">
        <v>3011</v>
      </c>
      <c r="B1574" s="55" t="s">
        <v>3564</v>
      </c>
      <c r="C1574" s="55" t="s">
        <v>3564</v>
      </c>
      <c r="D1574" s="56" t="s">
        <v>2456</v>
      </c>
      <c r="E1574" s="57"/>
      <c r="F1574" s="75" t="s">
        <v>247</v>
      </c>
      <c r="G1574" s="64" t="s">
        <v>2455</v>
      </c>
      <c r="H1574" s="58">
        <v>65000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16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16</v>
      </c>
      <c r="P1574" s="55"/>
      <c r="Q1574" s="62">
        <f>REKAP[[#This Row],[Harga Satuan]]*REKAP[[#This Row],[Stok Akhir]]</f>
        <v>1040000</v>
      </c>
      <c r="R1574" s="61">
        <f>IF(REKAP[[#This Row],[Stok Aktual]]&lt;&gt;"",REKAP[[#This Row],[Stok Aktual]]-REKAP[[#This Row],[Stok Akhir]],0)</f>
        <v>0</v>
      </c>
      <c r="S1574" s="132"/>
      <c r="T1574" s="137">
        <f>IF(REKAP[[#This Row],[Selisih]]&lt;=-1,REKAP[[#This Row],[Harga Satuan]]*REKAP[[#This Row],[Selisih]],0)</f>
        <v>0</v>
      </c>
    </row>
    <row r="1575" spans="1:20" x14ac:dyDescent="0.25">
      <c r="A1575" s="55" t="s">
        <v>3012</v>
      </c>
      <c r="B1575" s="55" t="s">
        <v>3564</v>
      </c>
      <c r="C1575" s="55" t="s">
        <v>3564</v>
      </c>
      <c r="D1575" s="56" t="s">
        <v>2457</v>
      </c>
      <c r="E1575" s="57"/>
      <c r="F1575" s="75" t="s">
        <v>247</v>
      </c>
      <c r="G1575" s="64" t="s">
        <v>1979</v>
      </c>
      <c r="H1575" s="58">
        <v>79100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30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30</v>
      </c>
      <c r="P1575" s="55"/>
      <c r="Q1575" s="62">
        <f>REKAP[[#This Row],[Harga Satuan]]*REKAP[[#This Row],[Stok Akhir]]</f>
        <v>2373000</v>
      </c>
      <c r="R1575" s="61">
        <f>IF(REKAP[[#This Row],[Stok Aktual]]&lt;&gt;"",REKAP[[#This Row],[Stok Aktual]]-REKAP[[#This Row],[Stok Akhir]],0)</f>
        <v>0</v>
      </c>
      <c r="S1575" s="132"/>
      <c r="T1575" s="137">
        <f>IF(REKAP[[#This Row],[Selisih]]&lt;=-1,REKAP[[#This Row],[Harga Satuan]]*REKAP[[#This Row],[Selisih]],0)</f>
        <v>0</v>
      </c>
    </row>
    <row r="1576" spans="1:20" x14ac:dyDescent="0.25">
      <c r="A1576" s="55" t="s">
        <v>3013</v>
      </c>
      <c r="B1576" s="55" t="s">
        <v>3564</v>
      </c>
      <c r="C1576" s="55" t="s">
        <v>3564</v>
      </c>
      <c r="D1576" s="56" t="s">
        <v>2458</v>
      </c>
      <c r="E1576" s="57"/>
      <c r="F1576" s="75" t="s">
        <v>247</v>
      </c>
      <c r="G1576" s="64"/>
      <c r="H1576" s="58">
        <v>50000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20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20</v>
      </c>
      <c r="P1576" s="55"/>
      <c r="Q1576" s="62">
        <f>REKAP[[#This Row],[Harga Satuan]]*REKAP[[#This Row],[Stok Akhir]]</f>
        <v>1000000</v>
      </c>
      <c r="R1576" s="61">
        <f>IF(REKAP[[#This Row],[Stok Aktual]]&lt;&gt;"",REKAP[[#This Row],[Stok Aktual]]-REKAP[[#This Row],[Stok Akhir]],0)</f>
        <v>0</v>
      </c>
      <c r="S1576" s="132"/>
      <c r="T1576" s="137">
        <f>IF(REKAP[[#This Row],[Selisih]]&lt;=-1,REKAP[[#This Row],[Harga Satuan]]*REKAP[[#This Row],[Selisih]],0)</f>
        <v>0</v>
      </c>
    </row>
    <row r="1577" spans="1:20" x14ac:dyDescent="0.25">
      <c r="A1577" s="55" t="s">
        <v>3014</v>
      </c>
      <c r="B1577" s="55" t="s">
        <v>3564</v>
      </c>
      <c r="C1577" s="55" t="s">
        <v>3564</v>
      </c>
      <c r="D1577" s="56" t="s">
        <v>2459</v>
      </c>
      <c r="E1577" s="57"/>
      <c r="F1577" s="75" t="s">
        <v>247</v>
      </c>
      <c r="G1577" s="64" t="s">
        <v>1979</v>
      </c>
      <c r="H1577" s="58">
        <v>287500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19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19</v>
      </c>
      <c r="P1577" s="55"/>
      <c r="Q1577" s="62">
        <f>REKAP[[#This Row],[Harga Satuan]]*REKAP[[#This Row],[Stok Akhir]]</f>
        <v>5462500</v>
      </c>
      <c r="R1577" s="61">
        <f>IF(REKAP[[#This Row],[Stok Aktual]]&lt;&gt;"",REKAP[[#This Row],[Stok Aktual]]-REKAP[[#This Row],[Stok Akhir]],0)</f>
        <v>0</v>
      </c>
      <c r="S1577" s="132"/>
      <c r="T1577" s="137">
        <f>IF(REKAP[[#This Row],[Selisih]]&lt;=-1,REKAP[[#This Row],[Harga Satuan]]*REKAP[[#This Row],[Selisih]],0)</f>
        <v>0</v>
      </c>
    </row>
    <row r="1578" spans="1:20" x14ac:dyDescent="0.25">
      <c r="A1578" s="55" t="s">
        <v>3015</v>
      </c>
      <c r="B1578" s="55" t="s">
        <v>3564</v>
      </c>
      <c r="C1578" s="55" t="s">
        <v>3564</v>
      </c>
      <c r="D1578" s="56" t="s">
        <v>2460</v>
      </c>
      <c r="E1578" s="57"/>
      <c r="F1578" s="75" t="s">
        <v>247</v>
      </c>
      <c r="G1578" s="64"/>
      <c r="H1578" s="58">
        <v>236250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8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8</v>
      </c>
      <c r="P1578" s="55"/>
      <c r="Q1578" s="62">
        <f>REKAP[[#This Row],[Harga Satuan]]*REKAP[[#This Row],[Stok Akhir]]</f>
        <v>1890000</v>
      </c>
      <c r="R1578" s="61">
        <f>IF(REKAP[[#This Row],[Stok Aktual]]&lt;&gt;"",REKAP[[#This Row],[Stok Aktual]]-REKAP[[#This Row],[Stok Akhir]],0)</f>
        <v>0</v>
      </c>
      <c r="S1578" s="132"/>
      <c r="T1578" s="137">
        <f>IF(REKAP[[#This Row],[Selisih]]&lt;=-1,REKAP[[#This Row],[Harga Satuan]]*REKAP[[#This Row],[Selisih]],0)</f>
        <v>0</v>
      </c>
    </row>
    <row r="1579" spans="1:20" x14ac:dyDescent="0.25">
      <c r="A1579" s="55" t="s">
        <v>3016</v>
      </c>
      <c r="B1579" s="55" t="s">
        <v>3564</v>
      </c>
      <c r="C1579" s="55" t="s">
        <v>3564</v>
      </c>
      <c r="D1579" s="56" t="s">
        <v>2461</v>
      </c>
      <c r="E1579" s="57"/>
      <c r="F1579" s="75" t="s">
        <v>247</v>
      </c>
      <c r="G1579" s="64" t="s">
        <v>2455</v>
      </c>
      <c r="H1579" s="58">
        <v>135000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33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33</v>
      </c>
      <c r="P1579" s="55"/>
      <c r="Q1579" s="62">
        <f>REKAP[[#This Row],[Harga Satuan]]*REKAP[[#This Row],[Stok Akhir]]</f>
        <v>4455000</v>
      </c>
      <c r="R1579" s="61">
        <f>IF(REKAP[[#This Row],[Stok Aktual]]&lt;&gt;"",REKAP[[#This Row],[Stok Aktual]]-REKAP[[#This Row],[Stok Akhir]],0)</f>
        <v>0</v>
      </c>
      <c r="S1579" s="132"/>
      <c r="T1579" s="137">
        <f>IF(REKAP[[#This Row],[Selisih]]&lt;=-1,REKAP[[#This Row],[Harga Satuan]]*REKAP[[#This Row],[Selisih]],0)</f>
        <v>0</v>
      </c>
    </row>
    <row r="1580" spans="1:20" x14ac:dyDescent="0.25">
      <c r="A1580" s="55" t="s">
        <v>3017</v>
      </c>
      <c r="B1580" s="55" t="s">
        <v>3564</v>
      </c>
      <c r="C1580" s="55" t="s">
        <v>3564</v>
      </c>
      <c r="D1580" s="56" t="s">
        <v>2462</v>
      </c>
      <c r="E1580" s="57"/>
      <c r="F1580" s="75" t="s">
        <v>247</v>
      </c>
      <c r="G1580" s="64"/>
      <c r="H1580" s="58">
        <v>82500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>
        <f>IF(REKAP[[#This Row],[Stok Aktual]]&lt;&gt;"",REKAP[[#This Row],[Stok Aktual]]-REKAP[[#This Row],[Stok Akhir]],0)</f>
        <v>0</v>
      </c>
      <c r="S1580" s="132"/>
      <c r="T1580" s="137">
        <f>IF(REKAP[[#This Row],[Selisih]]&lt;=-1,REKAP[[#This Row],[Harga Satuan]]*REKAP[[#This Row],[Selisih]],0)</f>
        <v>0</v>
      </c>
    </row>
    <row r="1581" spans="1:20" x14ac:dyDescent="0.25">
      <c r="A1581" s="55" t="s">
        <v>3018</v>
      </c>
      <c r="B1581" s="55" t="s">
        <v>3564</v>
      </c>
      <c r="C1581" s="55" t="s">
        <v>3564</v>
      </c>
      <c r="D1581" s="56" t="s">
        <v>2463</v>
      </c>
      <c r="E1581" s="57"/>
      <c r="F1581" s="75" t="s">
        <v>247</v>
      </c>
      <c r="G1581" s="64" t="s">
        <v>2455</v>
      </c>
      <c r="H1581" s="58">
        <v>93100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15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15</v>
      </c>
      <c r="P1581" s="55"/>
      <c r="Q1581" s="62">
        <f>REKAP[[#This Row],[Harga Satuan]]*REKAP[[#This Row],[Stok Akhir]]</f>
        <v>1396500</v>
      </c>
      <c r="R1581" s="61">
        <f>IF(REKAP[[#This Row],[Stok Aktual]]&lt;&gt;"",REKAP[[#This Row],[Stok Aktual]]-REKAP[[#This Row],[Stok Akhir]],0)</f>
        <v>0</v>
      </c>
      <c r="S1581" s="132"/>
      <c r="T1581" s="137">
        <f>IF(REKAP[[#This Row],[Selisih]]&lt;=-1,REKAP[[#This Row],[Harga Satuan]]*REKAP[[#This Row],[Selisih]],0)</f>
        <v>0</v>
      </c>
    </row>
    <row r="1582" spans="1:20" x14ac:dyDescent="0.25">
      <c r="A1582" s="55" t="s">
        <v>3019</v>
      </c>
      <c r="B1582" s="55" t="s">
        <v>3564</v>
      </c>
      <c r="C1582" s="55" t="s">
        <v>3564</v>
      </c>
      <c r="D1582" s="56" t="s">
        <v>2464</v>
      </c>
      <c r="E1582" s="57"/>
      <c r="F1582" s="75" t="s">
        <v>247</v>
      </c>
      <c r="G1582" s="64" t="s">
        <v>1979</v>
      </c>
      <c r="H1582" s="58">
        <v>99800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1</v>
      </c>
      <c r="K1582" s="60">
        <f>REKAP[[#This Row],[Trx In]]+REKAP[[#This Row],[Trx Out]]</f>
        <v>1</v>
      </c>
      <c r="L1582" s="55">
        <v>14</v>
      </c>
      <c r="M1582" s="74">
        <f>SUMIF(MASUK!$C:$C,REKAP[[#This Row],[ID]],MASUK!$H:$H)</f>
        <v>0</v>
      </c>
      <c r="N1582" s="74">
        <f>SUMIF(KELUAR!$C:$C,REKAP[[#This Row],[ID]],KELUAR!$H:$H)</f>
        <v>4</v>
      </c>
      <c r="O1582" s="74">
        <f>REKAP[[#This Row],[Stok Awal]]+REKAP[[#This Row],[Masuk]]-REKAP[[#This Row],[Keluar]]</f>
        <v>10</v>
      </c>
      <c r="P1582" s="55">
        <v>10</v>
      </c>
      <c r="Q1582" s="62">
        <f>REKAP[[#This Row],[Harga Satuan]]*REKAP[[#This Row],[Stok Akhir]]</f>
        <v>998000</v>
      </c>
      <c r="R1582" s="61">
        <f>IF(REKAP[[#This Row],[Stok Aktual]]&lt;&gt;"",REKAP[[#This Row],[Stok Aktual]]-REKAP[[#This Row],[Stok Akhir]],0)</f>
        <v>0</v>
      </c>
      <c r="S1582" s="132"/>
      <c r="T1582" s="137">
        <f>IF(REKAP[[#This Row],[Selisih]]&lt;=-1,REKAP[[#This Row],[Harga Satuan]]*REKAP[[#This Row],[Selisih]],0)</f>
        <v>0</v>
      </c>
    </row>
    <row r="1583" spans="1:20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>
        <f>IF(REKAP[[#This Row],[Stok Aktual]]&lt;&gt;"",REKAP[[#This Row],[Stok Aktual]]-REKAP[[#This Row],[Stok Akhir]],0)</f>
        <v>0</v>
      </c>
      <c r="S1583" s="132"/>
      <c r="T1583" s="137">
        <f>IF(REKAP[[#This Row],[Selisih]]&lt;=-1,REKAP[[#This Row],[Harga Satuan]]*REKAP[[#This Row],[Selisih]],0)</f>
        <v>0</v>
      </c>
    </row>
    <row r="1584" spans="1:20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>
        <f>IF(REKAP[[#This Row],[Stok Aktual]]&lt;&gt;"",REKAP[[#This Row],[Stok Aktual]]-REKAP[[#This Row],[Stok Akhir]],0)</f>
        <v>0</v>
      </c>
      <c r="S1584" s="132"/>
      <c r="T1584" s="137">
        <f>IF(REKAP[[#This Row],[Selisih]]&lt;=-1,REKAP[[#This Row],[Harga Satuan]]*REKAP[[#This Row],[Selisih]],0)</f>
        <v>0</v>
      </c>
    </row>
    <row r="1585" spans="1:20" x14ac:dyDescent="0.25">
      <c r="A1585" s="55" t="s">
        <v>3022</v>
      </c>
      <c r="B1585" s="55" t="s">
        <v>3565</v>
      </c>
      <c r="C1585" s="55" t="s">
        <v>3565</v>
      </c>
      <c r="D1585" s="56" t="s">
        <v>2467</v>
      </c>
      <c r="E1585" s="57"/>
      <c r="F1585" s="75" t="s">
        <v>247</v>
      </c>
      <c r="G1585" s="64" t="s">
        <v>249</v>
      </c>
      <c r="H1585" s="58">
        <v>69000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1</v>
      </c>
      <c r="K1585" s="60">
        <f>REKAP[[#This Row],[Trx In]]+REKAP[[#This Row],[Trx Out]]</f>
        <v>1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10</v>
      </c>
      <c r="O1585" s="74">
        <f>REKAP[[#This Row],[Stok Awal]]+REKAP[[#This Row],[Masuk]]-REKAP[[#This Row],[Keluar]]</f>
        <v>10</v>
      </c>
      <c r="P1585" s="55">
        <v>10</v>
      </c>
      <c r="Q1585" s="62">
        <f>REKAP[[#This Row],[Harga Satuan]]*REKAP[[#This Row],[Stok Akhir]]</f>
        <v>690000</v>
      </c>
      <c r="R1585" s="61">
        <f>IF(REKAP[[#This Row],[Stok Aktual]]&lt;&gt;"",REKAP[[#This Row],[Stok Aktual]]-REKAP[[#This Row],[Stok Akhir]],0)</f>
        <v>0</v>
      </c>
      <c r="S1585" s="132"/>
      <c r="T1585" s="137">
        <f>IF(REKAP[[#This Row],[Selisih]]&lt;=-1,REKAP[[#This Row],[Harga Satuan]]*REKAP[[#This Row],[Selisih]],0)</f>
        <v>0</v>
      </c>
    </row>
    <row r="1586" spans="1:20" x14ac:dyDescent="0.25">
      <c r="A1586" s="55" t="s">
        <v>3023</v>
      </c>
      <c r="B1586" s="55" t="s">
        <v>3565</v>
      </c>
      <c r="C1586" s="55" t="s">
        <v>3565</v>
      </c>
      <c r="D1586" s="56" t="s">
        <v>2468</v>
      </c>
      <c r="E1586" s="57"/>
      <c r="F1586" s="75" t="s">
        <v>247</v>
      </c>
      <c r="G1586" s="64" t="s">
        <v>249</v>
      </c>
      <c r="H1586" s="58">
        <v>122000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2</v>
      </c>
      <c r="K1586" s="60">
        <f>REKAP[[#This Row],[Trx In]]+REKAP[[#This Row],[Trx Out]]</f>
        <v>2</v>
      </c>
      <c r="L1586" s="55">
        <v>20</v>
      </c>
      <c r="M1586" s="74">
        <f>SUMIF(MASUK!$C:$C,REKAP[[#This Row],[ID]],MASUK!$H:$H)</f>
        <v>0</v>
      </c>
      <c r="N1586" s="74">
        <f>SUMIF(KELUAR!$C:$C,REKAP[[#This Row],[ID]],KELUAR!$H:$H)</f>
        <v>20</v>
      </c>
      <c r="O1586" s="74">
        <f>REKAP[[#This Row],[Stok Awal]]+REKAP[[#This Row],[Masuk]]-REKAP[[#This Row],[Keluar]]</f>
        <v>0</v>
      </c>
      <c r="P1586" s="55">
        <v>0</v>
      </c>
      <c r="Q1586" s="62">
        <f>REKAP[[#This Row],[Harga Satuan]]*REKAP[[#This Row],[Stok Akhir]]</f>
        <v>0</v>
      </c>
      <c r="R1586" s="61">
        <f>IF(REKAP[[#This Row],[Stok Aktual]]&lt;&gt;"",REKAP[[#This Row],[Stok Aktual]]-REKAP[[#This Row],[Stok Akhir]],0)</f>
        <v>0</v>
      </c>
      <c r="S1586" s="132"/>
      <c r="T1586" s="137">
        <f>IF(REKAP[[#This Row],[Selisih]]&lt;=-1,REKAP[[#This Row],[Harga Satuan]]*REKAP[[#This Row],[Selisih]],0)</f>
        <v>0</v>
      </c>
    </row>
    <row r="1587" spans="1:20" x14ac:dyDescent="0.25">
      <c r="A1587" s="55" t="s">
        <v>3024</v>
      </c>
      <c r="B1587" s="55" t="s">
        <v>3565</v>
      </c>
      <c r="C1587" s="55" t="s">
        <v>3565</v>
      </c>
      <c r="D1587" s="56" t="s">
        <v>2469</v>
      </c>
      <c r="E1587" s="57"/>
      <c r="F1587" s="75" t="s">
        <v>247</v>
      </c>
      <c r="G1587" s="64" t="s">
        <v>249</v>
      </c>
      <c r="H1587" s="58">
        <v>124000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20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20</v>
      </c>
      <c r="P1587" s="55"/>
      <c r="Q1587" s="62">
        <f>REKAP[[#This Row],[Harga Satuan]]*REKAP[[#This Row],[Stok Akhir]]</f>
        <v>2480000</v>
      </c>
      <c r="R1587" s="61">
        <f>IF(REKAP[[#This Row],[Stok Aktual]]&lt;&gt;"",REKAP[[#This Row],[Stok Aktual]]-REKAP[[#This Row],[Stok Akhir]],0)</f>
        <v>0</v>
      </c>
      <c r="S1587" s="132"/>
      <c r="T1587" s="137">
        <f>IF(REKAP[[#This Row],[Selisih]]&lt;=-1,REKAP[[#This Row],[Harga Satuan]]*REKAP[[#This Row],[Selisih]],0)</f>
        <v>0</v>
      </c>
    </row>
    <row r="1588" spans="1:20" x14ac:dyDescent="0.25">
      <c r="A1588" s="55" t="s">
        <v>3025</v>
      </c>
      <c r="B1588" s="55" t="s">
        <v>3565</v>
      </c>
      <c r="C1588" s="55" t="s">
        <v>3565</v>
      </c>
      <c r="D1588" s="56" t="s">
        <v>2470</v>
      </c>
      <c r="E1588" s="57"/>
      <c r="F1588" s="75" t="s">
        <v>247</v>
      </c>
      <c r="G1588" s="64" t="s">
        <v>249</v>
      </c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190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190</v>
      </c>
      <c r="P1588" s="55"/>
      <c r="Q1588" s="62">
        <f>REKAP[[#This Row],[Harga Satuan]]*REKAP[[#This Row],[Stok Akhir]]</f>
        <v>21470000</v>
      </c>
      <c r="R1588" s="61">
        <f>IF(REKAP[[#This Row],[Stok Aktual]]&lt;&gt;"",REKAP[[#This Row],[Stok Aktual]]-REKAP[[#This Row],[Stok Akhir]],0)</f>
        <v>0</v>
      </c>
      <c r="S1588" s="132"/>
      <c r="T1588" s="137">
        <f>IF(REKAP[[#This Row],[Selisih]]&lt;=-1,REKAP[[#This Row],[Harga Satuan]]*REKAP[[#This Row],[Selisih]],0)</f>
        <v>0</v>
      </c>
    </row>
    <row r="1589" spans="1:20" x14ac:dyDescent="0.25">
      <c r="A1589" s="55" t="s">
        <v>3026</v>
      </c>
      <c r="B1589" s="55" t="s">
        <v>3565</v>
      </c>
      <c r="C1589" s="55" t="s">
        <v>3565</v>
      </c>
      <c r="D1589" s="56" t="s">
        <v>2471</v>
      </c>
      <c r="E1589" s="57"/>
      <c r="F1589" s="75" t="s">
        <v>247</v>
      </c>
      <c r="G1589" s="64" t="s">
        <v>249</v>
      </c>
      <c r="H1589" s="58">
        <v>583000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0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0</v>
      </c>
      <c r="P1589" s="55"/>
      <c r="Q1589" s="62">
        <f>REKAP[[#This Row],[Harga Satuan]]*REKAP[[#This Row],[Stok Akhir]]</f>
        <v>0</v>
      </c>
      <c r="R1589" s="61">
        <f>IF(REKAP[[#This Row],[Stok Aktual]]&lt;&gt;"",REKAP[[#This Row],[Stok Aktual]]-REKAP[[#This Row],[Stok Akhir]],0)</f>
        <v>0</v>
      </c>
      <c r="S1589" s="132"/>
      <c r="T1589" s="137">
        <f>IF(REKAP[[#This Row],[Selisih]]&lt;=-1,REKAP[[#This Row],[Harga Satuan]]*REKAP[[#This Row],[Selisih]],0)</f>
        <v>0</v>
      </c>
    </row>
    <row r="1590" spans="1:20" x14ac:dyDescent="0.25">
      <c r="A1590" s="55" t="s">
        <v>3027</v>
      </c>
      <c r="B1590" s="55" t="s">
        <v>3565</v>
      </c>
      <c r="C1590" s="55" t="s">
        <v>3565</v>
      </c>
      <c r="D1590" s="56" t="s">
        <v>2472</v>
      </c>
      <c r="E1590" s="57"/>
      <c r="F1590" s="75" t="s">
        <v>247</v>
      </c>
      <c r="G1590" s="64" t="s">
        <v>249</v>
      </c>
      <c r="H1590" s="58">
        <v>600000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>
        <f>IF(REKAP[[#This Row],[Stok Aktual]]&lt;&gt;"",REKAP[[#This Row],[Stok Aktual]]-REKAP[[#This Row],[Stok Akhir]],0)</f>
        <v>0</v>
      </c>
      <c r="S1590" s="132"/>
      <c r="T1590" s="137">
        <f>IF(REKAP[[#This Row],[Selisih]]&lt;=-1,REKAP[[#This Row],[Harga Satuan]]*REKAP[[#This Row],[Selisih]],0)</f>
        <v>0</v>
      </c>
    </row>
    <row r="1591" spans="1:20" x14ac:dyDescent="0.25">
      <c r="A1591" s="55" t="s">
        <v>3028</v>
      </c>
      <c r="B1591" s="55" t="s">
        <v>3565</v>
      </c>
      <c r="C1591" s="55" t="s">
        <v>3565</v>
      </c>
      <c r="D1591" s="56" t="s">
        <v>2473</v>
      </c>
      <c r="E1591" s="57"/>
      <c r="F1591" s="75" t="s">
        <v>247</v>
      </c>
      <c r="G1591" s="64" t="s">
        <v>249</v>
      </c>
      <c r="H1591" s="58">
        <v>566000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1132000</v>
      </c>
      <c r="R1591" s="61">
        <f>IF(REKAP[[#This Row],[Stok Aktual]]&lt;&gt;"",REKAP[[#This Row],[Stok Aktual]]-REKAP[[#This Row],[Stok Akhir]],0)</f>
        <v>0</v>
      </c>
      <c r="S1591" s="132"/>
      <c r="T1591" s="137">
        <f>IF(REKAP[[#This Row],[Selisih]]&lt;=-1,REKAP[[#This Row],[Harga Satuan]]*REKAP[[#This Row],[Selisih]],0)</f>
        <v>0</v>
      </c>
    </row>
    <row r="1592" spans="1:20" x14ac:dyDescent="0.25">
      <c r="A1592" s="55" t="s">
        <v>3029</v>
      </c>
      <c r="B1592" s="55" t="s">
        <v>3565</v>
      </c>
      <c r="C1592" s="55" t="s">
        <v>3565</v>
      </c>
      <c r="D1592" s="56" t="s">
        <v>2474</v>
      </c>
      <c r="E1592" s="57"/>
      <c r="F1592" s="75" t="s">
        <v>247</v>
      </c>
      <c r="G1592" s="64" t="s">
        <v>249</v>
      </c>
      <c r="H1592" s="58">
        <v>581000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2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2</v>
      </c>
      <c r="P1592" s="55"/>
      <c r="Q1592" s="62">
        <f>REKAP[[#This Row],[Harga Satuan]]*REKAP[[#This Row],[Stok Akhir]]</f>
        <v>1162000</v>
      </c>
      <c r="R1592" s="61">
        <f>IF(REKAP[[#This Row],[Stok Aktual]]&lt;&gt;"",REKAP[[#This Row],[Stok Aktual]]-REKAP[[#This Row],[Stok Akhir]],0)</f>
        <v>0</v>
      </c>
      <c r="S1592" s="132"/>
      <c r="T1592" s="137">
        <f>IF(REKAP[[#This Row],[Selisih]]&lt;=-1,REKAP[[#This Row],[Harga Satuan]]*REKAP[[#This Row],[Selisih]],0)</f>
        <v>0</v>
      </c>
    </row>
    <row r="1593" spans="1:20" x14ac:dyDescent="0.25">
      <c r="A1593" s="55" t="s">
        <v>3030</v>
      </c>
      <c r="B1593" s="55" t="s">
        <v>3566</v>
      </c>
      <c r="C1593" s="55" t="s">
        <v>3566</v>
      </c>
      <c r="D1593" s="56" t="s">
        <v>2475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37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37</v>
      </c>
      <c r="P1593" s="55"/>
      <c r="Q1593" s="62">
        <f>REKAP[[#This Row],[Harga Satuan]]*REKAP[[#This Row],[Stok Akhir]]</f>
        <v>0</v>
      </c>
      <c r="R1593" s="61">
        <f>IF(REKAP[[#This Row],[Stok Aktual]]&lt;&gt;"",REKAP[[#This Row],[Stok Aktual]]-REKAP[[#This Row],[Stok Akhir]],0)</f>
        <v>0</v>
      </c>
      <c r="S1593" s="132"/>
      <c r="T1593" s="137">
        <f>IF(REKAP[[#This Row],[Selisih]]&lt;=-1,REKAP[[#This Row],[Harga Satuan]]*REKAP[[#This Row],[Selisih]],0)</f>
        <v>0</v>
      </c>
    </row>
    <row r="1594" spans="1:20" x14ac:dyDescent="0.25">
      <c r="A1594" s="55" t="s">
        <v>3031</v>
      </c>
      <c r="B1594" s="55" t="s">
        <v>3566</v>
      </c>
      <c r="C1594" s="55" t="s">
        <v>3566</v>
      </c>
      <c r="D1594" s="56" t="s">
        <v>2476</v>
      </c>
      <c r="E1594" s="57"/>
      <c r="F1594" s="75" t="s">
        <v>247</v>
      </c>
      <c r="G1594" s="64"/>
      <c r="H1594" s="58">
        <v>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60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60</v>
      </c>
      <c r="P1594" s="55"/>
      <c r="Q1594" s="62">
        <f>REKAP[[#This Row],[Harga Satuan]]*REKAP[[#This Row],[Stok Akhir]]</f>
        <v>0</v>
      </c>
      <c r="R1594" s="61">
        <f>IF(REKAP[[#This Row],[Stok Aktual]]&lt;&gt;"",REKAP[[#This Row],[Stok Aktual]]-REKAP[[#This Row],[Stok Akhir]],0)</f>
        <v>0</v>
      </c>
      <c r="S1594" s="132"/>
      <c r="T1594" s="137">
        <f>IF(REKAP[[#This Row],[Selisih]]&lt;=-1,REKAP[[#This Row],[Harga Satuan]]*REKAP[[#This Row],[Selisih]],0)</f>
        <v>0</v>
      </c>
    </row>
    <row r="1595" spans="1:20" x14ac:dyDescent="0.25">
      <c r="A1595" s="55" t="s">
        <v>3032</v>
      </c>
      <c r="B1595" s="55" t="s">
        <v>3566</v>
      </c>
      <c r="C1595" s="55" t="s">
        <v>3566</v>
      </c>
      <c r="D1595" s="56" t="s">
        <v>2477</v>
      </c>
      <c r="E1595" s="57"/>
      <c r="F1595" s="75" t="s">
        <v>247</v>
      </c>
      <c r="G1595" s="64"/>
      <c r="H1595" s="58">
        <v>210000</v>
      </c>
      <c r="I1595" s="59">
        <f>IF(COUNTIF(MASUK[Kode Barang],REKAP[[#This Row],[ID]])=0,0,COUNTIF(MASUK[Kode Barang],REKAP[[#This Row],[ID]]))</f>
        <v>1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1</v>
      </c>
      <c r="L1595" s="55">
        <v>10</v>
      </c>
      <c r="M1595" s="74">
        <f>SUMIF(MASUK!$C:$C,REKAP[[#This Row],[ID]],MASUK!$H:$H)</f>
        <v>10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20</v>
      </c>
      <c r="P1595" s="55">
        <v>20</v>
      </c>
      <c r="Q1595" s="62">
        <f>REKAP[[#This Row],[Harga Satuan]]*REKAP[[#This Row],[Stok Akhir]]</f>
        <v>4200000</v>
      </c>
      <c r="R1595" s="61">
        <f>IF(REKAP[[#This Row],[Stok Aktual]]&lt;&gt;"",REKAP[[#This Row],[Stok Aktual]]-REKAP[[#This Row],[Stok Akhir]],0)</f>
        <v>0</v>
      </c>
      <c r="S1595" s="132"/>
      <c r="T1595" s="137">
        <f>IF(REKAP[[#This Row],[Selisih]]&lt;=-1,REKAP[[#This Row],[Harga Satuan]]*REKAP[[#This Row],[Selisih]],0)</f>
        <v>0</v>
      </c>
    </row>
    <row r="1596" spans="1:20" x14ac:dyDescent="0.25">
      <c r="A1596" s="55" t="s">
        <v>3033</v>
      </c>
      <c r="B1596" s="55" t="s">
        <v>2478</v>
      </c>
      <c r="C1596" s="55" t="s">
        <v>2478</v>
      </c>
      <c r="D1596" s="56" t="s">
        <v>2479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8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8</v>
      </c>
      <c r="P1596" s="55"/>
      <c r="Q1596" s="62">
        <f>REKAP[[#This Row],[Harga Satuan]]*REKAP[[#This Row],[Stok Akhir]]</f>
        <v>0</v>
      </c>
      <c r="R1596" s="61">
        <f>IF(REKAP[[#This Row],[Stok Aktual]]&lt;&gt;"",REKAP[[#This Row],[Stok Aktual]]-REKAP[[#This Row],[Stok Akhir]],0)</f>
        <v>0</v>
      </c>
      <c r="S1596" s="132"/>
      <c r="T1596" s="137">
        <f>IF(REKAP[[#This Row],[Selisih]]&lt;=-1,REKAP[[#This Row],[Harga Satuan]]*REKAP[[#This Row],[Selisih]],0)</f>
        <v>0</v>
      </c>
    </row>
    <row r="1597" spans="1:20" x14ac:dyDescent="0.25">
      <c r="A1597" s="55" t="s">
        <v>3034</v>
      </c>
      <c r="B1597" s="55" t="s">
        <v>2478</v>
      </c>
      <c r="C1597" s="55" t="s">
        <v>2478</v>
      </c>
      <c r="D1597" s="56" t="s">
        <v>2480</v>
      </c>
      <c r="E1597" s="57"/>
      <c r="F1597" s="75" t="s">
        <v>247</v>
      </c>
      <c r="G1597" s="64"/>
      <c r="H1597" s="58">
        <v>97000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7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7</v>
      </c>
      <c r="P1597" s="55"/>
      <c r="Q1597" s="62">
        <f>REKAP[[#This Row],[Harga Satuan]]*REKAP[[#This Row],[Stok Akhir]]</f>
        <v>679000</v>
      </c>
      <c r="R1597" s="61">
        <f>IF(REKAP[[#This Row],[Stok Aktual]]&lt;&gt;"",REKAP[[#This Row],[Stok Aktual]]-REKAP[[#This Row],[Stok Akhir]],0)</f>
        <v>0</v>
      </c>
      <c r="S1597" s="132"/>
      <c r="T1597" s="137">
        <f>IF(REKAP[[#This Row],[Selisih]]&lt;=-1,REKAP[[#This Row],[Harga Satuan]]*REKAP[[#This Row],[Selisih]],0)</f>
        <v>0</v>
      </c>
    </row>
    <row r="1598" spans="1:20" x14ac:dyDescent="0.25">
      <c r="A1598" s="55" t="s">
        <v>3035</v>
      </c>
      <c r="B1598" s="55" t="s">
        <v>2478</v>
      </c>
      <c r="C1598" s="55" t="s">
        <v>2478</v>
      </c>
      <c r="D1598" s="56" t="s">
        <v>2481</v>
      </c>
      <c r="E1598" s="57"/>
      <c r="F1598" s="75" t="s">
        <v>247</v>
      </c>
      <c r="G1598" s="64"/>
      <c r="H1598" s="58">
        <v>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6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6</v>
      </c>
      <c r="P1598" s="55"/>
      <c r="Q1598" s="62">
        <f>REKAP[[#This Row],[Harga Satuan]]*REKAP[[#This Row],[Stok Akhir]]</f>
        <v>0</v>
      </c>
      <c r="R1598" s="61">
        <f>IF(REKAP[[#This Row],[Stok Aktual]]&lt;&gt;"",REKAP[[#This Row],[Stok Aktual]]-REKAP[[#This Row],[Stok Akhir]],0)</f>
        <v>0</v>
      </c>
      <c r="S1598" s="132"/>
      <c r="T1598" s="137">
        <f>IF(REKAP[[#This Row],[Selisih]]&lt;=-1,REKAP[[#This Row],[Harga Satuan]]*REKAP[[#This Row],[Selisih]],0)</f>
        <v>0</v>
      </c>
    </row>
    <row r="1599" spans="1:20" x14ac:dyDescent="0.25">
      <c r="A1599" s="55" t="s">
        <v>3036</v>
      </c>
      <c r="B1599" s="55" t="s">
        <v>2478</v>
      </c>
      <c r="C1599" s="55" t="s">
        <v>2478</v>
      </c>
      <c r="D1599" s="56" t="s">
        <v>2482</v>
      </c>
      <c r="E1599" s="57"/>
      <c r="F1599" s="75" t="s">
        <v>247</v>
      </c>
      <c r="G1599" s="64"/>
      <c r="H1599" s="58">
        <v>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2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2</v>
      </c>
      <c r="P1599" s="55"/>
      <c r="Q1599" s="62">
        <f>REKAP[[#This Row],[Harga Satuan]]*REKAP[[#This Row],[Stok Akhir]]</f>
        <v>0</v>
      </c>
      <c r="R1599" s="61">
        <f>IF(REKAP[[#This Row],[Stok Aktual]]&lt;&gt;"",REKAP[[#This Row],[Stok Aktual]]-REKAP[[#This Row],[Stok Akhir]],0)</f>
        <v>0</v>
      </c>
      <c r="S1599" s="132"/>
      <c r="T1599" s="137">
        <f>IF(REKAP[[#This Row],[Selisih]]&lt;=-1,REKAP[[#This Row],[Harga Satuan]]*REKAP[[#This Row],[Selisih]],0)</f>
        <v>0</v>
      </c>
    </row>
    <row r="1600" spans="1:20" x14ac:dyDescent="0.25">
      <c r="A1600" s="55" t="s">
        <v>3037</v>
      </c>
      <c r="B1600" s="55" t="s">
        <v>2478</v>
      </c>
      <c r="C1600" s="55" t="s">
        <v>2478</v>
      </c>
      <c r="D1600" s="56" t="s">
        <v>2483</v>
      </c>
      <c r="E1600" s="57"/>
      <c r="F1600" s="75" t="s">
        <v>247</v>
      </c>
      <c r="G1600" s="64"/>
      <c r="H1600" s="58">
        <v>35000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3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3</v>
      </c>
      <c r="P1600" s="55"/>
      <c r="Q1600" s="62">
        <f>REKAP[[#This Row],[Harga Satuan]]*REKAP[[#This Row],[Stok Akhir]]</f>
        <v>105000</v>
      </c>
      <c r="R1600" s="61">
        <f>IF(REKAP[[#This Row],[Stok Aktual]]&lt;&gt;"",REKAP[[#This Row],[Stok Aktual]]-REKAP[[#This Row],[Stok Akhir]],0)</f>
        <v>0</v>
      </c>
      <c r="S1600" s="132"/>
      <c r="T1600" s="137">
        <f>IF(REKAP[[#This Row],[Selisih]]&lt;=-1,REKAP[[#This Row],[Harga Satuan]]*REKAP[[#This Row],[Selisih]],0)</f>
        <v>0</v>
      </c>
    </row>
    <row r="1601" spans="1:20" x14ac:dyDescent="0.25">
      <c r="A1601" s="55" t="s">
        <v>3038</v>
      </c>
      <c r="B1601" s="55" t="s">
        <v>2478</v>
      </c>
      <c r="C1601" s="55" t="s">
        <v>2478</v>
      </c>
      <c r="D1601" s="56" t="s">
        <v>2484</v>
      </c>
      <c r="E1601" s="57"/>
      <c r="F1601" s="75" t="s">
        <v>247</v>
      </c>
      <c r="G1601" s="64"/>
      <c r="H1601" s="58">
        <v>154330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7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7</v>
      </c>
      <c r="P1601" s="55"/>
      <c r="Q1601" s="62">
        <f>REKAP[[#This Row],[Harga Satuan]]*REKAP[[#This Row],[Stok Akhir]]</f>
        <v>1080310</v>
      </c>
      <c r="R1601" s="61">
        <f>IF(REKAP[[#This Row],[Stok Aktual]]&lt;&gt;"",REKAP[[#This Row],[Stok Aktual]]-REKAP[[#This Row],[Stok Akhir]],0)</f>
        <v>0</v>
      </c>
      <c r="S1601" s="132"/>
      <c r="T1601" s="137">
        <f>IF(REKAP[[#This Row],[Selisih]]&lt;=-1,REKAP[[#This Row],[Harga Satuan]]*REKAP[[#This Row],[Selisih]],0)</f>
        <v>0</v>
      </c>
    </row>
    <row r="1602" spans="1:20" x14ac:dyDescent="0.25">
      <c r="A1602" s="55" t="s">
        <v>3039</v>
      </c>
      <c r="B1602" s="55" t="s">
        <v>2478</v>
      </c>
      <c r="C1602" s="55" t="s">
        <v>2478</v>
      </c>
      <c r="D1602" s="56" t="s">
        <v>2485</v>
      </c>
      <c r="E1602" s="57"/>
      <c r="F1602" s="75" t="s">
        <v>247</v>
      </c>
      <c r="G1602" s="64"/>
      <c r="H1602" s="58">
        <v>218370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13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13</v>
      </c>
      <c r="P1602" s="55"/>
      <c r="Q1602" s="62">
        <f>REKAP[[#This Row],[Harga Satuan]]*REKAP[[#This Row],[Stok Akhir]]</f>
        <v>2838810</v>
      </c>
      <c r="R1602" s="61">
        <f>IF(REKAP[[#This Row],[Stok Aktual]]&lt;&gt;"",REKAP[[#This Row],[Stok Aktual]]-REKAP[[#This Row],[Stok Akhir]],0)</f>
        <v>0</v>
      </c>
      <c r="S1602" s="132"/>
      <c r="T1602" s="137">
        <f>IF(REKAP[[#This Row],[Selisih]]&lt;=-1,REKAP[[#This Row],[Harga Satuan]]*REKAP[[#This Row],[Selisih]],0)</f>
        <v>0</v>
      </c>
    </row>
    <row r="1603" spans="1:20" x14ac:dyDescent="0.25">
      <c r="A1603" s="55" t="s">
        <v>3040</v>
      </c>
      <c r="B1603" s="55" t="s">
        <v>2486</v>
      </c>
      <c r="C1603" s="55" t="s">
        <v>2486</v>
      </c>
      <c r="D1603" s="56" t="s">
        <v>2487</v>
      </c>
      <c r="E1603" s="57"/>
      <c r="F1603" s="75" t="s">
        <v>247</v>
      </c>
      <c r="G1603" s="64" t="s">
        <v>1991</v>
      </c>
      <c r="H1603" s="58">
        <v>238000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10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10</v>
      </c>
      <c r="P1603" s="55"/>
      <c r="Q1603" s="62">
        <f>REKAP[[#This Row],[Harga Satuan]]*REKAP[[#This Row],[Stok Akhir]]</f>
        <v>2380000</v>
      </c>
      <c r="R1603" s="61">
        <f>IF(REKAP[[#This Row],[Stok Aktual]]&lt;&gt;"",REKAP[[#This Row],[Stok Aktual]]-REKAP[[#This Row],[Stok Akhir]],0)</f>
        <v>0</v>
      </c>
      <c r="S1603" s="132"/>
      <c r="T1603" s="137">
        <f>IF(REKAP[[#This Row],[Selisih]]&lt;=-1,REKAP[[#This Row],[Harga Satuan]]*REKAP[[#This Row],[Selisih]],0)</f>
        <v>0</v>
      </c>
    </row>
    <row r="1604" spans="1:20" x14ac:dyDescent="0.25">
      <c r="A1604" s="55" t="s">
        <v>3041</v>
      </c>
      <c r="B1604" s="55" t="s">
        <v>2486</v>
      </c>
      <c r="C1604" s="55" t="s">
        <v>2486</v>
      </c>
      <c r="D1604" s="56" t="s">
        <v>2488</v>
      </c>
      <c r="E1604" s="57"/>
      <c r="F1604" s="75" t="s">
        <v>247</v>
      </c>
      <c r="G1604" s="64"/>
      <c r="H1604" s="58">
        <v>238000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10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10</v>
      </c>
      <c r="P1604" s="55"/>
      <c r="Q1604" s="62">
        <f>REKAP[[#This Row],[Harga Satuan]]*REKAP[[#This Row],[Stok Akhir]]</f>
        <v>2380000</v>
      </c>
      <c r="R1604" s="61">
        <f>IF(REKAP[[#This Row],[Stok Aktual]]&lt;&gt;"",REKAP[[#This Row],[Stok Aktual]]-REKAP[[#This Row],[Stok Akhir]],0)</f>
        <v>0</v>
      </c>
      <c r="S1604" s="132"/>
      <c r="T1604" s="137">
        <f>IF(REKAP[[#This Row],[Selisih]]&lt;=-1,REKAP[[#This Row],[Harga Satuan]]*REKAP[[#This Row],[Selisih]],0)</f>
        <v>0</v>
      </c>
    </row>
    <row r="1605" spans="1:20" x14ac:dyDescent="0.25">
      <c r="A1605" s="55" t="s">
        <v>3042</v>
      </c>
      <c r="B1605" s="55" t="s">
        <v>2486</v>
      </c>
      <c r="C1605" s="55" t="s">
        <v>2486</v>
      </c>
      <c r="D1605" s="56" t="s">
        <v>2489</v>
      </c>
      <c r="E1605" s="57"/>
      <c r="F1605" s="75" t="s">
        <v>247</v>
      </c>
      <c r="G1605" s="64"/>
      <c r="H1605" s="58">
        <v>167000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30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30</v>
      </c>
      <c r="P1605" s="55"/>
      <c r="Q1605" s="62">
        <f>REKAP[[#This Row],[Harga Satuan]]*REKAP[[#This Row],[Stok Akhir]]</f>
        <v>5010000</v>
      </c>
      <c r="R1605" s="61">
        <f>IF(REKAP[[#This Row],[Stok Aktual]]&lt;&gt;"",REKAP[[#This Row],[Stok Aktual]]-REKAP[[#This Row],[Stok Akhir]],0)</f>
        <v>0</v>
      </c>
      <c r="S1605" s="132"/>
      <c r="T1605" s="137">
        <f>IF(REKAP[[#This Row],[Selisih]]&lt;=-1,REKAP[[#This Row],[Harga Satuan]]*REKAP[[#This Row],[Selisih]],0)</f>
        <v>0</v>
      </c>
    </row>
    <row r="1606" spans="1:20" x14ac:dyDescent="0.25">
      <c r="A1606" s="55" t="s">
        <v>3043</v>
      </c>
      <c r="B1606" s="55" t="s">
        <v>2486</v>
      </c>
      <c r="C1606" s="55" t="s">
        <v>2486</v>
      </c>
      <c r="D1606" s="56" t="s">
        <v>2490</v>
      </c>
      <c r="E1606" s="57"/>
      <c r="F1606" s="75" t="s">
        <v>247</v>
      </c>
      <c r="G1606" s="64" t="s">
        <v>1991</v>
      </c>
      <c r="H1606" s="58">
        <v>121000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847000</v>
      </c>
      <c r="R1606" s="61">
        <f>IF(REKAP[[#This Row],[Stok Aktual]]&lt;&gt;"",REKAP[[#This Row],[Stok Aktual]]-REKAP[[#This Row],[Stok Akhir]],0)</f>
        <v>0</v>
      </c>
      <c r="S1606" s="132"/>
      <c r="T1606" s="137">
        <f>IF(REKAP[[#This Row],[Selisih]]&lt;=-1,REKAP[[#This Row],[Harga Satuan]]*REKAP[[#This Row],[Selisih]],0)</f>
        <v>0</v>
      </c>
    </row>
    <row r="1607" spans="1:20" x14ac:dyDescent="0.25">
      <c r="A1607" s="55" t="s">
        <v>3044</v>
      </c>
      <c r="B1607" s="55" t="s">
        <v>2486</v>
      </c>
      <c r="C1607" s="55" t="s">
        <v>2486</v>
      </c>
      <c r="D1607" s="56" t="s">
        <v>2491</v>
      </c>
      <c r="E1607" s="57"/>
      <c r="F1607" s="75" t="s">
        <v>247</v>
      </c>
      <c r="G1607" s="64" t="s">
        <v>1991</v>
      </c>
      <c r="H1607" s="58">
        <v>134000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1</v>
      </c>
      <c r="K1607" s="60">
        <f>REKAP[[#This Row],[Trx In]]+REKAP[[#This Row],[Trx Out]]</f>
        <v>1</v>
      </c>
      <c r="L1607" s="55">
        <v>40</v>
      </c>
      <c r="M1607" s="74">
        <f>SUMIF(MASUK!$C:$C,REKAP[[#This Row],[ID]],MASUK!$H:$H)</f>
        <v>0</v>
      </c>
      <c r="N1607" s="74">
        <f>SUMIF(KELUAR!$C:$C,REKAP[[#This Row],[ID]],KELUAR!$H:$H)</f>
        <v>10</v>
      </c>
      <c r="O1607" s="74">
        <f>REKAP[[#This Row],[Stok Awal]]+REKAP[[#This Row],[Masuk]]-REKAP[[#This Row],[Keluar]]</f>
        <v>30</v>
      </c>
      <c r="P1607" s="55">
        <v>30</v>
      </c>
      <c r="Q1607" s="62">
        <f>REKAP[[#This Row],[Harga Satuan]]*REKAP[[#This Row],[Stok Akhir]]</f>
        <v>4020000</v>
      </c>
      <c r="R1607" s="61">
        <f>IF(REKAP[[#This Row],[Stok Aktual]]&lt;&gt;"",REKAP[[#This Row],[Stok Aktual]]-REKAP[[#This Row],[Stok Akhir]],0)</f>
        <v>0</v>
      </c>
      <c r="S1607" s="139"/>
      <c r="T1607" s="137">
        <f>IF(REKAP[[#This Row],[Selisih]]&lt;=-1,REKAP[[#This Row],[Harga Satuan]]*REKAP[[#This Row],[Selisih]],0)</f>
        <v>0</v>
      </c>
    </row>
    <row r="1608" spans="1:20" x14ac:dyDescent="0.25">
      <c r="A1608" s="55" t="s">
        <v>3045</v>
      </c>
      <c r="B1608" s="55" t="s">
        <v>2492</v>
      </c>
      <c r="C1608" s="55" t="s">
        <v>2492</v>
      </c>
      <c r="D1608" s="56" t="s">
        <v>2493</v>
      </c>
      <c r="E1608" s="57"/>
      <c r="F1608" s="75" t="s">
        <v>247</v>
      </c>
      <c r="G1608" s="64" t="s">
        <v>1991</v>
      </c>
      <c r="H1608" s="58">
        <v>88200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13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13</v>
      </c>
      <c r="P1608" s="55"/>
      <c r="Q1608" s="62">
        <f>REKAP[[#This Row],[Harga Satuan]]*REKAP[[#This Row],[Stok Akhir]]</f>
        <v>1146600</v>
      </c>
      <c r="R1608" s="61">
        <f>IF(REKAP[[#This Row],[Stok Aktual]]&lt;&gt;"",REKAP[[#This Row],[Stok Aktual]]-REKAP[[#This Row],[Stok Akhir]],0)</f>
        <v>0</v>
      </c>
      <c r="S1608" s="132"/>
      <c r="T1608" s="137">
        <f>IF(REKAP[[#This Row],[Selisih]]&lt;=-1,REKAP[[#This Row],[Harga Satuan]]*REKAP[[#This Row],[Selisih]],0)</f>
        <v>0</v>
      </c>
    </row>
    <row r="1609" spans="1:20" x14ac:dyDescent="0.25">
      <c r="A1609" s="55" t="s">
        <v>3046</v>
      </c>
      <c r="B1609" s="55" t="s">
        <v>3567</v>
      </c>
      <c r="C1609" s="55" t="s">
        <v>3567</v>
      </c>
      <c r="D1609" s="56" t="s">
        <v>2494</v>
      </c>
      <c r="E1609" s="57"/>
      <c r="F1609" s="75" t="s">
        <v>247</v>
      </c>
      <c r="G1609" s="64" t="s">
        <v>2495</v>
      </c>
      <c r="H1609" s="58">
        <v>87100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7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7</v>
      </c>
      <c r="P1609" s="55"/>
      <c r="Q1609" s="62">
        <f>REKAP[[#This Row],[Harga Satuan]]*REKAP[[#This Row],[Stok Akhir]]</f>
        <v>609700</v>
      </c>
      <c r="R1609" s="61">
        <f>IF(REKAP[[#This Row],[Stok Aktual]]&lt;&gt;"",REKAP[[#This Row],[Stok Aktual]]-REKAP[[#This Row],[Stok Akhir]],0)</f>
        <v>0</v>
      </c>
      <c r="S1609" s="132"/>
      <c r="T1609" s="137">
        <f>IF(REKAP[[#This Row],[Selisih]]&lt;=-1,REKAP[[#This Row],[Harga Satuan]]*REKAP[[#This Row],[Selisih]],0)</f>
        <v>0</v>
      </c>
    </row>
    <row r="1610" spans="1:20" x14ac:dyDescent="0.25">
      <c r="A1610" s="55" t="s">
        <v>3047</v>
      </c>
      <c r="B1610" s="55" t="s">
        <v>3567</v>
      </c>
      <c r="C1610" s="55" t="s">
        <v>3567</v>
      </c>
      <c r="D1610" s="56" t="s">
        <v>2496</v>
      </c>
      <c r="E1610" s="57"/>
      <c r="F1610" s="75" t="s">
        <v>247</v>
      </c>
      <c r="G1610" s="64"/>
      <c r="H1610" s="58">
        <v>17500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4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4</v>
      </c>
      <c r="P1610" s="55"/>
      <c r="Q1610" s="62">
        <f>REKAP[[#This Row],[Harga Satuan]]*REKAP[[#This Row],[Stok Akhir]]</f>
        <v>70000</v>
      </c>
      <c r="R1610" s="61">
        <f>IF(REKAP[[#This Row],[Stok Aktual]]&lt;&gt;"",REKAP[[#This Row],[Stok Aktual]]-REKAP[[#This Row],[Stok Akhir]],0)</f>
        <v>0</v>
      </c>
      <c r="S1610" s="132"/>
      <c r="T1610" s="137">
        <f>IF(REKAP[[#This Row],[Selisih]]&lt;=-1,REKAP[[#This Row],[Harga Satuan]]*REKAP[[#This Row],[Selisih]],0)</f>
        <v>0</v>
      </c>
    </row>
    <row r="1611" spans="1:20" x14ac:dyDescent="0.25">
      <c r="A1611" s="55" t="s">
        <v>3048</v>
      </c>
      <c r="B1611" s="55" t="s">
        <v>3576</v>
      </c>
      <c r="C1611" s="55" t="s">
        <v>3576</v>
      </c>
      <c r="D1611" s="56" t="s">
        <v>2497</v>
      </c>
      <c r="E1611" s="57"/>
      <c r="F1611" s="75" t="s">
        <v>247</v>
      </c>
      <c r="G1611" s="64" t="s">
        <v>1985</v>
      </c>
      <c r="H1611" s="58">
        <v>279000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>
        <f>IF(REKAP[[#This Row],[Stok Aktual]]&lt;&gt;"",REKAP[[#This Row],[Stok Aktual]]-REKAP[[#This Row],[Stok Akhir]],0)</f>
        <v>0</v>
      </c>
      <c r="S1611" s="132"/>
      <c r="T1611" s="137">
        <f>IF(REKAP[[#This Row],[Selisih]]&lt;=-1,REKAP[[#This Row],[Harga Satuan]]*REKAP[[#This Row],[Selisih]],0)</f>
        <v>0</v>
      </c>
    </row>
    <row r="1612" spans="1:20" x14ac:dyDescent="0.25">
      <c r="A1612" s="55" t="s">
        <v>3049</v>
      </c>
      <c r="B1612" s="55" t="s">
        <v>3577</v>
      </c>
      <c r="C1612" s="55" t="s">
        <v>3577</v>
      </c>
      <c r="D1612" s="56" t="s">
        <v>2498</v>
      </c>
      <c r="E1612" s="57"/>
      <c r="F1612" s="75" t="s">
        <v>247</v>
      </c>
      <c r="G1612" s="64" t="s">
        <v>2176</v>
      </c>
      <c r="H1612" s="58">
        <v>5445000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</v>
      </c>
      <c r="P1612" s="55"/>
      <c r="Q1612" s="62">
        <f>REKAP[[#This Row],[Harga Satuan]]*REKAP[[#This Row],[Stok Akhir]]</f>
        <v>5445000</v>
      </c>
      <c r="R1612" s="61">
        <f>IF(REKAP[[#This Row],[Stok Aktual]]&lt;&gt;"",REKAP[[#This Row],[Stok Aktual]]-REKAP[[#This Row],[Stok Akhir]],0)</f>
        <v>0</v>
      </c>
      <c r="S1612" s="132"/>
      <c r="T1612" s="137">
        <f>IF(REKAP[[#This Row],[Selisih]]&lt;=-1,REKAP[[#This Row],[Harga Satuan]]*REKAP[[#This Row],[Selisih]],0)</f>
        <v>0</v>
      </c>
    </row>
    <row r="1613" spans="1:20" x14ac:dyDescent="0.25">
      <c r="A1613" s="55" t="s">
        <v>3050</v>
      </c>
      <c r="B1613" s="55" t="s">
        <v>3577</v>
      </c>
      <c r="C1613" s="55" t="s">
        <v>3577</v>
      </c>
      <c r="D1613" s="56" t="s">
        <v>2499</v>
      </c>
      <c r="E1613" s="57"/>
      <c r="F1613" s="75" t="s">
        <v>247</v>
      </c>
      <c r="G1613" s="64" t="s">
        <v>2176</v>
      </c>
      <c r="H1613" s="58">
        <v>6595000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>
        <f>IF(REKAP[[#This Row],[Stok Aktual]]&lt;&gt;"",REKAP[[#This Row],[Stok Aktual]]-REKAP[[#This Row],[Stok Akhir]],0)</f>
        <v>0</v>
      </c>
      <c r="S1613" s="132"/>
      <c r="T1613" s="137">
        <f>IF(REKAP[[#This Row],[Selisih]]&lt;=-1,REKAP[[#This Row],[Harga Satuan]]*REKAP[[#This Row],[Selisih]],0)</f>
        <v>0</v>
      </c>
    </row>
    <row r="1614" spans="1:20" x14ac:dyDescent="0.25">
      <c r="A1614" s="55" t="s">
        <v>3051</v>
      </c>
      <c r="B1614" s="55" t="s">
        <v>2500</v>
      </c>
      <c r="C1614" s="55" t="s">
        <v>2500</v>
      </c>
      <c r="D1614" s="56"/>
      <c r="E1614" s="57"/>
      <c r="F1614" s="75" t="s">
        <v>247</v>
      </c>
      <c r="G1614" s="64" t="s">
        <v>835</v>
      </c>
      <c r="H1614" s="58">
        <v>35000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11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11</v>
      </c>
      <c r="P1614" s="55"/>
      <c r="Q1614" s="62">
        <f>REKAP[[#This Row],[Harga Satuan]]*REKAP[[#This Row],[Stok Akhir]]</f>
        <v>385000</v>
      </c>
      <c r="R1614" s="61">
        <f>IF(REKAP[[#This Row],[Stok Aktual]]&lt;&gt;"",REKAP[[#This Row],[Stok Aktual]]-REKAP[[#This Row],[Stok Akhir]],0)</f>
        <v>0</v>
      </c>
      <c r="S1614" s="132"/>
      <c r="T1614" s="137">
        <f>IF(REKAP[[#This Row],[Selisih]]&lt;=-1,REKAP[[#This Row],[Harga Satuan]]*REKAP[[#This Row],[Selisih]],0)</f>
        <v>0</v>
      </c>
    </row>
    <row r="1615" spans="1:20" x14ac:dyDescent="0.25">
      <c r="A1615" s="55" t="s">
        <v>3052</v>
      </c>
      <c r="B1615" s="55" t="s">
        <v>3579</v>
      </c>
      <c r="C1615" s="55" t="s">
        <v>3579</v>
      </c>
      <c r="D1615" s="56" t="s">
        <v>2501</v>
      </c>
      <c r="E1615" s="57"/>
      <c r="F1615" s="75" t="s">
        <v>247</v>
      </c>
      <c r="G1615" s="64" t="s">
        <v>249</v>
      </c>
      <c r="H1615" s="58">
        <v>3745000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>
        <f>IF(REKAP[[#This Row],[Stok Aktual]]&lt;&gt;"",REKAP[[#This Row],[Stok Aktual]]-REKAP[[#This Row],[Stok Akhir]],0)</f>
        <v>0</v>
      </c>
      <c r="S1615" s="132"/>
      <c r="T1615" s="137">
        <f>IF(REKAP[[#This Row],[Selisih]]&lt;=-1,REKAP[[#This Row],[Harga Satuan]]*REKAP[[#This Row],[Selisih]],0)</f>
        <v>0</v>
      </c>
    </row>
    <row r="1616" spans="1:20" x14ac:dyDescent="0.25">
      <c r="A1616" s="55" t="s">
        <v>3053</v>
      </c>
      <c r="B1616" s="55" t="s">
        <v>3579</v>
      </c>
      <c r="C1616" s="55" t="s">
        <v>3579</v>
      </c>
      <c r="D1616" s="56" t="s">
        <v>2502</v>
      </c>
      <c r="E1616" s="57"/>
      <c r="F1616" s="75" t="s">
        <v>247</v>
      </c>
      <c r="G1616" s="64" t="s">
        <v>249</v>
      </c>
      <c r="H1616" s="58">
        <v>1124000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>
        <f>IF(REKAP[[#This Row],[Stok Aktual]]&lt;&gt;"",REKAP[[#This Row],[Stok Aktual]]-REKAP[[#This Row],[Stok Akhir]],0)</f>
        <v>0</v>
      </c>
      <c r="S1616" s="132"/>
      <c r="T1616" s="137">
        <f>IF(REKAP[[#This Row],[Selisih]]&lt;=-1,REKAP[[#This Row],[Harga Satuan]]*REKAP[[#This Row],[Selisih]],0)</f>
        <v>0</v>
      </c>
    </row>
    <row r="1617" spans="1:20" x14ac:dyDescent="0.25">
      <c r="A1617" s="55" t="s">
        <v>3054</v>
      </c>
      <c r="B1617" s="55" t="s">
        <v>3579</v>
      </c>
      <c r="C1617" s="55" t="s">
        <v>3579</v>
      </c>
      <c r="D1617" s="56" t="s">
        <v>2503</v>
      </c>
      <c r="E1617" s="57"/>
      <c r="F1617" s="75" t="s">
        <v>247</v>
      </c>
      <c r="G1617" s="64" t="s">
        <v>249</v>
      </c>
      <c r="H1617" s="58">
        <v>562000</v>
      </c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0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0</v>
      </c>
      <c r="P1617" s="55"/>
      <c r="Q1617" s="62">
        <f>REKAP[[#This Row],[Harga Satuan]]*REKAP[[#This Row],[Stok Akhir]]</f>
        <v>0</v>
      </c>
      <c r="R1617" s="61">
        <f>IF(REKAP[[#This Row],[Stok Aktual]]&lt;&gt;"",REKAP[[#This Row],[Stok Aktual]]-REKAP[[#This Row],[Stok Akhir]],0)</f>
        <v>0</v>
      </c>
      <c r="S1617" s="132"/>
      <c r="T1617" s="137">
        <f>IF(REKAP[[#This Row],[Selisih]]&lt;=-1,REKAP[[#This Row],[Harga Satuan]]*REKAP[[#This Row],[Selisih]],0)</f>
        <v>0</v>
      </c>
    </row>
    <row r="1618" spans="1:20" x14ac:dyDescent="0.25">
      <c r="A1618" s="55" t="s">
        <v>3055</v>
      </c>
      <c r="B1618" s="55" t="s">
        <v>3458</v>
      </c>
      <c r="C1618" s="55" t="s">
        <v>3458</v>
      </c>
      <c r="D1618" s="56" t="s">
        <v>2504</v>
      </c>
      <c r="E1618" s="57"/>
      <c r="F1618" s="75" t="s">
        <v>247</v>
      </c>
      <c r="G1618" s="64" t="s">
        <v>1985</v>
      </c>
      <c r="H1618" s="58">
        <v>135000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4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4</v>
      </c>
      <c r="P1618" s="55"/>
      <c r="Q1618" s="62">
        <f>REKAP[[#This Row],[Harga Satuan]]*REKAP[[#This Row],[Stok Akhir]]</f>
        <v>540000</v>
      </c>
      <c r="R1618" s="61">
        <f>IF(REKAP[[#This Row],[Stok Aktual]]&lt;&gt;"",REKAP[[#This Row],[Stok Aktual]]-REKAP[[#This Row],[Stok Akhir]],0)</f>
        <v>0</v>
      </c>
      <c r="S1618" s="132"/>
      <c r="T1618" s="137">
        <f>IF(REKAP[[#This Row],[Selisih]]&lt;=-1,REKAP[[#This Row],[Harga Satuan]]*REKAP[[#This Row],[Selisih]],0)</f>
        <v>0</v>
      </c>
    </row>
    <row r="1619" spans="1:20" x14ac:dyDescent="0.25">
      <c r="A1619" s="55" t="s">
        <v>3056</v>
      </c>
      <c r="B1619" s="55" t="s">
        <v>3532</v>
      </c>
      <c r="C1619" s="55" t="s">
        <v>3532</v>
      </c>
      <c r="D1619" s="56" t="s">
        <v>2505</v>
      </c>
      <c r="E1619" s="57"/>
      <c r="F1619" s="75" t="s">
        <v>247</v>
      </c>
      <c r="G1619" s="64" t="s">
        <v>249</v>
      </c>
      <c r="H1619" s="58">
        <v>1706000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>
        <f>IF(REKAP[[#This Row],[Stok Aktual]]&lt;&gt;"",REKAP[[#This Row],[Stok Aktual]]-REKAP[[#This Row],[Stok Akhir]],0)</f>
        <v>0</v>
      </c>
      <c r="S1619" s="132"/>
      <c r="T1619" s="137">
        <f>IF(REKAP[[#This Row],[Selisih]]&lt;=-1,REKAP[[#This Row],[Harga Satuan]]*REKAP[[#This Row],[Selisih]],0)</f>
        <v>0</v>
      </c>
    </row>
    <row r="1620" spans="1:20" x14ac:dyDescent="0.25">
      <c r="A1620" s="55" t="s">
        <v>3057</v>
      </c>
      <c r="B1620" s="55" t="s">
        <v>2506</v>
      </c>
      <c r="C1620" s="55" t="s">
        <v>2506</v>
      </c>
      <c r="D1620" s="56"/>
      <c r="E1620" s="57"/>
      <c r="F1620" s="75" t="s">
        <v>247</v>
      </c>
      <c r="G1620" s="64"/>
      <c r="H1620" s="58">
        <v>1758000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2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2</v>
      </c>
      <c r="P1620" s="55"/>
      <c r="Q1620" s="62">
        <f>REKAP[[#This Row],[Harga Satuan]]*REKAP[[#This Row],[Stok Akhir]]</f>
        <v>3516000</v>
      </c>
      <c r="R1620" s="61">
        <f>IF(REKAP[[#This Row],[Stok Aktual]]&lt;&gt;"",REKAP[[#This Row],[Stok Aktual]]-REKAP[[#This Row],[Stok Akhir]],0)</f>
        <v>0</v>
      </c>
      <c r="S1620" s="132"/>
      <c r="T1620" s="137">
        <f>IF(REKAP[[#This Row],[Selisih]]&lt;=-1,REKAP[[#This Row],[Harga Satuan]]*REKAP[[#This Row],[Selisih]],0)</f>
        <v>0</v>
      </c>
    </row>
    <row r="1621" spans="1:20" x14ac:dyDescent="0.25">
      <c r="A1621" s="55" t="s">
        <v>3058</v>
      </c>
      <c r="B1621" s="55" t="s">
        <v>2507</v>
      </c>
      <c r="C1621" s="55" t="s">
        <v>2507</v>
      </c>
      <c r="D1621" s="56">
        <v>10137034</v>
      </c>
      <c r="E1621" s="57"/>
      <c r="F1621" s="75" t="s">
        <v>247</v>
      </c>
      <c r="G1621" s="64" t="s">
        <v>1991</v>
      </c>
      <c r="H1621" s="58">
        <v>259250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1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1</v>
      </c>
      <c r="P1621" s="55"/>
      <c r="Q1621" s="62">
        <f>REKAP[[#This Row],[Harga Satuan]]*REKAP[[#This Row],[Stok Akhir]]</f>
        <v>259250</v>
      </c>
      <c r="R1621" s="61">
        <f>IF(REKAP[[#This Row],[Stok Aktual]]&lt;&gt;"",REKAP[[#This Row],[Stok Aktual]]-REKAP[[#This Row],[Stok Akhir]],0)</f>
        <v>0</v>
      </c>
      <c r="S1621" s="132"/>
      <c r="T1621" s="137">
        <f>IF(REKAP[[#This Row],[Selisih]]&lt;=-1,REKAP[[#This Row],[Harga Satuan]]*REKAP[[#This Row],[Selisih]],0)</f>
        <v>0</v>
      </c>
    </row>
    <row r="1622" spans="1:20" x14ac:dyDescent="0.25">
      <c r="A1622" s="55" t="s">
        <v>3059</v>
      </c>
      <c r="B1622" s="55" t="s">
        <v>2508</v>
      </c>
      <c r="C1622" s="55" t="s">
        <v>2508</v>
      </c>
      <c r="D1622" s="56" t="s">
        <v>2509</v>
      </c>
      <c r="E1622" s="57"/>
      <c r="F1622" s="75" t="s">
        <v>247</v>
      </c>
      <c r="G1622" s="64" t="s">
        <v>2176</v>
      </c>
      <c r="H1622" s="58">
        <v>135000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1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1</v>
      </c>
      <c r="P1622" s="55"/>
      <c r="Q1622" s="62">
        <f>REKAP[[#This Row],[Harga Satuan]]*REKAP[[#This Row],[Stok Akhir]]</f>
        <v>135000</v>
      </c>
      <c r="R1622" s="61">
        <f>IF(REKAP[[#This Row],[Stok Aktual]]&lt;&gt;"",REKAP[[#This Row],[Stok Aktual]]-REKAP[[#This Row],[Stok Akhir]],0)</f>
        <v>0</v>
      </c>
      <c r="S1622" s="132"/>
      <c r="T1622" s="137">
        <f>IF(REKAP[[#This Row],[Selisih]]&lt;=-1,REKAP[[#This Row],[Harga Satuan]]*REKAP[[#This Row],[Selisih]],0)</f>
        <v>0</v>
      </c>
    </row>
    <row r="1623" spans="1:20" x14ac:dyDescent="0.25">
      <c r="A1623" s="55" t="s">
        <v>3060</v>
      </c>
      <c r="B1623" s="55" t="s">
        <v>2508</v>
      </c>
      <c r="C1623" s="55" t="s">
        <v>2508</v>
      </c>
      <c r="D1623" s="56" t="s">
        <v>2510</v>
      </c>
      <c r="E1623" s="57"/>
      <c r="F1623" s="75" t="s">
        <v>247</v>
      </c>
      <c r="G1623" s="64"/>
      <c r="H1623" s="58">
        <v>140000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1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1</v>
      </c>
      <c r="P1623" s="55"/>
      <c r="Q1623" s="62">
        <f>REKAP[[#This Row],[Harga Satuan]]*REKAP[[#This Row],[Stok Akhir]]</f>
        <v>140000</v>
      </c>
      <c r="R1623" s="61">
        <f>IF(REKAP[[#This Row],[Stok Aktual]]&lt;&gt;"",REKAP[[#This Row],[Stok Aktual]]-REKAP[[#This Row],[Stok Akhir]],0)</f>
        <v>0</v>
      </c>
      <c r="S1623" s="132"/>
      <c r="T1623" s="137">
        <f>IF(REKAP[[#This Row],[Selisih]]&lt;=-1,REKAP[[#This Row],[Harga Satuan]]*REKAP[[#This Row],[Selisih]],0)</f>
        <v>0</v>
      </c>
    </row>
    <row r="1624" spans="1:20" x14ac:dyDescent="0.25">
      <c r="A1624" s="55" t="s">
        <v>3061</v>
      </c>
      <c r="B1624" s="55" t="s">
        <v>2511</v>
      </c>
      <c r="C1624" s="55" t="s">
        <v>2511</v>
      </c>
      <c r="D1624" s="56"/>
      <c r="E1624" s="57"/>
      <c r="F1624" s="75" t="s">
        <v>247</v>
      </c>
      <c r="G1624" s="64"/>
      <c r="H1624" s="58">
        <v>70000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4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4</v>
      </c>
      <c r="P1624" s="55"/>
      <c r="Q1624" s="62">
        <f>REKAP[[#This Row],[Harga Satuan]]*REKAP[[#This Row],[Stok Akhir]]</f>
        <v>280000</v>
      </c>
      <c r="R1624" s="61">
        <f>IF(REKAP[[#This Row],[Stok Aktual]]&lt;&gt;"",REKAP[[#This Row],[Stok Aktual]]-REKAP[[#This Row],[Stok Akhir]],0)</f>
        <v>0</v>
      </c>
      <c r="S1624" s="132"/>
      <c r="T1624" s="137">
        <f>IF(REKAP[[#This Row],[Selisih]]&lt;=-1,REKAP[[#This Row],[Harga Satuan]]*REKAP[[#This Row],[Selisih]],0)</f>
        <v>0</v>
      </c>
    </row>
    <row r="1625" spans="1:20" x14ac:dyDescent="0.25">
      <c r="A1625" s="55" t="s">
        <v>3062</v>
      </c>
      <c r="B1625" s="55" t="s">
        <v>2512</v>
      </c>
      <c r="C1625" s="55" t="s">
        <v>2512</v>
      </c>
      <c r="D1625" s="56"/>
      <c r="E1625" s="57"/>
      <c r="F1625" s="75" t="s">
        <v>247</v>
      </c>
      <c r="G1625" s="64"/>
      <c r="H1625" s="58">
        <v>70000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2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2</v>
      </c>
      <c r="P1625" s="55"/>
      <c r="Q1625" s="62">
        <f>REKAP[[#This Row],[Harga Satuan]]*REKAP[[#This Row],[Stok Akhir]]</f>
        <v>140000</v>
      </c>
      <c r="R1625" s="61">
        <f>IF(REKAP[[#This Row],[Stok Aktual]]&lt;&gt;"",REKAP[[#This Row],[Stok Aktual]]-REKAP[[#This Row],[Stok Akhir]],0)</f>
        <v>0</v>
      </c>
      <c r="S1625" s="132"/>
      <c r="T1625" s="137">
        <f>IF(REKAP[[#This Row],[Selisih]]&lt;=-1,REKAP[[#This Row],[Harga Satuan]]*REKAP[[#This Row],[Selisih]],0)</f>
        <v>0</v>
      </c>
    </row>
    <row r="1626" spans="1:20" x14ac:dyDescent="0.25">
      <c r="A1626" s="55" t="s">
        <v>3063</v>
      </c>
      <c r="B1626" s="55" t="s">
        <v>3580</v>
      </c>
      <c r="C1626" s="55" t="s">
        <v>3580</v>
      </c>
      <c r="D1626" s="56" t="s">
        <v>2513</v>
      </c>
      <c r="E1626" s="57"/>
      <c r="F1626" s="75" t="s">
        <v>247</v>
      </c>
      <c r="G1626" s="64" t="s">
        <v>249</v>
      </c>
      <c r="H1626" s="58">
        <v>1128000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>
        <f>IF(REKAP[[#This Row],[Stok Aktual]]&lt;&gt;"",REKAP[[#This Row],[Stok Aktual]]-REKAP[[#This Row],[Stok Akhir]],0)</f>
        <v>0</v>
      </c>
      <c r="S1626" s="132"/>
      <c r="T1626" s="137">
        <f>IF(REKAP[[#This Row],[Selisih]]&lt;=-1,REKAP[[#This Row],[Harga Satuan]]*REKAP[[#This Row],[Selisih]],0)</f>
        <v>0</v>
      </c>
    </row>
    <row r="1627" spans="1:20" x14ac:dyDescent="0.25">
      <c r="A1627" s="55" t="s">
        <v>3064</v>
      </c>
      <c r="B1627" s="55" t="s">
        <v>3582</v>
      </c>
      <c r="C1627" s="55" t="s">
        <v>3582</v>
      </c>
      <c r="D1627" s="56" t="s">
        <v>1453</v>
      </c>
      <c r="E1627" s="57"/>
      <c r="F1627" s="75" t="s">
        <v>247</v>
      </c>
      <c r="G1627" s="64"/>
      <c r="H1627" s="58">
        <v>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19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19</v>
      </c>
      <c r="P1627" s="55"/>
      <c r="Q1627" s="62">
        <f>REKAP[[#This Row],[Harga Satuan]]*REKAP[[#This Row],[Stok Akhir]]</f>
        <v>0</v>
      </c>
      <c r="R1627" s="61">
        <f>IF(REKAP[[#This Row],[Stok Aktual]]&lt;&gt;"",REKAP[[#This Row],[Stok Aktual]]-REKAP[[#This Row],[Stok Akhir]],0)</f>
        <v>0</v>
      </c>
      <c r="S1627" s="132"/>
      <c r="T1627" s="137">
        <f>IF(REKAP[[#This Row],[Selisih]]&lt;=-1,REKAP[[#This Row],[Harga Satuan]]*REKAP[[#This Row],[Selisih]],0)</f>
        <v>0</v>
      </c>
    </row>
    <row r="1628" spans="1:20" x14ac:dyDescent="0.25">
      <c r="A1628" s="55" t="s">
        <v>3065</v>
      </c>
      <c r="B1628" s="55" t="s">
        <v>3581</v>
      </c>
      <c r="C1628" s="55" t="s">
        <v>3581</v>
      </c>
      <c r="D1628" s="56" t="s">
        <v>1453</v>
      </c>
      <c r="E1628" s="57"/>
      <c r="F1628" s="75" t="s">
        <v>247</v>
      </c>
      <c r="G1628" s="64" t="s">
        <v>2410</v>
      </c>
      <c r="H1628" s="58">
        <v>275000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>
        <f>IF(REKAP[[#This Row],[Stok Aktual]]&lt;&gt;"",REKAP[[#This Row],[Stok Aktual]]-REKAP[[#This Row],[Stok Akhir]],0)</f>
        <v>0</v>
      </c>
      <c r="S1628" s="132"/>
      <c r="T1628" s="137">
        <f>IF(REKAP[[#This Row],[Selisih]]&lt;=-1,REKAP[[#This Row],[Harga Satuan]]*REKAP[[#This Row],[Selisih]],0)</f>
        <v>0</v>
      </c>
    </row>
    <row r="1629" spans="1:20" x14ac:dyDescent="0.25">
      <c r="A1629" s="55" t="s">
        <v>3066</v>
      </c>
      <c r="B1629" s="55" t="s">
        <v>3583</v>
      </c>
      <c r="C1629" s="55" t="s">
        <v>3583</v>
      </c>
      <c r="D1629" s="56" t="s">
        <v>2514</v>
      </c>
      <c r="E1629" s="57"/>
      <c r="F1629" s="75" t="s">
        <v>247</v>
      </c>
      <c r="G1629" s="64" t="s">
        <v>249</v>
      </c>
      <c r="H1629" s="58">
        <v>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>
        <f>IF(REKAP[[#This Row],[Stok Aktual]]&lt;&gt;"",REKAP[[#This Row],[Stok Aktual]]-REKAP[[#This Row],[Stok Akhir]],0)</f>
        <v>0</v>
      </c>
      <c r="S1629" s="132"/>
      <c r="T1629" s="137">
        <f>IF(REKAP[[#This Row],[Selisih]]&lt;=-1,REKAP[[#This Row],[Harga Satuan]]*REKAP[[#This Row],[Selisih]],0)</f>
        <v>0</v>
      </c>
    </row>
    <row r="1630" spans="1:20" x14ac:dyDescent="0.25">
      <c r="A1630" s="55" t="s">
        <v>3067</v>
      </c>
      <c r="B1630" s="55" t="s">
        <v>3583</v>
      </c>
      <c r="C1630" s="55" t="s">
        <v>3583</v>
      </c>
      <c r="D1630" s="56" t="s">
        <v>2515</v>
      </c>
      <c r="E1630" s="57"/>
      <c r="F1630" s="75" t="s">
        <v>247</v>
      </c>
      <c r="G1630" s="64" t="s">
        <v>249</v>
      </c>
      <c r="H1630" s="58">
        <v>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>
        <f>IF(REKAP[[#This Row],[Stok Aktual]]&lt;&gt;"",REKAP[[#This Row],[Stok Aktual]]-REKAP[[#This Row],[Stok Akhir]],0)</f>
        <v>0</v>
      </c>
      <c r="S1630" s="132"/>
      <c r="T1630" s="137">
        <f>IF(REKAP[[#This Row],[Selisih]]&lt;=-1,REKAP[[#This Row],[Harga Satuan]]*REKAP[[#This Row],[Selisih]],0)</f>
        <v>0</v>
      </c>
    </row>
    <row r="1631" spans="1:20" x14ac:dyDescent="0.25">
      <c r="A1631" s="55" t="s">
        <v>3068</v>
      </c>
      <c r="B1631" s="55" t="s">
        <v>2516</v>
      </c>
      <c r="C1631" s="55" t="s">
        <v>2516</v>
      </c>
      <c r="D1631" s="56" t="s">
        <v>2517</v>
      </c>
      <c r="E1631" s="57"/>
      <c r="F1631" s="75" t="s">
        <v>247</v>
      </c>
      <c r="G1631" s="64" t="s">
        <v>2176</v>
      </c>
      <c r="H1631" s="58">
        <v>180000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5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5</v>
      </c>
      <c r="P1631" s="55"/>
      <c r="Q1631" s="62">
        <f>REKAP[[#This Row],[Harga Satuan]]*REKAP[[#This Row],[Stok Akhir]]</f>
        <v>900000</v>
      </c>
      <c r="R1631" s="61">
        <f>IF(REKAP[[#This Row],[Stok Aktual]]&lt;&gt;"",REKAP[[#This Row],[Stok Aktual]]-REKAP[[#This Row],[Stok Akhir]],0)</f>
        <v>0</v>
      </c>
      <c r="S1631" s="132"/>
      <c r="T1631" s="137">
        <f>IF(REKAP[[#This Row],[Selisih]]&lt;=-1,REKAP[[#This Row],[Harga Satuan]]*REKAP[[#This Row],[Selisih]],0)</f>
        <v>0</v>
      </c>
    </row>
    <row r="1632" spans="1:20" x14ac:dyDescent="0.25">
      <c r="A1632" s="55" t="s">
        <v>3069</v>
      </c>
      <c r="B1632" s="55" t="s">
        <v>2518</v>
      </c>
      <c r="C1632" s="55" t="s">
        <v>2518</v>
      </c>
      <c r="D1632" s="56" t="s">
        <v>2192</v>
      </c>
      <c r="E1632" s="57"/>
      <c r="F1632" s="75" t="s">
        <v>247</v>
      </c>
      <c r="G1632" s="64"/>
      <c r="H1632" s="58">
        <v>375000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1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1</v>
      </c>
      <c r="P1632" s="55"/>
      <c r="Q1632" s="62">
        <f>REKAP[[#This Row],[Harga Satuan]]*REKAP[[#This Row],[Stok Akhir]]</f>
        <v>375000</v>
      </c>
      <c r="R1632" s="61">
        <f>IF(REKAP[[#This Row],[Stok Aktual]]&lt;&gt;"",REKAP[[#This Row],[Stok Aktual]]-REKAP[[#This Row],[Stok Akhir]],0)</f>
        <v>0</v>
      </c>
      <c r="S1632" s="132"/>
      <c r="T1632" s="137">
        <f>IF(REKAP[[#This Row],[Selisih]]&lt;=-1,REKAP[[#This Row],[Harga Satuan]]*REKAP[[#This Row],[Selisih]],0)</f>
        <v>0</v>
      </c>
    </row>
    <row r="1633" spans="1:20" x14ac:dyDescent="0.25">
      <c r="A1633" s="55" t="s">
        <v>3070</v>
      </c>
      <c r="B1633" s="55" t="s">
        <v>2516</v>
      </c>
      <c r="C1633" s="55" t="s">
        <v>2516</v>
      </c>
      <c r="D1633" s="56" t="s">
        <v>2519</v>
      </c>
      <c r="E1633" s="57"/>
      <c r="F1633" s="75" t="s">
        <v>247</v>
      </c>
      <c r="G1633" s="64" t="s">
        <v>2176</v>
      </c>
      <c r="H1633" s="58">
        <v>361400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1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1</v>
      </c>
      <c r="P1633" s="55"/>
      <c r="Q1633" s="62">
        <f>REKAP[[#This Row],[Harga Satuan]]*REKAP[[#This Row],[Stok Akhir]]</f>
        <v>361400</v>
      </c>
      <c r="R1633" s="61">
        <f>IF(REKAP[[#This Row],[Stok Aktual]]&lt;&gt;"",REKAP[[#This Row],[Stok Aktual]]-REKAP[[#This Row],[Stok Akhir]],0)</f>
        <v>0</v>
      </c>
      <c r="S1633" s="132"/>
      <c r="T1633" s="137">
        <f>IF(REKAP[[#This Row],[Selisih]]&lt;=-1,REKAP[[#This Row],[Harga Satuan]]*REKAP[[#This Row],[Selisih]],0)</f>
        <v>0</v>
      </c>
    </row>
    <row r="1634" spans="1:20" x14ac:dyDescent="0.25">
      <c r="A1634" s="55" t="s">
        <v>3071</v>
      </c>
      <c r="B1634" s="55" t="s">
        <v>2520</v>
      </c>
      <c r="C1634" s="55" t="s">
        <v>2520</v>
      </c>
      <c r="D1634" s="56" t="s">
        <v>2521</v>
      </c>
      <c r="E1634" s="57"/>
      <c r="F1634" s="75" t="s">
        <v>247</v>
      </c>
      <c r="G1634" s="64"/>
      <c r="H1634" s="58">
        <v>200000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>
        <f>IF(REKAP[[#This Row],[Stok Aktual]]&lt;&gt;"",REKAP[[#This Row],[Stok Aktual]]-REKAP[[#This Row],[Stok Akhir]],0)</f>
        <v>0</v>
      </c>
      <c r="S1634" s="132"/>
      <c r="T1634" s="137">
        <f>IF(REKAP[[#This Row],[Selisih]]&lt;=-1,REKAP[[#This Row],[Harga Satuan]]*REKAP[[#This Row],[Selisih]],0)</f>
        <v>0</v>
      </c>
    </row>
    <row r="1635" spans="1:20" x14ac:dyDescent="0.25">
      <c r="A1635" s="55" t="s">
        <v>3072</v>
      </c>
      <c r="B1635" s="55" t="s">
        <v>2522</v>
      </c>
      <c r="C1635" s="55" t="s">
        <v>2522</v>
      </c>
      <c r="D1635" s="56" t="s">
        <v>2134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2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2</v>
      </c>
      <c r="P1635" s="55"/>
      <c r="Q1635" s="62">
        <f>REKAP[[#This Row],[Harga Satuan]]*REKAP[[#This Row],[Stok Akhir]]</f>
        <v>400000</v>
      </c>
      <c r="R1635" s="61">
        <f>IF(REKAP[[#This Row],[Stok Aktual]]&lt;&gt;"",REKAP[[#This Row],[Stok Aktual]]-REKAP[[#This Row],[Stok Akhir]],0)</f>
        <v>0</v>
      </c>
      <c r="S1635" s="132"/>
      <c r="T1635" s="137">
        <f>IF(REKAP[[#This Row],[Selisih]]&lt;=-1,REKAP[[#This Row],[Harga Satuan]]*REKAP[[#This Row],[Selisih]],0)</f>
        <v>0</v>
      </c>
    </row>
    <row r="1636" spans="1:20" x14ac:dyDescent="0.25">
      <c r="A1636" s="55" t="s">
        <v>3073</v>
      </c>
      <c r="B1636" s="55" t="s">
        <v>3536</v>
      </c>
      <c r="C1636" s="55" t="s">
        <v>3536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1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1</v>
      </c>
      <c r="P1636" s="55"/>
      <c r="Q1636" s="62">
        <f>REKAP[[#This Row],[Harga Satuan]]*REKAP[[#This Row],[Stok Akhir]]</f>
        <v>200000</v>
      </c>
      <c r="R1636" s="61">
        <f>IF(REKAP[[#This Row],[Stok Aktual]]&lt;&gt;"",REKAP[[#This Row],[Stok Aktual]]-REKAP[[#This Row],[Stok Akhir]],0)</f>
        <v>0</v>
      </c>
      <c r="S1636" s="132"/>
      <c r="T1636" s="137">
        <f>IF(REKAP[[#This Row],[Selisih]]&lt;=-1,REKAP[[#This Row],[Harga Satuan]]*REKAP[[#This Row],[Selisih]],0)</f>
        <v>0</v>
      </c>
    </row>
    <row r="1637" spans="1:20" x14ac:dyDescent="0.25">
      <c r="A1637" s="55" t="s">
        <v>3074</v>
      </c>
      <c r="B1637" s="55" t="s">
        <v>3493</v>
      </c>
      <c r="C1637" s="55" t="s">
        <v>3493</v>
      </c>
      <c r="D1637" s="56" t="s">
        <v>2119</v>
      </c>
      <c r="E1637" s="57"/>
      <c r="F1637" s="75" t="s">
        <v>247</v>
      </c>
      <c r="G1637" s="64"/>
      <c r="H1637" s="58">
        <v>257218.50000000003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257218.50000000003</v>
      </c>
      <c r="R1637" s="61">
        <f>IF(REKAP[[#This Row],[Stok Aktual]]&lt;&gt;"",REKAP[[#This Row],[Stok Aktual]]-REKAP[[#This Row],[Stok Akhir]],0)</f>
        <v>0</v>
      </c>
      <c r="S1637" s="132"/>
      <c r="T1637" s="137">
        <f>IF(REKAP[[#This Row],[Selisih]]&lt;=-1,REKAP[[#This Row],[Harga Satuan]]*REKAP[[#This Row],[Selisih]],0)</f>
        <v>0</v>
      </c>
    </row>
    <row r="1638" spans="1:20" x14ac:dyDescent="0.25">
      <c r="A1638" s="55" t="s">
        <v>3075</v>
      </c>
      <c r="B1638" s="55" t="s">
        <v>3493</v>
      </c>
      <c r="C1638" s="55" t="s">
        <v>3493</v>
      </c>
      <c r="D1638" s="56" t="s">
        <v>2141</v>
      </c>
      <c r="E1638" s="57"/>
      <c r="F1638" s="75" t="s">
        <v>247</v>
      </c>
      <c r="G1638" s="64"/>
      <c r="H1638" s="58">
        <v>200000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200000</v>
      </c>
      <c r="R1638" s="61">
        <f>IF(REKAP[[#This Row],[Stok Aktual]]&lt;&gt;"",REKAP[[#This Row],[Stok Aktual]]-REKAP[[#This Row],[Stok Akhir]],0)</f>
        <v>0</v>
      </c>
      <c r="S1638" s="132"/>
      <c r="T1638" s="137">
        <f>IF(REKAP[[#This Row],[Selisih]]&lt;=-1,REKAP[[#This Row],[Harga Satuan]]*REKAP[[#This Row],[Selisih]],0)</f>
        <v>0</v>
      </c>
    </row>
    <row r="1639" spans="1:20" x14ac:dyDescent="0.25">
      <c r="A1639" s="55" t="s">
        <v>3076</v>
      </c>
      <c r="B1639" s="55" t="s">
        <v>3493</v>
      </c>
      <c r="C1639" s="55" t="s">
        <v>3493</v>
      </c>
      <c r="D1639" s="56" t="s">
        <v>2175</v>
      </c>
      <c r="E1639" s="57"/>
      <c r="F1639" s="75" t="s">
        <v>247</v>
      </c>
      <c r="G1639" s="64" t="s">
        <v>2176</v>
      </c>
      <c r="H1639" s="58">
        <v>475000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2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2</v>
      </c>
      <c r="P1639" s="55"/>
      <c r="Q1639" s="62">
        <f>REKAP[[#This Row],[Harga Satuan]]*REKAP[[#This Row],[Stok Akhir]]</f>
        <v>950000</v>
      </c>
      <c r="R1639" s="61">
        <f>IF(REKAP[[#This Row],[Stok Aktual]]&lt;&gt;"",REKAP[[#This Row],[Stok Aktual]]-REKAP[[#This Row],[Stok Akhir]],0)</f>
        <v>0</v>
      </c>
      <c r="S1639" s="132"/>
      <c r="T1639" s="137">
        <f>IF(REKAP[[#This Row],[Selisih]]&lt;=-1,REKAP[[#This Row],[Harga Satuan]]*REKAP[[#This Row],[Selisih]],0)</f>
        <v>0</v>
      </c>
    </row>
    <row r="1640" spans="1:20" x14ac:dyDescent="0.25">
      <c r="A1640" s="55" t="s">
        <v>3077</v>
      </c>
      <c r="B1640" s="55" t="s">
        <v>3493</v>
      </c>
      <c r="C1640" s="55" t="s">
        <v>3493</v>
      </c>
      <c r="D1640" s="56" t="s">
        <v>2523</v>
      </c>
      <c r="E1640" s="57"/>
      <c r="F1640" s="75" t="s">
        <v>247</v>
      </c>
      <c r="G1640" s="64"/>
      <c r="H1640" s="58">
        <v>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1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1</v>
      </c>
      <c r="P1640" s="55"/>
      <c r="Q1640" s="62">
        <f>REKAP[[#This Row],[Harga Satuan]]*REKAP[[#This Row],[Stok Akhir]]</f>
        <v>0</v>
      </c>
      <c r="R1640" s="61">
        <f>IF(REKAP[[#This Row],[Stok Aktual]]&lt;&gt;"",REKAP[[#This Row],[Stok Aktual]]-REKAP[[#This Row],[Stok Akhir]],0)</f>
        <v>0</v>
      </c>
      <c r="S1640" s="132"/>
      <c r="T1640" s="137">
        <f>IF(REKAP[[#This Row],[Selisih]]&lt;=-1,REKAP[[#This Row],[Harga Satuan]]*REKAP[[#This Row],[Selisih]],0)</f>
        <v>0</v>
      </c>
    </row>
    <row r="1641" spans="1:20" x14ac:dyDescent="0.25">
      <c r="A1641" s="55" t="s">
        <v>3078</v>
      </c>
      <c r="B1641" s="55" t="s">
        <v>2524</v>
      </c>
      <c r="C1641" s="55" t="s">
        <v>2524</v>
      </c>
      <c r="D1641" s="56" t="s">
        <v>2525</v>
      </c>
      <c r="E1641" s="57"/>
      <c r="F1641" s="75" t="s">
        <v>247</v>
      </c>
      <c r="G1641" s="64"/>
      <c r="H1641" s="58">
        <v>100000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100000</v>
      </c>
      <c r="R1641" s="61">
        <f>IF(REKAP[[#This Row],[Stok Aktual]]&lt;&gt;"",REKAP[[#This Row],[Stok Aktual]]-REKAP[[#This Row],[Stok Akhir]],0)</f>
        <v>0</v>
      </c>
      <c r="S1641" s="132"/>
      <c r="T1641" s="137">
        <f>IF(REKAP[[#This Row],[Selisih]]&lt;=-1,REKAP[[#This Row],[Harga Satuan]]*REKAP[[#This Row],[Selisih]],0)</f>
        <v>0</v>
      </c>
    </row>
    <row r="1642" spans="1:20" x14ac:dyDescent="0.25">
      <c r="A1642" s="55" t="s">
        <v>3079</v>
      </c>
      <c r="B1642" s="55" t="s">
        <v>2526</v>
      </c>
      <c r="C1642" s="55" t="s">
        <v>2526</v>
      </c>
      <c r="D1642" s="56" t="s">
        <v>2527</v>
      </c>
      <c r="E1642" s="57"/>
      <c r="F1642" s="75" t="s">
        <v>247</v>
      </c>
      <c r="G1642" s="64"/>
      <c r="H1642" s="58">
        <v>150000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300000</v>
      </c>
      <c r="R1642" s="61">
        <f>IF(REKAP[[#This Row],[Stok Aktual]]&lt;&gt;"",REKAP[[#This Row],[Stok Aktual]]-REKAP[[#This Row],[Stok Akhir]],0)</f>
        <v>0</v>
      </c>
      <c r="S1642" s="132"/>
      <c r="T1642" s="137">
        <f>IF(REKAP[[#This Row],[Selisih]]&lt;=-1,REKAP[[#This Row],[Harga Satuan]]*REKAP[[#This Row],[Selisih]],0)</f>
        <v>0</v>
      </c>
    </row>
    <row r="1643" spans="1:20" x14ac:dyDescent="0.25">
      <c r="A1643" s="55" t="s">
        <v>3080</v>
      </c>
      <c r="B1643" s="55" t="s">
        <v>2526</v>
      </c>
      <c r="C1643" s="55" t="s">
        <v>2526</v>
      </c>
      <c r="D1643" s="56" t="s">
        <v>2528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>
        <f>IF(REKAP[[#This Row],[Stok Aktual]]&lt;&gt;"",REKAP[[#This Row],[Stok Aktual]]-REKAP[[#This Row],[Stok Akhir]],0)</f>
        <v>0</v>
      </c>
      <c r="S1643" s="132"/>
      <c r="T1643" s="137">
        <f>IF(REKAP[[#This Row],[Selisih]]&lt;=-1,REKAP[[#This Row],[Harga Satuan]]*REKAP[[#This Row],[Selisih]],0)</f>
        <v>0</v>
      </c>
    </row>
    <row r="1644" spans="1:20" x14ac:dyDescent="0.25">
      <c r="A1644" s="55" t="s">
        <v>3081</v>
      </c>
      <c r="B1644" s="55" t="s">
        <v>2529</v>
      </c>
      <c r="C1644" s="55" t="s">
        <v>2529</v>
      </c>
      <c r="D1644" s="56" t="s">
        <v>2530</v>
      </c>
      <c r="E1644" s="57"/>
      <c r="F1644" s="75" t="s">
        <v>247</v>
      </c>
      <c r="G1644" s="64"/>
      <c r="H1644" s="58">
        <v>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3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3</v>
      </c>
      <c r="P1644" s="55"/>
      <c r="Q1644" s="62">
        <f>REKAP[[#This Row],[Harga Satuan]]*REKAP[[#This Row],[Stok Akhir]]</f>
        <v>0</v>
      </c>
      <c r="R1644" s="61">
        <f>IF(REKAP[[#This Row],[Stok Aktual]]&lt;&gt;"",REKAP[[#This Row],[Stok Aktual]]-REKAP[[#This Row],[Stok Akhir]],0)</f>
        <v>0</v>
      </c>
      <c r="S1644" s="132"/>
      <c r="T1644" s="137">
        <f>IF(REKAP[[#This Row],[Selisih]]&lt;=-1,REKAP[[#This Row],[Harga Satuan]]*REKAP[[#This Row],[Selisih]],0)</f>
        <v>0</v>
      </c>
    </row>
    <row r="1645" spans="1:20" x14ac:dyDescent="0.25">
      <c r="A1645" s="55" t="s">
        <v>3082</v>
      </c>
      <c r="B1645" s="55" t="s">
        <v>2531</v>
      </c>
      <c r="C1645" s="55" t="s">
        <v>2531</v>
      </c>
      <c r="D1645" s="56" t="s">
        <v>2532</v>
      </c>
      <c r="E1645" s="57"/>
      <c r="F1645" s="75" t="s">
        <v>247</v>
      </c>
      <c r="G1645" s="64" t="s">
        <v>2533</v>
      </c>
      <c r="H1645" s="58">
        <v>205000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1</v>
      </c>
      <c r="K1645" s="60">
        <f>REKAP[[#This Row],[Trx In]]+REKAP[[#This Row],[Trx Out]]</f>
        <v>1</v>
      </c>
      <c r="L1645" s="55">
        <v>4</v>
      </c>
      <c r="M1645" s="74">
        <f>SUMIF(MASUK!$C:$C,REKAP[[#This Row],[ID]],MASUK!$H:$H)</f>
        <v>0</v>
      </c>
      <c r="N1645" s="74">
        <f>SUMIF(KELUAR!$C:$C,REKAP[[#This Row],[ID]],KELUAR!$H:$H)</f>
        <v>1</v>
      </c>
      <c r="O1645" s="74">
        <f>REKAP[[#This Row],[Stok Awal]]+REKAP[[#This Row],[Masuk]]-REKAP[[#This Row],[Keluar]]</f>
        <v>3</v>
      </c>
      <c r="P1645" s="55">
        <v>3</v>
      </c>
      <c r="Q1645" s="62">
        <f>REKAP[[#This Row],[Harga Satuan]]*REKAP[[#This Row],[Stok Akhir]]</f>
        <v>615000</v>
      </c>
      <c r="R1645" s="61">
        <f>IF(REKAP[[#This Row],[Stok Aktual]]&lt;&gt;"",REKAP[[#This Row],[Stok Aktual]]-REKAP[[#This Row],[Stok Akhir]],0)</f>
        <v>0</v>
      </c>
      <c r="S1645" s="132"/>
      <c r="T1645" s="137">
        <f>IF(REKAP[[#This Row],[Selisih]]&lt;=-1,REKAP[[#This Row],[Harga Satuan]]*REKAP[[#This Row],[Selisih]],0)</f>
        <v>0</v>
      </c>
    </row>
    <row r="1646" spans="1:20" x14ac:dyDescent="0.25">
      <c r="A1646" s="55" t="s">
        <v>3083</v>
      </c>
      <c r="B1646" s="55" t="s">
        <v>2529</v>
      </c>
      <c r="C1646" s="55" t="s">
        <v>2529</v>
      </c>
      <c r="D1646" s="56" t="s">
        <v>2534</v>
      </c>
      <c r="E1646" s="57"/>
      <c r="F1646" s="75" t="s">
        <v>247</v>
      </c>
      <c r="G1646" s="64"/>
      <c r="H1646" s="58">
        <v>117000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3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3</v>
      </c>
      <c r="P1646" s="55"/>
      <c r="Q1646" s="62">
        <f>REKAP[[#This Row],[Harga Satuan]]*REKAP[[#This Row],[Stok Akhir]]</f>
        <v>351000</v>
      </c>
      <c r="R1646" s="61">
        <f>IF(REKAP[[#This Row],[Stok Aktual]]&lt;&gt;"",REKAP[[#This Row],[Stok Aktual]]-REKAP[[#This Row],[Stok Akhir]],0)</f>
        <v>0</v>
      </c>
      <c r="S1646" s="132"/>
      <c r="T1646" s="137">
        <f>IF(REKAP[[#This Row],[Selisih]]&lt;=-1,REKAP[[#This Row],[Harga Satuan]]*REKAP[[#This Row],[Selisih]],0)</f>
        <v>0</v>
      </c>
    </row>
    <row r="1647" spans="1:20" x14ac:dyDescent="0.25">
      <c r="A1647" s="55" t="s">
        <v>3084</v>
      </c>
      <c r="B1647" s="55" t="s">
        <v>2529</v>
      </c>
      <c r="C1647" s="55" t="s">
        <v>2529</v>
      </c>
      <c r="D1647" s="56" t="s">
        <v>2535</v>
      </c>
      <c r="E1647" s="57"/>
      <c r="F1647" s="75" t="s">
        <v>247</v>
      </c>
      <c r="G1647" s="64" t="s">
        <v>2193</v>
      </c>
      <c r="H1647" s="58">
        <v>150000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600000</v>
      </c>
      <c r="R1647" s="61">
        <f>IF(REKAP[[#This Row],[Stok Aktual]]&lt;&gt;"",REKAP[[#This Row],[Stok Aktual]]-REKAP[[#This Row],[Stok Akhir]],0)</f>
        <v>0</v>
      </c>
      <c r="S1647" s="132"/>
      <c r="T1647" s="137">
        <f>IF(REKAP[[#This Row],[Selisih]]&lt;=-1,REKAP[[#This Row],[Harga Satuan]]*REKAP[[#This Row],[Selisih]],0)</f>
        <v>0</v>
      </c>
    </row>
    <row r="1648" spans="1:20" x14ac:dyDescent="0.25">
      <c r="A1648" s="55" t="s">
        <v>3085</v>
      </c>
      <c r="B1648" s="55" t="s">
        <v>3584</v>
      </c>
      <c r="C1648" s="55" t="s">
        <v>3584</v>
      </c>
      <c r="D1648" s="56" t="s">
        <v>2536</v>
      </c>
      <c r="E1648" s="57"/>
      <c r="F1648" s="75" t="s">
        <v>247</v>
      </c>
      <c r="G1648" s="64"/>
      <c r="H1648" s="58">
        <v>143400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4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4</v>
      </c>
      <c r="P1648" s="55"/>
      <c r="Q1648" s="62">
        <f>REKAP[[#This Row],[Harga Satuan]]*REKAP[[#This Row],[Stok Akhir]]</f>
        <v>573600</v>
      </c>
      <c r="R1648" s="61">
        <f>IF(REKAP[[#This Row],[Stok Aktual]]&lt;&gt;"",REKAP[[#This Row],[Stok Aktual]]-REKAP[[#This Row],[Stok Akhir]],0)</f>
        <v>0</v>
      </c>
      <c r="S1648" s="132"/>
      <c r="T1648" s="137">
        <f>IF(REKAP[[#This Row],[Selisih]]&lt;=-1,REKAP[[#This Row],[Harga Satuan]]*REKAP[[#This Row],[Selisih]],0)</f>
        <v>0</v>
      </c>
    </row>
    <row r="1649" spans="1:20" x14ac:dyDescent="0.25">
      <c r="A1649" s="55" t="s">
        <v>3086</v>
      </c>
      <c r="B1649" s="55" t="s">
        <v>3584</v>
      </c>
      <c r="C1649" s="55" t="s">
        <v>3584</v>
      </c>
      <c r="D1649" s="56" t="s">
        <v>2537</v>
      </c>
      <c r="E1649" s="57"/>
      <c r="F1649" s="75" t="s">
        <v>247</v>
      </c>
      <c r="G1649" s="64"/>
      <c r="H1649" s="58">
        <v>132000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396000</v>
      </c>
      <c r="R1649" s="61">
        <f>IF(REKAP[[#This Row],[Stok Aktual]]&lt;&gt;"",REKAP[[#This Row],[Stok Aktual]]-REKAP[[#This Row],[Stok Akhir]],0)</f>
        <v>0</v>
      </c>
      <c r="S1649" s="132"/>
      <c r="T1649" s="137">
        <f>IF(REKAP[[#This Row],[Selisih]]&lt;=-1,REKAP[[#This Row],[Harga Satuan]]*REKAP[[#This Row],[Selisih]],0)</f>
        <v>0</v>
      </c>
    </row>
    <row r="1650" spans="1:20" x14ac:dyDescent="0.25">
      <c r="A1650" s="55" t="s">
        <v>3087</v>
      </c>
      <c r="B1650" s="55" t="s">
        <v>3586</v>
      </c>
      <c r="C1650" s="55" t="s">
        <v>3586</v>
      </c>
      <c r="D1650" s="56" t="s">
        <v>2538</v>
      </c>
      <c r="E1650" s="57"/>
      <c r="F1650" s="75" t="s">
        <v>247</v>
      </c>
      <c r="G1650" s="64" t="s">
        <v>2111</v>
      </c>
      <c r="H1650" s="58">
        <v>200000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600000</v>
      </c>
      <c r="R1650" s="61">
        <f>IF(REKAP[[#This Row],[Stok Aktual]]&lt;&gt;"",REKAP[[#This Row],[Stok Aktual]]-REKAP[[#This Row],[Stok Akhir]],0)</f>
        <v>0</v>
      </c>
      <c r="S1650" s="132"/>
      <c r="T1650" s="137">
        <f>IF(REKAP[[#This Row],[Selisih]]&lt;=-1,REKAP[[#This Row],[Harga Satuan]]*REKAP[[#This Row],[Selisih]],0)</f>
        <v>0</v>
      </c>
    </row>
    <row r="1651" spans="1:20" x14ac:dyDescent="0.25">
      <c r="A1651" s="55" t="s">
        <v>3088</v>
      </c>
      <c r="B1651" s="55" t="s">
        <v>3585</v>
      </c>
      <c r="C1651" s="55" t="s">
        <v>3585</v>
      </c>
      <c r="D1651" s="56" t="s">
        <v>2539</v>
      </c>
      <c r="E1651" s="57"/>
      <c r="F1651" s="75" t="s">
        <v>247</v>
      </c>
      <c r="G1651" s="64" t="s">
        <v>2111</v>
      </c>
      <c r="H1651" s="58">
        <v>140000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1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>
        <v>4</v>
      </c>
      <c r="Q1651" s="62">
        <f>REKAP[[#This Row],[Harga Satuan]]*REKAP[[#This Row],[Stok Akhir]]</f>
        <v>560000</v>
      </c>
      <c r="R1651" s="61">
        <f>IF(REKAP[[#This Row],[Stok Aktual]]&lt;&gt;"",REKAP[[#This Row],[Stok Aktual]]-REKAP[[#This Row],[Stok Akhir]],0)</f>
        <v>0</v>
      </c>
      <c r="S1651" s="132"/>
      <c r="T1651" s="137">
        <f>IF(REKAP[[#This Row],[Selisih]]&lt;=-1,REKAP[[#This Row],[Harga Satuan]]*REKAP[[#This Row],[Selisih]],0)</f>
        <v>0</v>
      </c>
    </row>
    <row r="1652" spans="1:20" x14ac:dyDescent="0.25">
      <c r="A1652" s="55" t="s">
        <v>3089</v>
      </c>
      <c r="B1652" s="55" t="s">
        <v>3586</v>
      </c>
      <c r="C1652" s="55" t="s">
        <v>3586</v>
      </c>
      <c r="D1652" s="56" t="s">
        <v>2540</v>
      </c>
      <c r="E1652" s="57"/>
      <c r="F1652" s="75" t="s">
        <v>247</v>
      </c>
      <c r="G1652" s="64" t="s">
        <v>2111</v>
      </c>
      <c r="H1652" s="58">
        <v>230000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4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4</v>
      </c>
      <c r="P1652" s="55"/>
      <c r="Q1652" s="62">
        <f>REKAP[[#This Row],[Harga Satuan]]*REKAP[[#This Row],[Stok Akhir]]</f>
        <v>920000</v>
      </c>
      <c r="R1652" s="61">
        <f>IF(REKAP[[#This Row],[Stok Aktual]]&lt;&gt;"",REKAP[[#This Row],[Stok Aktual]]-REKAP[[#This Row],[Stok Akhir]],0)</f>
        <v>0</v>
      </c>
      <c r="S1652" s="132"/>
      <c r="T1652" s="137">
        <f>IF(REKAP[[#This Row],[Selisih]]&lt;=-1,REKAP[[#This Row],[Harga Satuan]]*REKAP[[#This Row],[Selisih]],0)</f>
        <v>0</v>
      </c>
    </row>
    <row r="1653" spans="1:20" x14ac:dyDescent="0.25">
      <c r="A1653" s="55" t="s">
        <v>3090</v>
      </c>
      <c r="B1653" s="55" t="s">
        <v>3587</v>
      </c>
      <c r="C1653" s="55" t="s">
        <v>3587</v>
      </c>
      <c r="D1653" s="56" t="s">
        <v>2541</v>
      </c>
      <c r="E1653" s="57"/>
      <c r="F1653" s="75" t="s">
        <v>247</v>
      </c>
      <c r="G1653" s="64" t="s">
        <v>2222</v>
      </c>
      <c r="H1653" s="58">
        <v>4710000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0</v>
      </c>
      <c r="K1653" s="60">
        <f>REKAP[[#This Row],[Trx In]]+REKAP[[#This Row],[Trx Out]]</f>
        <v>0</v>
      </c>
      <c r="L1653" s="55">
        <v>0</v>
      </c>
      <c r="M1653" s="74">
        <f>SUMIF(MASUK!$C:$C,REKAP[[#This Row],[ID]],MASUK!$H:$H)</f>
        <v>0</v>
      </c>
      <c r="N1653" s="74">
        <f>SUMIF(KELUAR!$C:$C,REKAP[[#This Row],[ID]],KELUAR!$H:$H)</f>
        <v>0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>
        <f>IF(REKAP[[#This Row],[Stok Aktual]]&lt;&gt;"",REKAP[[#This Row],[Stok Aktual]]-REKAP[[#This Row],[Stok Akhir]],0)</f>
        <v>0</v>
      </c>
      <c r="S1653" s="132"/>
      <c r="T1653" s="137">
        <f>IF(REKAP[[#This Row],[Selisih]]&lt;=-1,REKAP[[#This Row],[Harga Satuan]]*REKAP[[#This Row],[Selisih]],0)</f>
        <v>0</v>
      </c>
    </row>
    <row r="1654" spans="1:20" x14ac:dyDescent="0.25">
      <c r="A1654" s="55" t="s">
        <v>3091</v>
      </c>
      <c r="B1654" s="55" t="s">
        <v>3588</v>
      </c>
      <c r="C1654" s="55" t="s">
        <v>3588</v>
      </c>
      <c r="D1654" s="56" t="s">
        <v>2542</v>
      </c>
      <c r="E1654" s="57"/>
      <c r="F1654" s="75" t="s">
        <v>247</v>
      </c>
      <c r="G1654" s="64" t="s">
        <v>2222</v>
      </c>
      <c r="H1654" s="58">
        <v>2380000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0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>
        <f>IF(REKAP[[#This Row],[Stok Aktual]]&lt;&gt;"",REKAP[[#This Row],[Stok Aktual]]-REKAP[[#This Row],[Stok Akhir]],0)</f>
        <v>0</v>
      </c>
      <c r="S1654" s="132"/>
      <c r="T1654" s="137">
        <f>IF(REKAP[[#This Row],[Selisih]]&lt;=-1,REKAP[[#This Row],[Harga Satuan]]*REKAP[[#This Row],[Selisih]],0)</f>
        <v>0</v>
      </c>
    </row>
    <row r="1655" spans="1:20" x14ac:dyDescent="0.25">
      <c r="A1655" s="55" t="s">
        <v>3092</v>
      </c>
      <c r="B1655" s="55" t="s">
        <v>3588</v>
      </c>
      <c r="C1655" s="55" t="s">
        <v>3588</v>
      </c>
      <c r="D1655" s="56" t="s">
        <v>2543</v>
      </c>
      <c r="E1655" s="57"/>
      <c r="F1655" s="75" t="s">
        <v>247</v>
      </c>
      <c r="G1655" s="64" t="s">
        <v>2222</v>
      </c>
      <c r="H1655" s="58">
        <v>2380000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0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0</v>
      </c>
      <c r="P1655" s="55"/>
      <c r="Q1655" s="62">
        <f>REKAP[[#This Row],[Harga Satuan]]*REKAP[[#This Row],[Stok Akhir]]</f>
        <v>0</v>
      </c>
      <c r="R1655" s="61">
        <f>IF(REKAP[[#This Row],[Stok Aktual]]&lt;&gt;"",REKAP[[#This Row],[Stok Aktual]]-REKAP[[#This Row],[Stok Akhir]],0)</f>
        <v>0</v>
      </c>
      <c r="S1655" s="132"/>
      <c r="T1655" s="137">
        <f>IF(REKAP[[#This Row],[Selisih]]&lt;=-1,REKAP[[#This Row],[Harga Satuan]]*REKAP[[#This Row],[Selisih]],0)</f>
        <v>0</v>
      </c>
    </row>
    <row r="1656" spans="1:20" x14ac:dyDescent="0.25">
      <c r="A1656" s="55" t="s">
        <v>3093</v>
      </c>
      <c r="B1656" s="55" t="s">
        <v>3588</v>
      </c>
      <c r="C1656" s="55" t="s">
        <v>3588</v>
      </c>
      <c r="D1656" s="56" t="s">
        <v>2544</v>
      </c>
      <c r="E1656" s="57"/>
      <c r="F1656" s="75" t="s">
        <v>247</v>
      </c>
      <c r="G1656" s="64" t="s">
        <v>2222</v>
      </c>
      <c r="H1656" s="58">
        <v>2380000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>
        <f>IF(REKAP[[#This Row],[Stok Aktual]]&lt;&gt;"",REKAP[[#This Row],[Stok Aktual]]-REKAP[[#This Row],[Stok Akhir]],0)</f>
        <v>0</v>
      </c>
      <c r="S1656" s="132"/>
      <c r="T1656" s="137">
        <f>IF(REKAP[[#This Row],[Selisih]]&lt;=-1,REKAP[[#This Row],[Harga Satuan]]*REKAP[[#This Row],[Selisih]],0)</f>
        <v>0</v>
      </c>
    </row>
    <row r="1657" spans="1:20" x14ac:dyDescent="0.25">
      <c r="A1657" s="55" t="s">
        <v>3094</v>
      </c>
      <c r="B1657" s="55" t="s">
        <v>3588</v>
      </c>
      <c r="C1657" s="55" t="s">
        <v>3588</v>
      </c>
      <c r="D1657" s="56" t="s">
        <v>2545</v>
      </c>
      <c r="E1657" s="57"/>
      <c r="F1657" s="75" t="s">
        <v>247</v>
      </c>
      <c r="G1657" s="64" t="s">
        <v>2222</v>
      </c>
      <c r="H1657" s="58">
        <v>2380000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0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0</v>
      </c>
      <c r="P1657" s="55"/>
      <c r="Q1657" s="62">
        <f>REKAP[[#This Row],[Harga Satuan]]*REKAP[[#This Row],[Stok Akhir]]</f>
        <v>0</v>
      </c>
      <c r="R1657" s="61">
        <f>IF(REKAP[[#This Row],[Stok Aktual]]&lt;&gt;"",REKAP[[#This Row],[Stok Aktual]]-REKAP[[#This Row],[Stok Akhir]],0)</f>
        <v>0</v>
      </c>
      <c r="S1657" s="132"/>
      <c r="T1657" s="137">
        <f>IF(REKAP[[#This Row],[Selisih]]&lt;=-1,REKAP[[#This Row],[Harga Satuan]]*REKAP[[#This Row],[Selisih]],0)</f>
        <v>0</v>
      </c>
    </row>
    <row r="1658" spans="1:20" x14ac:dyDescent="0.25">
      <c r="A1658" s="55" t="s">
        <v>3095</v>
      </c>
      <c r="B1658" s="55" t="s">
        <v>3588</v>
      </c>
      <c r="C1658" s="55" t="s">
        <v>3588</v>
      </c>
      <c r="D1658" s="56" t="s">
        <v>2546</v>
      </c>
      <c r="E1658" s="57"/>
      <c r="F1658" s="75" t="s">
        <v>247</v>
      </c>
      <c r="G1658" s="64" t="s">
        <v>2222</v>
      </c>
      <c r="H1658" s="58">
        <v>2380000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>
        <f>IF(REKAP[[#This Row],[Stok Aktual]]&lt;&gt;"",REKAP[[#This Row],[Stok Aktual]]-REKAP[[#This Row],[Stok Akhir]],0)</f>
        <v>0</v>
      </c>
      <c r="S1658" s="132"/>
      <c r="T1658" s="137">
        <f>IF(REKAP[[#This Row],[Selisih]]&lt;=-1,REKAP[[#This Row],[Harga Satuan]]*REKAP[[#This Row],[Selisih]],0)</f>
        <v>0</v>
      </c>
    </row>
    <row r="1659" spans="1:20" x14ac:dyDescent="0.25">
      <c r="A1659" s="55" t="s">
        <v>3096</v>
      </c>
      <c r="B1659" s="55" t="s">
        <v>3592</v>
      </c>
      <c r="C1659" s="55" t="s">
        <v>3592</v>
      </c>
      <c r="D1659" s="56" t="s">
        <v>2366</v>
      </c>
      <c r="E1659" s="57"/>
      <c r="F1659" s="75" t="s">
        <v>247</v>
      </c>
      <c r="G1659" s="64" t="s">
        <v>2176</v>
      </c>
      <c r="H1659" s="58">
        <v>110000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1</v>
      </c>
      <c r="K1659" s="60">
        <f>REKAP[[#This Row],[Trx In]]+REKAP[[#This Row],[Trx Out]]</f>
        <v>1</v>
      </c>
      <c r="L1659" s="55">
        <v>4</v>
      </c>
      <c r="M1659" s="74">
        <f>SUMIF(MASUK!$C:$C,REKAP[[#This Row],[ID]],MASUK!$H:$H)</f>
        <v>0</v>
      </c>
      <c r="N1659" s="74">
        <f>SUMIF(KELUAR!$C:$C,REKAP[[#This Row],[ID]],KELUAR!$H:$H)</f>
        <v>1</v>
      </c>
      <c r="O1659" s="74">
        <f>REKAP[[#This Row],[Stok Awal]]+REKAP[[#This Row],[Masuk]]-REKAP[[#This Row],[Keluar]]</f>
        <v>3</v>
      </c>
      <c r="P1659" s="55">
        <v>3</v>
      </c>
      <c r="Q1659" s="62">
        <f>REKAP[[#This Row],[Harga Satuan]]*REKAP[[#This Row],[Stok Akhir]]</f>
        <v>330000</v>
      </c>
      <c r="R1659" s="61">
        <f>IF(REKAP[[#This Row],[Stok Aktual]]&lt;&gt;"",REKAP[[#This Row],[Stok Aktual]]-REKAP[[#This Row],[Stok Akhir]],0)</f>
        <v>0</v>
      </c>
      <c r="S1659" s="139"/>
      <c r="T1659" s="137">
        <f>IF(REKAP[[#This Row],[Selisih]]&lt;=-1,REKAP[[#This Row],[Harga Satuan]]*REKAP[[#This Row],[Selisih]],0)</f>
        <v>0</v>
      </c>
    </row>
    <row r="1660" spans="1:20" x14ac:dyDescent="0.25">
      <c r="A1660" s="55" t="s">
        <v>3097</v>
      </c>
      <c r="B1660" s="55" t="s">
        <v>3593</v>
      </c>
      <c r="C1660" s="55" t="s">
        <v>3593</v>
      </c>
      <c r="D1660" s="56" t="s">
        <v>2547</v>
      </c>
      <c r="E1660" s="57"/>
      <c r="F1660" s="75" t="s">
        <v>247</v>
      </c>
      <c r="G1660" s="64"/>
      <c r="H1660" s="58">
        <v>255900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5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5</v>
      </c>
      <c r="P1660" s="55"/>
      <c r="Q1660" s="62">
        <f>REKAP[[#This Row],[Harga Satuan]]*REKAP[[#This Row],[Stok Akhir]]</f>
        <v>1279500</v>
      </c>
      <c r="R1660" s="61">
        <f>IF(REKAP[[#This Row],[Stok Aktual]]&lt;&gt;"",REKAP[[#This Row],[Stok Aktual]]-REKAP[[#This Row],[Stok Akhir]],0)</f>
        <v>0</v>
      </c>
      <c r="S1660" s="132"/>
      <c r="T1660" s="137">
        <f>IF(REKAP[[#This Row],[Selisih]]&lt;=-1,REKAP[[#This Row],[Harga Satuan]]*REKAP[[#This Row],[Selisih]],0)</f>
        <v>0</v>
      </c>
    </row>
    <row r="1661" spans="1:20" x14ac:dyDescent="0.25">
      <c r="A1661" s="55" t="s">
        <v>3098</v>
      </c>
      <c r="B1661" s="55" t="s">
        <v>3593</v>
      </c>
      <c r="C1661" s="55" t="s">
        <v>3593</v>
      </c>
      <c r="D1661" s="56" t="s">
        <v>2548</v>
      </c>
      <c r="E1661" s="57"/>
      <c r="F1661" s="75" t="s">
        <v>247</v>
      </c>
      <c r="G1661" s="64"/>
      <c r="H1661" s="58">
        <v>207277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207277</v>
      </c>
      <c r="R1661" s="61">
        <f>IF(REKAP[[#This Row],[Stok Aktual]]&lt;&gt;"",REKAP[[#This Row],[Stok Aktual]]-REKAP[[#This Row],[Stok Akhir]],0)</f>
        <v>0</v>
      </c>
      <c r="S1661" s="132"/>
      <c r="T1661" s="137">
        <f>IF(REKAP[[#This Row],[Selisih]]&lt;=-1,REKAP[[#This Row],[Harga Satuan]]*REKAP[[#This Row],[Selisih]],0)</f>
        <v>0</v>
      </c>
    </row>
    <row r="1662" spans="1:20" x14ac:dyDescent="0.25">
      <c r="A1662" s="55" t="s">
        <v>3099</v>
      </c>
      <c r="B1662" s="55" t="s">
        <v>3594</v>
      </c>
      <c r="C1662" s="55" t="s">
        <v>3594</v>
      </c>
      <c r="D1662" s="56" t="s">
        <v>2376</v>
      </c>
      <c r="E1662" s="57"/>
      <c r="F1662" s="75" t="s">
        <v>247</v>
      </c>
      <c r="G1662" s="64" t="s">
        <v>2176</v>
      </c>
      <c r="H1662" s="58">
        <v>517000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>
        <f>IF(REKAP[[#This Row],[Stok Aktual]]&lt;&gt;"",REKAP[[#This Row],[Stok Aktual]]-REKAP[[#This Row],[Stok Akhir]],0)</f>
        <v>0</v>
      </c>
      <c r="S1662" s="132"/>
      <c r="T1662" s="137">
        <f>IF(REKAP[[#This Row],[Selisih]]&lt;=-1,REKAP[[#This Row],[Harga Satuan]]*REKAP[[#This Row],[Selisih]],0)</f>
        <v>0</v>
      </c>
    </row>
    <row r="1663" spans="1:20" x14ac:dyDescent="0.25">
      <c r="A1663" s="55" t="s">
        <v>3100</v>
      </c>
      <c r="B1663" s="55" t="s">
        <v>3595</v>
      </c>
      <c r="C1663" s="55" t="s">
        <v>3595</v>
      </c>
      <c r="D1663" s="56" t="s">
        <v>2372</v>
      </c>
      <c r="E1663" s="57"/>
      <c r="F1663" s="75" t="s">
        <v>247</v>
      </c>
      <c r="G1663" s="64" t="s">
        <v>2176</v>
      </c>
      <c r="H1663" s="58">
        <v>218500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5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5</v>
      </c>
      <c r="P1663" s="55"/>
      <c r="Q1663" s="62">
        <f>REKAP[[#This Row],[Harga Satuan]]*REKAP[[#This Row],[Stok Akhir]]</f>
        <v>1092500</v>
      </c>
      <c r="R1663" s="61">
        <f>IF(REKAP[[#This Row],[Stok Aktual]]&lt;&gt;"",REKAP[[#This Row],[Stok Aktual]]-REKAP[[#This Row],[Stok Akhir]],0)</f>
        <v>0</v>
      </c>
      <c r="S1663" s="132"/>
      <c r="T1663" s="137">
        <f>IF(REKAP[[#This Row],[Selisih]]&lt;=-1,REKAP[[#This Row],[Harga Satuan]]*REKAP[[#This Row],[Selisih]],0)</f>
        <v>0</v>
      </c>
    </row>
    <row r="1664" spans="1:20" x14ac:dyDescent="0.25">
      <c r="A1664" s="55" t="s">
        <v>3101</v>
      </c>
      <c r="B1664" s="55" t="s">
        <v>3604</v>
      </c>
      <c r="C1664" s="55" t="s">
        <v>3604</v>
      </c>
      <c r="D1664" s="56" t="s">
        <v>2549</v>
      </c>
      <c r="E1664" s="57"/>
      <c r="F1664" s="75" t="s">
        <v>247</v>
      </c>
      <c r="G1664" s="64"/>
      <c r="H1664" s="58">
        <v>158760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2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2</v>
      </c>
      <c r="P1664" s="55"/>
      <c r="Q1664" s="62">
        <f>REKAP[[#This Row],[Harga Satuan]]*REKAP[[#This Row],[Stok Akhir]]</f>
        <v>317520</v>
      </c>
      <c r="R1664" s="61">
        <f>IF(REKAP[[#This Row],[Stok Aktual]]&lt;&gt;"",REKAP[[#This Row],[Stok Aktual]]-REKAP[[#This Row],[Stok Akhir]],0)</f>
        <v>0</v>
      </c>
      <c r="S1664" s="132"/>
      <c r="T1664" s="137">
        <f>IF(REKAP[[#This Row],[Selisih]]&lt;=-1,REKAP[[#This Row],[Harga Satuan]]*REKAP[[#This Row],[Selisih]],0)</f>
        <v>0</v>
      </c>
    </row>
    <row r="1665" spans="1:20" x14ac:dyDescent="0.25">
      <c r="A1665" s="55" t="s">
        <v>3102</v>
      </c>
      <c r="B1665" s="55" t="s">
        <v>3596</v>
      </c>
      <c r="C1665" s="55" t="s">
        <v>3596</v>
      </c>
      <c r="D1665" s="56" t="s">
        <v>2378</v>
      </c>
      <c r="E1665" s="57"/>
      <c r="F1665" s="75" t="s">
        <v>247</v>
      </c>
      <c r="G1665" s="64"/>
      <c r="H1665" s="58">
        <v>420000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2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2</v>
      </c>
      <c r="P1665" s="55"/>
      <c r="Q1665" s="62">
        <f>REKAP[[#This Row],[Harga Satuan]]*REKAP[[#This Row],[Stok Akhir]]</f>
        <v>840000</v>
      </c>
      <c r="R1665" s="61">
        <f>IF(REKAP[[#This Row],[Stok Aktual]]&lt;&gt;"",REKAP[[#This Row],[Stok Aktual]]-REKAP[[#This Row],[Stok Akhir]],0)</f>
        <v>0</v>
      </c>
      <c r="S1665" s="132"/>
      <c r="T1665" s="137">
        <f>IF(REKAP[[#This Row],[Selisih]]&lt;=-1,REKAP[[#This Row],[Harga Satuan]]*REKAP[[#This Row],[Selisih]],0)</f>
        <v>0</v>
      </c>
    </row>
    <row r="1666" spans="1:20" x14ac:dyDescent="0.25">
      <c r="A1666" s="55" t="s">
        <v>3103</v>
      </c>
      <c r="B1666" s="55" t="s">
        <v>3597</v>
      </c>
      <c r="C1666" s="55" t="s">
        <v>3597</v>
      </c>
      <c r="D1666" s="56" t="s">
        <v>2550</v>
      </c>
      <c r="E1666" s="57"/>
      <c r="F1666" s="75" t="s">
        <v>247</v>
      </c>
      <c r="G1666" s="64"/>
      <c r="H1666" s="58">
        <v>350000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>
        <f>IF(REKAP[[#This Row],[Stok Aktual]]&lt;&gt;"",REKAP[[#This Row],[Stok Aktual]]-REKAP[[#This Row],[Stok Akhir]],0)</f>
        <v>0</v>
      </c>
      <c r="S1666" s="132"/>
      <c r="T1666" s="137">
        <f>IF(REKAP[[#This Row],[Selisih]]&lt;=-1,REKAP[[#This Row],[Harga Satuan]]*REKAP[[#This Row],[Selisih]],0)</f>
        <v>0</v>
      </c>
    </row>
    <row r="1667" spans="1:20" x14ac:dyDescent="0.25">
      <c r="A1667" s="55" t="s">
        <v>3104</v>
      </c>
      <c r="B1667" s="55" t="s">
        <v>3598</v>
      </c>
      <c r="C1667" s="55" t="s">
        <v>3598</v>
      </c>
      <c r="D1667" s="56" t="s">
        <v>2551</v>
      </c>
      <c r="E1667" s="57"/>
      <c r="F1667" s="75" t="s">
        <v>247</v>
      </c>
      <c r="G1667" s="64" t="s">
        <v>2552</v>
      </c>
      <c r="H1667" s="58">
        <v>120000</v>
      </c>
      <c r="I1667" s="59">
        <f>IF(COUNTIF(MASUK[Kode Barang],REKAP[[#This Row],[ID]])=0,0,COUNTIF(MASUK[Kode Barang],REKAP[[#This Row],[ID]]))</f>
        <v>1</v>
      </c>
      <c r="J1667" s="59">
        <f>IF(COUNTIF(MASUK8[Kode Barang],REKAP[[#This Row],[ID]])=0,0,COUNTIF(MASUK8[Kode Barang],REKAP[[#This Row],[ID]]))</f>
        <v>1</v>
      </c>
      <c r="K1667" s="60">
        <f>REKAP[[#This Row],[Trx In]]+REKAP[[#This Row],[Trx Out]]</f>
        <v>2</v>
      </c>
      <c r="L1667" s="55">
        <v>1</v>
      </c>
      <c r="M1667" s="74">
        <f>SUMIF(MASUK!$C:$C,REKAP[[#This Row],[ID]],MASUK!$H:$H)</f>
        <v>3</v>
      </c>
      <c r="N1667" s="74">
        <f>SUMIF(KELUAR!$C:$C,REKAP[[#This Row],[ID]],KELUAR!$H:$H)</f>
        <v>1</v>
      </c>
      <c r="O1667" s="74">
        <f>REKAP[[#This Row],[Stok Awal]]+REKAP[[#This Row],[Masuk]]-REKAP[[#This Row],[Keluar]]</f>
        <v>3</v>
      </c>
      <c r="P1667" s="55">
        <v>3</v>
      </c>
      <c r="Q1667" s="62">
        <f>REKAP[[#This Row],[Harga Satuan]]*REKAP[[#This Row],[Stok Akhir]]</f>
        <v>360000</v>
      </c>
      <c r="R1667" s="61">
        <f>IF(REKAP[[#This Row],[Stok Aktual]]&lt;&gt;"",REKAP[[#This Row],[Stok Aktual]]-REKAP[[#This Row],[Stok Akhir]],0)</f>
        <v>0</v>
      </c>
      <c r="S1667" s="132"/>
      <c r="T1667" s="137">
        <f>IF(REKAP[[#This Row],[Selisih]]&lt;=-1,REKAP[[#This Row],[Harga Satuan]]*REKAP[[#This Row],[Selisih]],0)</f>
        <v>0</v>
      </c>
    </row>
    <row r="1668" spans="1:20" x14ac:dyDescent="0.25">
      <c r="A1668" s="55" t="s">
        <v>3105</v>
      </c>
      <c r="B1668" s="55" t="s">
        <v>3605</v>
      </c>
      <c r="C1668" s="55" t="s">
        <v>3605</v>
      </c>
      <c r="D1668" s="56" t="s">
        <v>2553</v>
      </c>
      <c r="E1668" s="57"/>
      <c r="F1668" s="75" t="s">
        <v>247</v>
      </c>
      <c r="G1668" s="64" t="s">
        <v>249</v>
      </c>
      <c r="H1668" s="58">
        <v>87000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87000</v>
      </c>
      <c r="R1668" s="61">
        <f>IF(REKAP[[#This Row],[Stok Aktual]]&lt;&gt;"",REKAP[[#This Row],[Stok Aktual]]-REKAP[[#This Row],[Stok Akhir]],0)</f>
        <v>0</v>
      </c>
      <c r="S1668" s="132"/>
      <c r="T1668" s="137">
        <f>IF(REKAP[[#This Row],[Selisih]]&lt;=-1,REKAP[[#This Row],[Harga Satuan]]*REKAP[[#This Row],[Selisih]],0)</f>
        <v>0</v>
      </c>
    </row>
    <row r="1669" spans="1:20" x14ac:dyDescent="0.25">
      <c r="A1669" s="55" t="s">
        <v>3106</v>
      </c>
      <c r="B1669" s="55" t="s">
        <v>3605</v>
      </c>
      <c r="C1669" s="55" t="s">
        <v>3605</v>
      </c>
      <c r="D1669" s="56" t="s">
        <v>2554</v>
      </c>
      <c r="E1669" s="57"/>
      <c r="F1669" s="75" t="s">
        <v>247</v>
      </c>
      <c r="G1669" s="64" t="s">
        <v>249</v>
      </c>
      <c r="H1669" s="58">
        <v>90000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1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1</v>
      </c>
      <c r="P1669" s="55"/>
      <c r="Q1669" s="62">
        <f>REKAP[[#This Row],[Harga Satuan]]*REKAP[[#This Row],[Stok Akhir]]</f>
        <v>90000</v>
      </c>
      <c r="R1669" s="61">
        <f>IF(REKAP[[#This Row],[Stok Aktual]]&lt;&gt;"",REKAP[[#This Row],[Stok Aktual]]-REKAP[[#This Row],[Stok Akhir]],0)</f>
        <v>0</v>
      </c>
      <c r="S1669" s="132"/>
      <c r="T1669" s="137">
        <f>IF(REKAP[[#This Row],[Selisih]]&lt;=-1,REKAP[[#This Row],[Harga Satuan]]*REKAP[[#This Row],[Selisih]],0)</f>
        <v>0</v>
      </c>
    </row>
    <row r="1670" spans="1:20" x14ac:dyDescent="0.25">
      <c r="A1670" s="55" t="s">
        <v>3107</v>
      </c>
      <c r="B1670" s="55" t="s">
        <v>3599</v>
      </c>
      <c r="C1670" s="55" t="s">
        <v>3599</v>
      </c>
      <c r="D1670" s="56" t="s">
        <v>2363</v>
      </c>
      <c r="E1670" s="57"/>
      <c r="F1670" s="75" t="s">
        <v>247</v>
      </c>
      <c r="G1670" s="55" t="s">
        <v>828</v>
      </c>
      <c r="H1670" s="58">
        <v>102000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</v>
      </c>
      <c r="P1670" s="55"/>
      <c r="Q1670" s="62">
        <f>REKAP[[#This Row],[Harga Satuan]]*REKAP[[#This Row],[Stok Akhir]]</f>
        <v>408000</v>
      </c>
      <c r="R1670" s="61">
        <f>IF(REKAP[[#This Row],[Stok Aktual]]&lt;&gt;"",REKAP[[#This Row],[Stok Aktual]]-REKAP[[#This Row],[Stok Akhir]],0)</f>
        <v>0</v>
      </c>
      <c r="S1670" s="132"/>
      <c r="T1670" s="137">
        <f>IF(REKAP[[#This Row],[Selisih]]&lt;=-1,REKAP[[#This Row],[Harga Satuan]]*REKAP[[#This Row],[Selisih]],0)</f>
        <v>0</v>
      </c>
    </row>
    <row r="1671" spans="1:20" x14ac:dyDescent="0.25">
      <c r="A1671" s="55" t="s">
        <v>3108</v>
      </c>
      <c r="B1671" s="55" t="s">
        <v>3592</v>
      </c>
      <c r="C1671" s="55" t="s">
        <v>3592</v>
      </c>
      <c r="D1671" s="56" t="s">
        <v>2555</v>
      </c>
      <c r="E1671" s="57"/>
      <c r="F1671" s="75" t="s">
        <v>247</v>
      </c>
      <c r="G1671" s="55" t="s">
        <v>2552</v>
      </c>
      <c r="H1671" s="58">
        <v>172000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5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5</v>
      </c>
      <c r="P1671" s="55"/>
      <c r="Q1671" s="62">
        <f>REKAP[[#This Row],[Harga Satuan]]*REKAP[[#This Row],[Stok Akhir]]</f>
        <v>860000</v>
      </c>
      <c r="R1671" s="61">
        <f>IF(REKAP[[#This Row],[Stok Aktual]]&lt;&gt;"",REKAP[[#This Row],[Stok Aktual]]-REKAP[[#This Row],[Stok Akhir]],0)</f>
        <v>0</v>
      </c>
      <c r="S1671" s="132"/>
      <c r="T1671" s="137">
        <f>IF(REKAP[[#This Row],[Selisih]]&lt;=-1,REKAP[[#This Row],[Harga Satuan]]*REKAP[[#This Row],[Selisih]],0)</f>
        <v>0</v>
      </c>
    </row>
    <row r="1672" spans="1:20" x14ac:dyDescent="0.25">
      <c r="A1672" s="55" t="s">
        <v>3109</v>
      </c>
      <c r="B1672" s="55" t="s">
        <v>3600</v>
      </c>
      <c r="C1672" s="55" t="s">
        <v>3600</v>
      </c>
      <c r="D1672" s="56" t="s">
        <v>2364</v>
      </c>
      <c r="E1672" s="57"/>
      <c r="F1672" s="75" t="s">
        <v>247</v>
      </c>
      <c r="G1672" s="55" t="s">
        <v>2176</v>
      </c>
      <c r="H1672" s="58">
        <v>101000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4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4</v>
      </c>
      <c r="P1672" s="55"/>
      <c r="Q1672" s="62">
        <f>REKAP[[#This Row],[Harga Satuan]]*REKAP[[#This Row],[Stok Akhir]]</f>
        <v>404000</v>
      </c>
      <c r="R1672" s="61">
        <f>IF(REKAP[[#This Row],[Stok Aktual]]&lt;&gt;"",REKAP[[#This Row],[Stok Aktual]]-REKAP[[#This Row],[Stok Akhir]],0)</f>
        <v>0</v>
      </c>
      <c r="S1672" s="132"/>
      <c r="T1672" s="137">
        <f>IF(REKAP[[#This Row],[Selisih]]&lt;=-1,REKAP[[#This Row],[Harga Satuan]]*REKAP[[#This Row],[Selisih]],0)</f>
        <v>0</v>
      </c>
    </row>
    <row r="1673" spans="1:20" x14ac:dyDescent="0.25">
      <c r="A1673" s="55" t="s">
        <v>3110</v>
      </c>
      <c r="B1673" s="55" t="s">
        <v>3592</v>
      </c>
      <c r="C1673" s="55" t="s">
        <v>3592</v>
      </c>
      <c r="D1673" s="56" t="s">
        <v>2556</v>
      </c>
      <c r="E1673" s="57"/>
      <c r="F1673" s="75" t="s">
        <v>247</v>
      </c>
      <c r="G1673" s="55"/>
      <c r="H1673" s="58">
        <v>219000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2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2</v>
      </c>
      <c r="P1673" s="55"/>
      <c r="Q1673" s="62">
        <f>REKAP[[#This Row],[Harga Satuan]]*REKAP[[#This Row],[Stok Akhir]]</f>
        <v>438000</v>
      </c>
      <c r="R1673" s="61">
        <f>IF(REKAP[[#This Row],[Stok Aktual]]&lt;&gt;"",REKAP[[#This Row],[Stok Aktual]]-REKAP[[#This Row],[Stok Akhir]],0)</f>
        <v>0</v>
      </c>
      <c r="S1673" s="132"/>
      <c r="T1673" s="137">
        <f>IF(REKAP[[#This Row],[Selisih]]&lt;=-1,REKAP[[#This Row],[Harga Satuan]]*REKAP[[#This Row],[Selisih]],0)</f>
        <v>0</v>
      </c>
    </row>
    <row r="1674" spans="1:20" x14ac:dyDescent="0.25">
      <c r="A1674" s="55" t="s">
        <v>3111</v>
      </c>
      <c r="B1674" s="55" t="s">
        <v>3601</v>
      </c>
      <c r="C1674" s="55" t="s">
        <v>3601</v>
      </c>
      <c r="D1674" s="56" t="s">
        <v>2373</v>
      </c>
      <c r="E1674" s="57"/>
      <c r="F1674" s="75" t="s">
        <v>247</v>
      </c>
      <c r="G1674" s="55" t="s">
        <v>1989</v>
      </c>
      <c r="H1674" s="58">
        <v>310000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310000</v>
      </c>
      <c r="R1674" s="61">
        <f>IF(REKAP[[#This Row],[Stok Aktual]]&lt;&gt;"",REKAP[[#This Row],[Stok Aktual]]-REKAP[[#This Row],[Stok Akhir]],0)</f>
        <v>0</v>
      </c>
      <c r="S1674" s="132"/>
      <c r="T1674" s="137">
        <f>IF(REKAP[[#This Row],[Selisih]]&lt;=-1,REKAP[[#This Row],[Harga Satuan]]*REKAP[[#This Row],[Selisih]],0)</f>
        <v>0</v>
      </c>
    </row>
    <row r="1675" spans="1:20" x14ac:dyDescent="0.25">
      <c r="A1675" s="55" t="s">
        <v>3112</v>
      </c>
      <c r="B1675" s="55" t="s">
        <v>3592</v>
      </c>
      <c r="C1675" s="55" t="s">
        <v>3592</v>
      </c>
      <c r="D1675" s="56" t="s">
        <v>2374</v>
      </c>
      <c r="E1675" s="57"/>
      <c r="F1675" s="75" t="s">
        <v>247</v>
      </c>
      <c r="G1675" s="55" t="s">
        <v>2443</v>
      </c>
      <c r="H1675" s="58">
        <v>318000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</v>
      </c>
      <c r="P1675" s="55"/>
      <c r="Q1675" s="62">
        <f>REKAP[[#This Row],[Harga Satuan]]*REKAP[[#This Row],[Stok Akhir]]</f>
        <v>318000</v>
      </c>
      <c r="R1675" s="61">
        <f>IF(REKAP[[#This Row],[Stok Aktual]]&lt;&gt;"",REKAP[[#This Row],[Stok Aktual]]-REKAP[[#This Row],[Stok Akhir]],0)</f>
        <v>0</v>
      </c>
      <c r="S1675" s="132"/>
      <c r="T1675" s="137">
        <f>IF(REKAP[[#This Row],[Selisih]]&lt;=-1,REKAP[[#This Row],[Harga Satuan]]*REKAP[[#This Row],[Selisih]],0)</f>
        <v>0</v>
      </c>
    </row>
    <row r="1676" spans="1:20" x14ac:dyDescent="0.25">
      <c r="A1676" s="55" t="s">
        <v>3113</v>
      </c>
      <c r="B1676" s="55" t="s">
        <v>3600</v>
      </c>
      <c r="C1676" s="55" t="s">
        <v>3600</v>
      </c>
      <c r="D1676" s="56" t="s">
        <v>2557</v>
      </c>
      <c r="E1676" s="57"/>
      <c r="F1676" s="75" t="s">
        <v>247</v>
      </c>
      <c r="G1676" s="55" t="s">
        <v>2176</v>
      </c>
      <c r="H1676" s="58">
        <v>338000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0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0</v>
      </c>
      <c r="P1676" s="55"/>
      <c r="Q1676" s="62">
        <f>REKAP[[#This Row],[Harga Satuan]]*REKAP[[#This Row],[Stok Akhir]]</f>
        <v>0</v>
      </c>
      <c r="R1676" s="61">
        <f>IF(REKAP[[#This Row],[Stok Aktual]]&lt;&gt;"",REKAP[[#This Row],[Stok Aktual]]-REKAP[[#This Row],[Stok Akhir]],0)</f>
        <v>0</v>
      </c>
      <c r="S1676" s="132"/>
      <c r="T1676" s="137">
        <f>IF(REKAP[[#This Row],[Selisih]]&lt;=-1,REKAP[[#This Row],[Harga Satuan]]*REKAP[[#This Row],[Selisih]],0)</f>
        <v>0</v>
      </c>
    </row>
    <row r="1677" spans="1:20" x14ac:dyDescent="0.25">
      <c r="A1677" s="55" t="s">
        <v>3114</v>
      </c>
      <c r="B1677" s="55" t="s">
        <v>3600</v>
      </c>
      <c r="C1677" s="55" t="s">
        <v>3600</v>
      </c>
      <c r="D1677" s="56" t="s">
        <v>2558</v>
      </c>
      <c r="E1677" s="57"/>
      <c r="F1677" s="75" t="s">
        <v>247</v>
      </c>
      <c r="G1677" s="55" t="s">
        <v>2176</v>
      </c>
      <c r="H1677" s="58">
        <v>553000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553000</v>
      </c>
      <c r="R1677" s="61">
        <f>IF(REKAP[[#This Row],[Stok Aktual]]&lt;&gt;"",REKAP[[#This Row],[Stok Aktual]]-REKAP[[#This Row],[Stok Akhir]],0)</f>
        <v>0</v>
      </c>
      <c r="S1677" s="132"/>
      <c r="T1677" s="137">
        <f>IF(REKAP[[#This Row],[Selisih]]&lt;=-1,REKAP[[#This Row],[Harga Satuan]]*REKAP[[#This Row],[Selisih]],0)</f>
        <v>0</v>
      </c>
    </row>
    <row r="1678" spans="1:20" x14ac:dyDescent="0.25">
      <c r="A1678" s="55" t="s">
        <v>3115</v>
      </c>
      <c r="B1678" s="55" t="s">
        <v>3602</v>
      </c>
      <c r="C1678" s="55" t="s">
        <v>3602</v>
      </c>
      <c r="D1678" s="56" t="s">
        <v>3590</v>
      </c>
      <c r="E1678" s="57"/>
      <c r="F1678" s="75" t="s">
        <v>247</v>
      </c>
      <c r="G1678" s="55" t="s">
        <v>1991</v>
      </c>
      <c r="H1678" s="58">
        <v>1332000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0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0</v>
      </c>
      <c r="P1678" s="55"/>
      <c r="Q1678" s="62">
        <f>REKAP[[#This Row],[Harga Satuan]]*REKAP[[#This Row],[Stok Akhir]]</f>
        <v>0</v>
      </c>
      <c r="R1678" s="61">
        <f>IF(REKAP[[#This Row],[Stok Aktual]]&lt;&gt;"",REKAP[[#This Row],[Stok Aktual]]-REKAP[[#This Row],[Stok Akhir]],0)</f>
        <v>0</v>
      </c>
      <c r="S1678" s="132"/>
      <c r="T1678" s="137">
        <f>IF(REKAP[[#This Row],[Selisih]]&lt;=-1,REKAP[[#This Row],[Harga Satuan]]*REKAP[[#This Row],[Selisih]],0)</f>
        <v>0</v>
      </c>
    </row>
    <row r="1679" spans="1:20" x14ac:dyDescent="0.25">
      <c r="A1679" s="55" t="s">
        <v>3116</v>
      </c>
      <c r="B1679" s="55" t="s">
        <v>3603</v>
      </c>
      <c r="C1679" s="55" t="s">
        <v>3603</v>
      </c>
      <c r="D1679" s="56" t="s">
        <v>3591</v>
      </c>
      <c r="E1679" s="57"/>
      <c r="F1679" s="75" t="s">
        <v>247</v>
      </c>
      <c r="G1679" s="55" t="s">
        <v>1991</v>
      </c>
      <c r="H1679" s="58">
        <v>2106000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1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1</v>
      </c>
      <c r="P1679" s="55"/>
      <c r="Q1679" s="62">
        <f>REKAP[[#This Row],[Harga Satuan]]*REKAP[[#This Row],[Stok Akhir]]</f>
        <v>2106000</v>
      </c>
      <c r="R1679" s="61">
        <f>IF(REKAP[[#This Row],[Stok Aktual]]&lt;&gt;"",REKAP[[#This Row],[Stok Aktual]]-REKAP[[#This Row],[Stok Akhir]],0)</f>
        <v>0</v>
      </c>
      <c r="S1679" s="132"/>
      <c r="T1679" s="137">
        <f>IF(REKAP[[#This Row],[Selisih]]&lt;=-1,REKAP[[#This Row],[Harga Satuan]]*REKAP[[#This Row],[Selisih]],0)</f>
        <v>0</v>
      </c>
    </row>
    <row r="1680" spans="1:20" x14ac:dyDescent="0.25">
      <c r="A1680" s="55" t="s">
        <v>3117</v>
      </c>
      <c r="B1680" s="55" t="s">
        <v>2559</v>
      </c>
      <c r="C1680" s="55" t="s">
        <v>2559</v>
      </c>
      <c r="D1680" s="56" t="s">
        <v>2560</v>
      </c>
      <c r="E1680" s="57"/>
      <c r="F1680" s="75" t="s">
        <v>247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1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1</v>
      </c>
      <c r="P1680" s="55"/>
      <c r="Q1680" s="62">
        <f>REKAP[[#This Row],[Harga Satuan]]*REKAP[[#This Row],[Stok Akhir]]</f>
        <v>0</v>
      </c>
      <c r="R1680" s="61">
        <f>IF(REKAP[[#This Row],[Stok Aktual]]&lt;&gt;"",REKAP[[#This Row],[Stok Aktual]]-REKAP[[#This Row],[Stok Akhir]],0)</f>
        <v>0</v>
      </c>
      <c r="S1680" s="132"/>
      <c r="T1680" s="137">
        <f>IF(REKAP[[#This Row],[Selisih]]&lt;=-1,REKAP[[#This Row],[Harga Satuan]]*REKAP[[#This Row],[Selisih]],0)</f>
        <v>0</v>
      </c>
    </row>
    <row r="1681" spans="1:20" x14ac:dyDescent="0.25">
      <c r="A1681" s="55" t="s">
        <v>3118</v>
      </c>
      <c r="B1681" s="55" t="s">
        <v>3606</v>
      </c>
      <c r="C1681" s="55" t="s">
        <v>3606</v>
      </c>
      <c r="D1681" s="56" t="s">
        <v>2561</v>
      </c>
      <c r="E1681" s="57"/>
      <c r="F1681" s="75" t="s">
        <v>247</v>
      </c>
      <c r="G1681" s="55" t="s">
        <v>2562</v>
      </c>
      <c r="H1681" s="58">
        <v>7000000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0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>
        <f>IF(REKAP[[#This Row],[Stok Aktual]]&lt;&gt;"",REKAP[[#This Row],[Stok Aktual]]-REKAP[[#This Row],[Stok Akhir]],0)</f>
        <v>0</v>
      </c>
      <c r="S1681" s="132"/>
      <c r="T1681" s="137">
        <f>IF(REKAP[[#This Row],[Selisih]]&lt;=-1,REKAP[[#This Row],[Harga Satuan]]*REKAP[[#This Row],[Selisih]],0)</f>
        <v>0</v>
      </c>
    </row>
    <row r="1682" spans="1:20" x14ac:dyDescent="0.25">
      <c r="A1682" s="63" t="s">
        <v>3821</v>
      </c>
      <c r="B1682" s="55" t="s">
        <v>2055</v>
      </c>
      <c r="C1682" s="55"/>
      <c r="D1682" s="56" t="s">
        <v>3822</v>
      </c>
      <c r="E1682" s="57"/>
      <c r="F1682" s="75" t="s">
        <v>247</v>
      </c>
      <c r="G1682" s="55"/>
      <c r="H1682" s="58"/>
      <c r="I1682" s="59">
        <f>IF(COUNTIF(MASUK[Kode Barang],REKAP[[#This Row],[ID]])=0,0,COUNTIF(MASUK[Kode Barang],REKAP[[#This Row],[ID]]))</f>
        <v>2</v>
      </c>
      <c r="J1682" s="59">
        <f>IF(COUNTIF(MASUK8[Kode Barang],REKAP[[#This Row],[ID]])=0,0,COUNTIF(MASUK8[Kode Barang],REKAP[[#This Row],[ID]]))</f>
        <v>1</v>
      </c>
      <c r="K1682" s="60">
        <f>REKAP[[#This Row],[Trx In]]+REKAP[[#This Row],[Trx Out]]</f>
        <v>3</v>
      </c>
      <c r="L1682" s="55">
        <v>0</v>
      </c>
      <c r="M1682" s="74">
        <f>SUMIF(MASUK!$C:$C,REKAP[[#This Row],[ID]],MASUK!$H:$H)</f>
        <v>4</v>
      </c>
      <c r="N1682" s="74">
        <f>SUMIF(KELUAR!$C:$C,REKAP[[#This Row],[ID]],KELUAR!$H:$H)</f>
        <v>1</v>
      </c>
      <c r="O1682" s="74">
        <f>REKAP[[#This Row],[Stok Awal]]+REKAP[[#This Row],[Masuk]]-REKAP[[#This Row],[Keluar]]</f>
        <v>3</v>
      </c>
      <c r="P1682" s="55">
        <v>3</v>
      </c>
      <c r="Q1682" s="62">
        <f>REKAP[[#This Row],[Harga Satuan]]*REKAP[[#This Row],[Stok Akhir]]</f>
        <v>0</v>
      </c>
      <c r="R1682" s="61">
        <f>IF(REKAP[[#This Row],[Stok Aktual]]&lt;&gt;"",REKAP[[#This Row],[Stok Aktual]]-REKAP[[#This Row],[Stok Akhir]],0)</f>
        <v>0</v>
      </c>
      <c r="S1682" s="132"/>
      <c r="T1682" s="137">
        <f>IF(REKAP[[#This Row],[Selisih]]&lt;=-1,REKAP[[#This Row],[Harga Satuan]]*REKAP[[#This Row],[Selisih]],0)</f>
        <v>0</v>
      </c>
    </row>
    <row r="1683" spans="1:20" x14ac:dyDescent="0.25">
      <c r="A1683" s="63" t="s">
        <v>3913</v>
      </c>
      <c r="B1683" s="55" t="s">
        <v>3455</v>
      </c>
      <c r="C1683" s="55"/>
      <c r="D1683" s="56" t="s">
        <v>3910</v>
      </c>
      <c r="E1683" s="57"/>
      <c r="F1683" s="75" t="s">
        <v>247</v>
      </c>
      <c r="G1683" s="55"/>
      <c r="H1683" s="58"/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3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3</v>
      </c>
      <c r="P1683" s="55"/>
      <c r="Q1683" s="62">
        <f>REKAP[[#This Row],[Harga Satuan]]*REKAP[[#This Row],[Stok Akhir]]</f>
        <v>0</v>
      </c>
      <c r="R1683" s="61">
        <f>IF(REKAP[[#This Row],[Stok Aktual]]&lt;&gt;"",REKAP[[#This Row],[Stok Aktual]]-REKAP[[#This Row],[Stok Akhir]],0)</f>
        <v>0</v>
      </c>
      <c r="S1683" s="132"/>
      <c r="T1683" s="137">
        <f>IF(REKAP[[#This Row],[Selisih]]&lt;=-1,REKAP[[#This Row],[Harga Satuan]]*REKAP[[#This Row],[Selisih]],0)</f>
        <v>0</v>
      </c>
    </row>
    <row r="1684" spans="1:20" x14ac:dyDescent="0.25">
      <c r="A1684" s="63" t="s">
        <v>3914</v>
      </c>
      <c r="B1684" s="55" t="s">
        <v>2114</v>
      </c>
      <c r="C1684" s="55"/>
      <c r="D1684" s="56" t="s">
        <v>3911</v>
      </c>
      <c r="E1684" s="57"/>
      <c r="F1684" s="75" t="s">
        <v>247</v>
      </c>
      <c r="G1684" s="55"/>
      <c r="H1684" s="58"/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0</v>
      </c>
      <c r="K1684" s="60">
        <f>REKAP[[#This Row],[Trx In]]+REKAP[[#This Row],[Trx Out]]</f>
        <v>0</v>
      </c>
      <c r="L1684" s="55">
        <v>1</v>
      </c>
      <c r="M1684" s="74">
        <f>SUMIF(MASUK!$C:$C,REKAP[[#This Row],[ID]],MASUK!$H:$H)</f>
        <v>0</v>
      </c>
      <c r="N1684" s="74">
        <f>SUMIF(KELUAR!$C:$C,REKAP[[#This Row],[ID]],KELUAR!$H:$H)</f>
        <v>0</v>
      </c>
      <c r="O1684" s="74">
        <f>REKAP[[#This Row],[Stok Awal]]+REKAP[[#This Row],[Masuk]]-REKAP[[#This Row],[Keluar]]</f>
        <v>1</v>
      </c>
      <c r="P1684" s="55"/>
      <c r="Q1684" s="62">
        <f>REKAP[[#This Row],[Harga Satuan]]*REKAP[[#This Row],[Stok Akhir]]</f>
        <v>0</v>
      </c>
      <c r="R1684" s="61">
        <f>IF(REKAP[[#This Row],[Stok Aktual]]&lt;&gt;"",REKAP[[#This Row],[Stok Aktual]]-REKAP[[#This Row],[Stok Akhir]],0)</f>
        <v>0</v>
      </c>
      <c r="S1684" s="132"/>
      <c r="T1684" s="137">
        <f>IF(REKAP[[#This Row],[Selisih]]&lt;=-1,REKAP[[#This Row],[Harga Satuan]]*REKAP[[#This Row],[Selisih]],0)</f>
        <v>0</v>
      </c>
    </row>
    <row r="1685" spans="1:20" x14ac:dyDescent="0.25">
      <c r="A1685" s="63" t="s">
        <v>3915</v>
      </c>
      <c r="B1685" s="55" t="s">
        <v>3505</v>
      </c>
      <c r="C1685" s="55"/>
      <c r="D1685" s="56" t="s">
        <v>3912</v>
      </c>
      <c r="E1685" s="57"/>
      <c r="F1685" s="75" t="s">
        <v>247</v>
      </c>
      <c r="G1685" s="55"/>
      <c r="H1685" s="58"/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1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1</v>
      </c>
      <c r="P1685" s="55"/>
      <c r="Q1685" s="62">
        <f>REKAP[[#This Row],[Harga Satuan]]*REKAP[[#This Row],[Stok Akhir]]</f>
        <v>0</v>
      </c>
      <c r="R1685" s="61">
        <f>IF(REKAP[[#This Row],[Stok Aktual]]&lt;&gt;"",REKAP[[#This Row],[Stok Aktual]]-REKAP[[#This Row],[Stok Akhir]],0)</f>
        <v>0</v>
      </c>
      <c r="S1685" s="132"/>
      <c r="T1685" s="137">
        <f>IF(REKAP[[#This Row],[Selisih]]&lt;=-1,REKAP[[#This Row],[Harga Satuan]]*REKAP[[#This Row],[Selisih]],0)</f>
        <v>0</v>
      </c>
    </row>
    <row r="1686" spans="1:20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>
        <f>IF(REKAP[[#This Row],[Stok Aktual]]&lt;&gt;"",REKAP[[#This Row],[Stok Aktual]]-REKAP[[#This Row],[Stok Akhir]],0)</f>
        <v>0</v>
      </c>
      <c r="S1686" s="132"/>
      <c r="T1686" s="137">
        <f>IF(REKAP[[#This Row],[Selisih]]&lt;=-1,REKAP[[#This Row],[Harga Satuan]]*REKAP[[#This Row],[Selisih]],0)</f>
        <v>0</v>
      </c>
    </row>
    <row r="1687" spans="1:20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>
        <f>IF(REKAP[[#This Row],[Stok Aktual]]&lt;&gt;"",REKAP[[#This Row],[Stok Aktual]]-REKAP[[#This Row],[Stok Akhir]],0)</f>
        <v>0</v>
      </c>
      <c r="S1687" s="132"/>
      <c r="T1687" s="137">
        <f>IF(REKAP[[#This Row],[Selisih]]&lt;=-1,REKAP[[#This Row],[Harga Satuan]]*REKAP[[#This Row],[Selisih]],0)</f>
        <v>0</v>
      </c>
    </row>
    <row r="1688" spans="1:20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>
        <f>IF(REKAP[[#This Row],[Stok Aktual]]&lt;&gt;"",REKAP[[#This Row],[Stok Aktual]]-REKAP[[#This Row],[Stok Akhir]],0)</f>
        <v>0</v>
      </c>
      <c r="S1688" s="132"/>
      <c r="T1688" s="137">
        <f>IF(REKAP[[#This Row],[Selisih]]&lt;=-1,REKAP[[#This Row],[Harga Satuan]]*REKAP[[#This Row],[Selisih]],0)</f>
        <v>0</v>
      </c>
    </row>
    <row r="1689" spans="1:20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>
        <f>IF(REKAP[[#This Row],[Stok Aktual]]&lt;&gt;"",REKAP[[#This Row],[Stok Aktual]]-REKAP[[#This Row],[Stok Akhir]],0)</f>
        <v>0</v>
      </c>
      <c r="S1689" s="132"/>
      <c r="T1689" s="137">
        <f>IF(REKAP[[#This Row],[Selisih]]&lt;=-1,REKAP[[#This Row],[Harga Satuan]]*REKAP[[#This Row],[Selisih]],0)</f>
        <v>0</v>
      </c>
    </row>
    <row r="1690" spans="1:20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>
        <f>IF(REKAP[[#This Row],[Stok Aktual]]&lt;&gt;"",REKAP[[#This Row],[Stok Aktual]]-REKAP[[#This Row],[Stok Akhir]],0)</f>
        <v>0</v>
      </c>
      <c r="S1690" s="132"/>
      <c r="T1690" s="137">
        <f>IF(REKAP[[#This Row],[Selisih]]&lt;=-1,REKAP[[#This Row],[Harga Satuan]]*REKAP[[#This Row],[Selisih]],0)</f>
        <v>0</v>
      </c>
    </row>
    <row r="1691" spans="1:20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>
        <f>IF(REKAP[[#This Row],[Stok Aktual]]&lt;&gt;"",REKAP[[#This Row],[Stok Aktual]]-REKAP[[#This Row],[Stok Akhir]],0)</f>
        <v>0</v>
      </c>
      <c r="S1691" s="132"/>
      <c r="T1691" s="137">
        <f>IF(REKAP[[#This Row],[Selisih]]&lt;=-1,REKAP[[#This Row],[Harga Satuan]]*REKAP[[#This Row],[Selisih]],0)</f>
        <v>0</v>
      </c>
    </row>
    <row r="1692" spans="1:20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>
        <f>IF(REKAP[[#This Row],[Stok Aktual]]&lt;&gt;"",REKAP[[#This Row],[Stok Aktual]]-REKAP[[#This Row],[Stok Akhir]],0)</f>
        <v>0</v>
      </c>
      <c r="S1692" s="132"/>
      <c r="T1692" s="137">
        <f>IF(REKAP[[#This Row],[Selisih]]&lt;=-1,REKAP[[#This Row],[Harga Satuan]]*REKAP[[#This Row],[Selisih]],0)</f>
        <v>0</v>
      </c>
    </row>
    <row r="1693" spans="1:20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>
        <f>IF(REKAP[[#This Row],[Stok Aktual]]&lt;&gt;"",REKAP[[#This Row],[Stok Aktual]]-REKAP[[#This Row],[Stok Akhir]],0)</f>
        <v>0</v>
      </c>
      <c r="S1693" s="132"/>
      <c r="T1693" s="137">
        <f>IF(REKAP[[#This Row],[Selisih]]&lt;=-1,REKAP[[#This Row],[Harga Satuan]]*REKAP[[#This Row],[Selisih]],0)</f>
        <v>0</v>
      </c>
    </row>
    <row r="1694" spans="1:20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>
        <f>IF(REKAP[[#This Row],[Stok Aktual]]&lt;&gt;"",REKAP[[#This Row],[Stok Aktual]]-REKAP[[#This Row],[Stok Akhir]],0)</f>
        <v>0</v>
      </c>
      <c r="S1694" s="132"/>
      <c r="T1694" s="137">
        <f>IF(REKAP[[#This Row],[Selisih]]&lt;=-1,REKAP[[#This Row],[Harga Satuan]]*REKAP[[#This Row],[Selisih]],0)</f>
        <v>0</v>
      </c>
    </row>
    <row r="1695" spans="1:20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>
        <f>IF(REKAP[[#This Row],[Stok Aktual]]&lt;&gt;"",REKAP[[#This Row],[Stok Aktual]]-REKAP[[#This Row],[Stok Akhir]],0)</f>
        <v>0</v>
      </c>
      <c r="S1695" s="132"/>
      <c r="T1695" s="137">
        <f>IF(REKAP[[#This Row],[Selisih]]&lt;=-1,REKAP[[#This Row],[Harga Satuan]]*REKAP[[#This Row],[Selisih]],0)</f>
        <v>0</v>
      </c>
    </row>
    <row r="1696" spans="1:20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>
        <f>IF(REKAP[[#This Row],[Stok Aktual]]&lt;&gt;"",REKAP[[#This Row],[Stok Aktual]]-REKAP[[#This Row],[Stok Akhir]],0)</f>
        <v>0</v>
      </c>
      <c r="S1696" s="132"/>
      <c r="T1696" s="137">
        <f>IF(REKAP[[#This Row],[Selisih]]&lt;=-1,REKAP[[#This Row],[Harga Satuan]]*REKAP[[#This Row],[Selisih]],0)</f>
        <v>0</v>
      </c>
    </row>
    <row r="1697" spans="1:20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>
        <f>IF(REKAP[[#This Row],[Stok Aktual]]&lt;&gt;"",REKAP[[#This Row],[Stok Aktual]]-REKAP[[#This Row],[Stok Akhir]],0)</f>
        <v>0</v>
      </c>
      <c r="S1697" s="132"/>
      <c r="T1697" s="137">
        <f>IF(REKAP[[#This Row],[Selisih]]&lt;=-1,REKAP[[#This Row],[Harga Satuan]]*REKAP[[#This Row],[Selisih]],0)</f>
        <v>0</v>
      </c>
    </row>
    <row r="1698" spans="1:20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>
        <f>IF(REKAP[[#This Row],[Stok Aktual]]&lt;&gt;"",REKAP[[#This Row],[Stok Aktual]]-REKAP[[#This Row],[Stok Akhir]],0)</f>
        <v>0</v>
      </c>
      <c r="S1698" s="132"/>
      <c r="T1698" s="137">
        <f>IF(REKAP[[#This Row],[Selisih]]&lt;=-1,REKAP[[#This Row],[Harga Satuan]]*REKAP[[#This Row],[Selisih]],0)</f>
        <v>0</v>
      </c>
    </row>
    <row r="1699" spans="1:20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>
        <f>IF(REKAP[[#This Row],[Stok Aktual]]&lt;&gt;"",REKAP[[#This Row],[Stok Aktual]]-REKAP[[#This Row],[Stok Akhir]],0)</f>
        <v>0</v>
      </c>
      <c r="S1699" s="132"/>
      <c r="T1699" s="137">
        <f>IF(REKAP[[#This Row],[Selisih]]&lt;=-1,REKAP[[#This Row],[Harga Satuan]]*REKAP[[#This Row],[Selisih]],0)</f>
        <v>0</v>
      </c>
    </row>
    <row r="1700" spans="1:20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>
        <f>IF(REKAP[[#This Row],[Stok Aktual]]&lt;&gt;"",REKAP[[#This Row],[Stok Aktual]]-REKAP[[#This Row],[Stok Akhir]],0)</f>
        <v>0</v>
      </c>
      <c r="S1700" s="132"/>
      <c r="T1700" s="137">
        <f>IF(REKAP[[#This Row],[Selisih]]&lt;=-1,REKAP[[#This Row],[Harga Satuan]]*REKAP[[#This Row],[Selisih]],0)</f>
        <v>0</v>
      </c>
    </row>
    <row r="1701" spans="1:20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>
        <f>IF(REKAP[[#This Row],[Stok Aktual]]&lt;&gt;"",REKAP[[#This Row],[Stok Aktual]]-REKAP[[#This Row],[Stok Akhir]],0)</f>
        <v>0</v>
      </c>
      <c r="S1701" s="132"/>
      <c r="T1701" s="137">
        <f>IF(REKAP[[#This Row],[Selisih]]&lt;=-1,REKAP[[#This Row],[Harga Satuan]]*REKAP[[#This Row],[Selisih]],0)</f>
        <v>0</v>
      </c>
    </row>
    <row r="1702" spans="1:20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>
        <f>IF(REKAP[[#This Row],[Stok Aktual]]&lt;&gt;"",REKAP[[#This Row],[Stok Aktual]]-REKAP[[#This Row],[Stok Akhir]],0)</f>
        <v>0</v>
      </c>
      <c r="S1702" s="132"/>
      <c r="T1702" s="137">
        <f>IF(REKAP[[#This Row],[Selisih]]&lt;=-1,REKAP[[#This Row],[Harga Satuan]]*REKAP[[#This Row],[Selisih]],0)</f>
        <v>0</v>
      </c>
    </row>
    <row r="1703" spans="1:20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>
        <f>IF(REKAP[[#This Row],[Stok Aktual]]&lt;&gt;"",REKAP[[#This Row],[Stok Aktual]]-REKAP[[#This Row],[Stok Akhir]],0)</f>
        <v>0</v>
      </c>
      <c r="S1703" s="132"/>
      <c r="T1703" s="137">
        <f>IF(REKAP[[#This Row],[Selisih]]&lt;=-1,REKAP[[#This Row],[Harga Satuan]]*REKAP[[#This Row],[Selisih]],0)</f>
        <v>0</v>
      </c>
    </row>
    <row r="1704" spans="1:20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>
        <f>IF(REKAP[[#This Row],[Stok Aktual]]&lt;&gt;"",REKAP[[#This Row],[Stok Aktual]]-REKAP[[#This Row],[Stok Akhir]],0)</f>
        <v>0</v>
      </c>
      <c r="S1704" s="132"/>
      <c r="T1704" s="137">
        <f>IF(REKAP[[#This Row],[Selisih]]&lt;=-1,REKAP[[#This Row],[Harga Satuan]]*REKAP[[#This Row],[Selisih]],0)</f>
        <v>0</v>
      </c>
    </row>
    <row r="1705" spans="1:20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>
        <f>IF(REKAP[[#This Row],[Stok Aktual]]&lt;&gt;"",REKAP[[#This Row],[Stok Aktual]]-REKAP[[#This Row],[Stok Akhir]],0)</f>
        <v>0</v>
      </c>
      <c r="S1705" s="132"/>
      <c r="T1705" s="137">
        <f>IF(REKAP[[#This Row],[Selisih]]&lt;=-1,REKAP[[#This Row],[Harga Satuan]]*REKAP[[#This Row],[Selisih]],0)</f>
        <v>0</v>
      </c>
    </row>
    <row r="1706" spans="1:20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>
        <f>IF(REKAP[[#This Row],[Stok Aktual]]&lt;&gt;"",REKAP[[#This Row],[Stok Aktual]]-REKAP[[#This Row],[Stok Akhir]],0)</f>
        <v>0</v>
      </c>
      <c r="S1706" s="132"/>
      <c r="T1706" s="137">
        <f>IF(REKAP[[#This Row],[Selisih]]&lt;=-1,REKAP[[#This Row],[Harga Satuan]]*REKAP[[#This Row],[Selisih]],0)</f>
        <v>0</v>
      </c>
    </row>
    <row r="1707" spans="1:20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>
        <f>IF(REKAP[[#This Row],[Stok Aktual]]&lt;&gt;"",REKAP[[#This Row],[Stok Aktual]]-REKAP[[#This Row],[Stok Akhir]],0)</f>
        <v>0</v>
      </c>
      <c r="S1707" s="132"/>
      <c r="T1707" s="137">
        <f>IF(REKAP[[#This Row],[Selisih]]&lt;=-1,REKAP[[#This Row],[Harga Satuan]]*REKAP[[#This Row],[Selisih]],0)</f>
        <v>0</v>
      </c>
    </row>
    <row r="1708" spans="1:20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>
        <f>IF(REKAP[[#This Row],[Stok Aktual]]&lt;&gt;"",REKAP[[#This Row],[Stok Aktual]]-REKAP[[#This Row],[Stok Akhir]],0)</f>
        <v>0</v>
      </c>
      <c r="S1708" s="132"/>
      <c r="T1708" s="137">
        <f>IF(REKAP[[#This Row],[Selisih]]&lt;=-1,REKAP[[#This Row],[Harga Satuan]]*REKAP[[#This Row],[Selisih]],0)</f>
        <v>0</v>
      </c>
    </row>
    <row r="1709" spans="1:20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>
        <f>IF(REKAP[[#This Row],[Stok Aktual]]&lt;&gt;"",REKAP[[#This Row],[Stok Aktual]]-REKAP[[#This Row],[Stok Akhir]],0)</f>
        <v>0</v>
      </c>
      <c r="S1709" s="132"/>
      <c r="T1709" s="137">
        <f>IF(REKAP[[#This Row],[Selisih]]&lt;=-1,REKAP[[#This Row],[Harga Satuan]]*REKAP[[#This Row],[Selisih]],0)</f>
        <v>0</v>
      </c>
    </row>
    <row r="1710" spans="1:20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>
        <f>IF(REKAP[[#This Row],[Stok Aktual]]&lt;&gt;"",REKAP[[#This Row],[Stok Aktual]]-REKAP[[#This Row],[Stok Akhir]],0)</f>
        <v>0</v>
      </c>
      <c r="S1710" s="132"/>
      <c r="T1710" s="137">
        <f>IF(REKAP[[#This Row],[Selisih]]&lt;=-1,REKAP[[#This Row],[Harga Satuan]]*REKAP[[#This Row],[Selisih]],0)</f>
        <v>0</v>
      </c>
    </row>
    <row r="1711" spans="1:20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>
        <f>IF(REKAP[[#This Row],[Stok Aktual]]&lt;&gt;"",REKAP[[#This Row],[Stok Aktual]]-REKAP[[#This Row],[Stok Akhir]],0)</f>
        <v>0</v>
      </c>
      <c r="S1711" s="132"/>
      <c r="T1711" s="137">
        <f>IF(REKAP[[#This Row],[Selisih]]&lt;=-1,REKAP[[#This Row],[Harga Satuan]]*REKAP[[#This Row],[Selisih]],0)</f>
        <v>0</v>
      </c>
    </row>
    <row r="1712" spans="1:20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>
        <f>IF(REKAP[[#This Row],[Stok Aktual]]&lt;&gt;"",REKAP[[#This Row],[Stok Aktual]]-REKAP[[#This Row],[Stok Akhir]],0)</f>
        <v>0</v>
      </c>
      <c r="S1712" s="132"/>
      <c r="T1712" s="137">
        <f>IF(REKAP[[#This Row],[Selisih]]&lt;=-1,REKAP[[#This Row],[Harga Satuan]]*REKAP[[#This Row],[Selisih]],0)</f>
        <v>0</v>
      </c>
    </row>
    <row r="1713" spans="1:20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>
        <f>IF(REKAP[[#This Row],[Stok Aktual]]&lt;&gt;"",REKAP[[#This Row],[Stok Aktual]]-REKAP[[#This Row],[Stok Akhir]],0)</f>
        <v>0</v>
      </c>
      <c r="S1713" s="132"/>
      <c r="T1713" s="137">
        <f>IF(REKAP[[#This Row],[Selisih]]&lt;=-1,REKAP[[#This Row],[Harga Satuan]]*REKAP[[#This Row],[Selisih]],0)</f>
        <v>0</v>
      </c>
    </row>
    <row r="1714" spans="1:20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>
        <f>IF(REKAP[[#This Row],[Stok Aktual]]&lt;&gt;"",REKAP[[#This Row],[Stok Aktual]]-REKAP[[#This Row],[Stok Akhir]],0)</f>
        <v>0</v>
      </c>
      <c r="S1714" s="132"/>
      <c r="T1714" s="137">
        <f>IF(REKAP[[#This Row],[Selisih]]&lt;=-1,REKAP[[#This Row],[Harga Satuan]]*REKAP[[#This Row],[Selisih]],0)</f>
        <v>0</v>
      </c>
    </row>
    <row r="1715" spans="1:20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>
        <f>IF(REKAP[[#This Row],[Stok Aktual]]&lt;&gt;"",REKAP[[#This Row],[Stok Aktual]]-REKAP[[#This Row],[Stok Akhir]],0)</f>
        <v>0</v>
      </c>
      <c r="S1715" s="132"/>
      <c r="T1715" s="137">
        <f>IF(REKAP[[#This Row],[Selisih]]&lt;=-1,REKAP[[#This Row],[Harga Satuan]]*REKAP[[#This Row],[Selisih]],0)</f>
        <v>0</v>
      </c>
    </row>
    <row r="1716" spans="1:20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>
        <f>IF(REKAP[[#This Row],[Stok Aktual]]&lt;&gt;"",REKAP[[#This Row],[Stok Aktual]]-REKAP[[#This Row],[Stok Akhir]],0)</f>
        <v>0</v>
      </c>
      <c r="S1716" s="132"/>
      <c r="T1716" s="137">
        <f>IF(REKAP[[#This Row],[Selisih]]&lt;=-1,REKAP[[#This Row],[Harga Satuan]]*REKAP[[#This Row],[Selisih]],0)</f>
        <v>0</v>
      </c>
    </row>
    <row r="1717" spans="1:20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>
        <f>IF(REKAP[[#This Row],[Stok Aktual]]&lt;&gt;"",REKAP[[#This Row],[Stok Aktual]]-REKAP[[#This Row],[Stok Akhir]],0)</f>
        <v>0</v>
      </c>
      <c r="S1717" s="132"/>
      <c r="T1717" s="137">
        <f>IF(REKAP[[#This Row],[Selisih]]&lt;=-1,REKAP[[#This Row],[Harga Satuan]]*REKAP[[#This Row],[Selisih]],0)</f>
        <v>0</v>
      </c>
    </row>
    <row r="1718" spans="1:20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>
        <f>IF(REKAP[[#This Row],[Stok Aktual]]&lt;&gt;"",REKAP[[#This Row],[Stok Aktual]]-REKAP[[#This Row],[Stok Akhir]],0)</f>
        <v>0</v>
      </c>
      <c r="S1718" s="132"/>
      <c r="T1718" s="137">
        <f>IF(REKAP[[#This Row],[Selisih]]&lt;=-1,REKAP[[#This Row],[Harga Satuan]]*REKAP[[#This Row],[Selisih]],0)</f>
        <v>0</v>
      </c>
    </row>
    <row r="1719" spans="1:20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>
        <f>IF(REKAP[[#This Row],[Stok Aktual]]&lt;&gt;"",REKAP[[#This Row],[Stok Aktual]]-REKAP[[#This Row],[Stok Akhir]],0)</f>
        <v>0</v>
      </c>
      <c r="S1719" s="132"/>
      <c r="T1719" s="137">
        <f>IF(REKAP[[#This Row],[Selisih]]&lt;=-1,REKAP[[#This Row],[Harga Satuan]]*REKAP[[#This Row],[Selisih]],0)</f>
        <v>0</v>
      </c>
    </row>
    <row r="1720" spans="1:20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>
        <f>IF(REKAP[[#This Row],[Stok Aktual]]&lt;&gt;"",REKAP[[#This Row],[Stok Aktual]]-REKAP[[#This Row],[Stok Akhir]],0)</f>
        <v>0</v>
      </c>
      <c r="S1720" s="132"/>
      <c r="T1720" s="137">
        <f>IF(REKAP[[#This Row],[Selisih]]&lt;=-1,REKAP[[#This Row],[Harga Satuan]]*REKAP[[#This Row],[Selisih]],0)</f>
        <v>0</v>
      </c>
    </row>
    <row r="1721" spans="1:20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>
        <f>IF(REKAP[[#This Row],[Stok Aktual]]&lt;&gt;"",REKAP[[#This Row],[Stok Aktual]]-REKAP[[#This Row],[Stok Akhir]],0)</f>
        <v>0</v>
      </c>
      <c r="S1721" s="132"/>
      <c r="T1721" s="137">
        <f>IF(REKAP[[#This Row],[Selisih]]&lt;=-1,REKAP[[#This Row],[Harga Satuan]]*REKAP[[#This Row],[Selisih]],0)</f>
        <v>0</v>
      </c>
    </row>
    <row r="1722" spans="1:20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>
        <f>IF(REKAP[[#This Row],[Stok Aktual]]&lt;&gt;"",REKAP[[#This Row],[Stok Aktual]]-REKAP[[#This Row],[Stok Akhir]],0)</f>
        <v>0</v>
      </c>
      <c r="S1722" s="132"/>
      <c r="T1722" s="137">
        <f>IF(REKAP[[#This Row],[Selisih]]&lt;=-1,REKAP[[#This Row],[Harga Satuan]]*REKAP[[#This Row],[Selisih]],0)</f>
        <v>0</v>
      </c>
    </row>
    <row r="1723" spans="1:20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>
        <f>IF(REKAP[[#This Row],[Stok Aktual]]&lt;&gt;"",REKAP[[#This Row],[Stok Aktual]]-REKAP[[#This Row],[Stok Akhir]],0)</f>
        <v>0</v>
      </c>
      <c r="S1723" s="132"/>
      <c r="T1723" s="137">
        <f>IF(REKAP[[#This Row],[Selisih]]&lt;=-1,REKAP[[#This Row],[Harga Satuan]]*REKAP[[#This Row],[Selisih]],0)</f>
        <v>0</v>
      </c>
    </row>
    <row r="1724" spans="1:20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>
        <f>IF(REKAP[[#This Row],[Stok Aktual]]&lt;&gt;"",REKAP[[#This Row],[Stok Aktual]]-REKAP[[#This Row],[Stok Akhir]],0)</f>
        <v>0</v>
      </c>
      <c r="S1724" s="132"/>
      <c r="T1724" s="137">
        <f>IF(REKAP[[#This Row],[Selisih]]&lt;=-1,REKAP[[#This Row],[Harga Satuan]]*REKAP[[#This Row],[Selisih]],0)</f>
        <v>0</v>
      </c>
    </row>
    <row r="1725" spans="1:20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>
        <f>IF(REKAP[[#This Row],[Stok Aktual]]&lt;&gt;"",REKAP[[#This Row],[Stok Aktual]]-REKAP[[#This Row],[Stok Akhir]],0)</f>
        <v>0</v>
      </c>
      <c r="S1725" s="132"/>
      <c r="T1725" s="137">
        <f>IF(REKAP[[#This Row],[Selisih]]&lt;=-1,REKAP[[#This Row],[Harga Satuan]]*REKAP[[#This Row],[Selisih]],0)</f>
        <v>0</v>
      </c>
    </row>
    <row r="1726" spans="1:20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>
        <f>IF(REKAP[[#This Row],[Stok Aktual]]&lt;&gt;"",REKAP[[#This Row],[Stok Aktual]]-REKAP[[#This Row],[Stok Akhir]],0)</f>
        <v>0</v>
      </c>
      <c r="S1726" s="132"/>
      <c r="T1726" s="137">
        <f>IF(REKAP[[#This Row],[Selisih]]&lt;=-1,REKAP[[#This Row],[Harga Satuan]]*REKAP[[#This Row],[Selisih]],0)</f>
        <v>0</v>
      </c>
    </row>
    <row r="1727" spans="1:20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>
        <f>IF(REKAP[[#This Row],[Stok Aktual]]&lt;&gt;"",REKAP[[#This Row],[Stok Aktual]]-REKAP[[#This Row],[Stok Akhir]],0)</f>
        <v>0</v>
      </c>
      <c r="S1727" s="132"/>
      <c r="T1727" s="137">
        <f>IF(REKAP[[#This Row],[Selisih]]&lt;=-1,REKAP[[#This Row],[Harga Satuan]]*REKAP[[#This Row],[Selisih]],0)</f>
        <v>0</v>
      </c>
    </row>
    <row r="1728" spans="1:20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>
        <f>IF(REKAP[[#This Row],[Stok Aktual]]&lt;&gt;"",REKAP[[#This Row],[Stok Aktual]]-REKAP[[#This Row],[Stok Akhir]],0)</f>
        <v>0</v>
      </c>
      <c r="S1728" s="132"/>
      <c r="T1728" s="137">
        <f>IF(REKAP[[#This Row],[Selisih]]&lt;=-1,REKAP[[#This Row],[Harga Satuan]]*REKAP[[#This Row],[Selisih]],0)</f>
        <v>0</v>
      </c>
    </row>
    <row r="1729" spans="1:20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>
        <f>IF(REKAP[[#This Row],[Stok Aktual]]&lt;&gt;"",REKAP[[#This Row],[Stok Aktual]]-REKAP[[#This Row],[Stok Akhir]],0)</f>
        <v>0</v>
      </c>
      <c r="S1729" s="132"/>
      <c r="T1729" s="137">
        <f>IF(REKAP[[#This Row],[Selisih]]&lt;=-1,REKAP[[#This Row],[Harga Satuan]]*REKAP[[#This Row],[Selisih]],0)</f>
        <v>0</v>
      </c>
    </row>
    <row r="1730" spans="1:20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>
        <f>IF(REKAP[[#This Row],[Stok Aktual]]&lt;&gt;"",REKAP[[#This Row],[Stok Aktual]]-REKAP[[#This Row],[Stok Akhir]],0)</f>
        <v>0</v>
      </c>
      <c r="S1730" s="132"/>
      <c r="T1730" s="137">
        <f>IF(REKAP[[#This Row],[Selisih]]&lt;=-1,REKAP[[#This Row],[Harga Satuan]]*REKAP[[#This Row],[Selisih]],0)</f>
        <v>0</v>
      </c>
    </row>
    <row r="1731" spans="1:20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>
        <f>IF(REKAP[[#This Row],[Stok Aktual]]&lt;&gt;"",REKAP[[#This Row],[Stok Aktual]]-REKAP[[#This Row],[Stok Akhir]],0)</f>
        <v>0</v>
      </c>
      <c r="S1731" s="132"/>
      <c r="T1731" s="137">
        <f>IF(REKAP[[#This Row],[Selisih]]&lt;=-1,REKAP[[#This Row],[Harga Satuan]]*REKAP[[#This Row],[Selisih]],0)</f>
        <v>0</v>
      </c>
    </row>
    <row r="1732" spans="1:20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>
        <f>IF(REKAP[[#This Row],[Stok Aktual]]&lt;&gt;"",REKAP[[#This Row],[Stok Aktual]]-REKAP[[#This Row],[Stok Akhir]],0)</f>
        <v>0</v>
      </c>
      <c r="S1732" s="132"/>
      <c r="T1732" s="137">
        <f>IF(REKAP[[#This Row],[Selisih]]&lt;=-1,REKAP[[#This Row],[Harga Satuan]]*REKAP[[#This Row],[Selisih]],0)</f>
        <v>0</v>
      </c>
    </row>
    <row r="1733" spans="1:20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>
        <f>IF(REKAP[[#This Row],[Stok Aktual]]&lt;&gt;"",REKAP[[#This Row],[Stok Aktual]]-REKAP[[#This Row],[Stok Akhir]],0)</f>
        <v>0</v>
      </c>
      <c r="S1733" s="132"/>
      <c r="T1733" s="137">
        <f>IF(REKAP[[#This Row],[Selisih]]&lt;=-1,REKAP[[#This Row],[Harga Satuan]]*REKAP[[#This Row],[Selisih]],0)</f>
        <v>0</v>
      </c>
    </row>
    <row r="1734" spans="1:20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>
        <f>IF(REKAP[[#This Row],[Stok Aktual]]&lt;&gt;"",REKAP[[#This Row],[Stok Aktual]]-REKAP[[#This Row],[Stok Akhir]],0)</f>
        <v>0</v>
      </c>
      <c r="S1734" s="132"/>
      <c r="T1734" s="137">
        <f>IF(REKAP[[#This Row],[Selisih]]&lt;=-1,REKAP[[#This Row],[Harga Satuan]]*REKAP[[#This Row],[Selisih]],0)</f>
        <v>0</v>
      </c>
    </row>
    <row r="1735" spans="1:20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>
        <f>IF(REKAP[[#This Row],[Stok Aktual]]&lt;&gt;"",REKAP[[#This Row],[Stok Aktual]]-REKAP[[#This Row],[Stok Akhir]],0)</f>
        <v>0</v>
      </c>
      <c r="S1735" s="132"/>
      <c r="T1735" s="137">
        <f>IF(REKAP[[#This Row],[Selisih]]&lt;=-1,REKAP[[#This Row],[Harga Satuan]]*REKAP[[#This Row],[Selisih]],0)</f>
        <v>0</v>
      </c>
    </row>
    <row r="1736" spans="1:20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>
        <f>IF(REKAP[[#This Row],[Stok Aktual]]&lt;&gt;"",REKAP[[#This Row],[Stok Aktual]]-REKAP[[#This Row],[Stok Akhir]],0)</f>
        <v>0</v>
      </c>
      <c r="S1736" s="132"/>
      <c r="T1736" s="137">
        <f>IF(REKAP[[#This Row],[Selisih]]&lt;=-1,REKAP[[#This Row],[Harga Satuan]]*REKAP[[#This Row],[Selisih]],0)</f>
        <v>0</v>
      </c>
    </row>
    <row r="1737" spans="1:20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>
        <f>IF(REKAP[[#This Row],[Stok Aktual]]&lt;&gt;"",REKAP[[#This Row],[Stok Aktual]]-REKAP[[#This Row],[Stok Akhir]],0)</f>
        <v>0</v>
      </c>
      <c r="S1737" s="132"/>
      <c r="T1737" s="137">
        <f>IF(REKAP[[#This Row],[Selisih]]&lt;=-1,REKAP[[#This Row],[Harga Satuan]]*REKAP[[#This Row],[Selisih]],0)</f>
        <v>0</v>
      </c>
    </row>
    <row r="1738" spans="1:20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>
        <f>IF(REKAP[[#This Row],[Stok Aktual]]&lt;&gt;"",REKAP[[#This Row],[Stok Aktual]]-REKAP[[#This Row],[Stok Akhir]],0)</f>
        <v>0</v>
      </c>
      <c r="S1738" s="132"/>
      <c r="T1738" s="137">
        <f>IF(REKAP[[#This Row],[Selisih]]&lt;=-1,REKAP[[#This Row],[Harga Satuan]]*REKAP[[#This Row],[Selisih]],0)</f>
        <v>0</v>
      </c>
    </row>
    <row r="1739" spans="1:20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>
        <f>IF(REKAP[[#This Row],[Stok Aktual]]&lt;&gt;"",REKAP[[#This Row],[Stok Aktual]]-REKAP[[#This Row],[Stok Akhir]],0)</f>
        <v>0</v>
      </c>
      <c r="S1739" s="132"/>
      <c r="T1739" s="137">
        <f>IF(REKAP[[#This Row],[Selisih]]&lt;=-1,REKAP[[#This Row],[Harga Satuan]]*REKAP[[#This Row],[Selisih]],0)</f>
        <v>0</v>
      </c>
    </row>
    <row r="1740" spans="1:20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>
        <f>IF(REKAP[[#This Row],[Stok Aktual]]&lt;&gt;"",REKAP[[#This Row],[Stok Aktual]]-REKAP[[#This Row],[Stok Akhir]],0)</f>
        <v>0</v>
      </c>
      <c r="S1740" s="132"/>
      <c r="T1740" s="137">
        <f>IF(REKAP[[#This Row],[Selisih]]&lt;=-1,REKAP[[#This Row],[Harga Satuan]]*REKAP[[#This Row],[Selisih]],0)</f>
        <v>0</v>
      </c>
    </row>
    <row r="1741" spans="1:20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>
        <f>IF(REKAP[[#This Row],[Stok Aktual]]&lt;&gt;"",REKAP[[#This Row],[Stok Aktual]]-REKAP[[#This Row],[Stok Akhir]],0)</f>
        <v>0</v>
      </c>
      <c r="S1741" s="132"/>
      <c r="T1741" s="137">
        <f>IF(REKAP[[#This Row],[Selisih]]&lt;=-1,REKAP[[#This Row],[Harga Satuan]]*REKAP[[#This Row],[Selisih]],0)</f>
        <v>0</v>
      </c>
    </row>
    <row r="1742" spans="1:20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>
        <f>IF(REKAP[[#This Row],[Stok Aktual]]&lt;&gt;"",REKAP[[#This Row],[Stok Aktual]]-REKAP[[#This Row],[Stok Akhir]],0)</f>
        <v>0</v>
      </c>
      <c r="S1742" s="132"/>
      <c r="T1742" s="137">
        <f>IF(REKAP[[#This Row],[Selisih]]&lt;=-1,REKAP[[#This Row],[Harga Satuan]]*REKAP[[#This Row],[Selisih]],0)</f>
        <v>0</v>
      </c>
    </row>
    <row r="1743" spans="1:20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>
        <f>IF(REKAP[[#This Row],[Stok Aktual]]&lt;&gt;"",REKAP[[#This Row],[Stok Aktual]]-REKAP[[#This Row],[Stok Akhir]],0)</f>
        <v>0</v>
      </c>
      <c r="S1743" s="132"/>
      <c r="T1743" s="137">
        <f>IF(REKAP[[#This Row],[Selisih]]&lt;=-1,REKAP[[#This Row],[Harga Satuan]]*REKAP[[#This Row],[Selisih]],0)</f>
        <v>0</v>
      </c>
    </row>
    <row r="1744" spans="1:20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>
        <f>IF(REKAP[[#This Row],[Stok Aktual]]&lt;&gt;"",REKAP[[#This Row],[Stok Aktual]]-REKAP[[#This Row],[Stok Akhir]],0)</f>
        <v>0</v>
      </c>
      <c r="S1744" s="132"/>
      <c r="T1744" s="137">
        <f>IF(REKAP[[#This Row],[Selisih]]&lt;=-1,REKAP[[#This Row],[Harga Satuan]]*REKAP[[#This Row],[Selisih]],0)</f>
        <v>0</v>
      </c>
    </row>
    <row r="1745" spans="1:20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>
        <f>IF(REKAP[[#This Row],[Stok Aktual]]&lt;&gt;"",REKAP[[#This Row],[Stok Aktual]]-REKAP[[#This Row],[Stok Akhir]],0)</f>
        <v>0</v>
      </c>
      <c r="S1745" s="132"/>
      <c r="T1745" s="137">
        <f>IF(REKAP[[#This Row],[Selisih]]&lt;=-1,REKAP[[#This Row],[Harga Satuan]]*REKAP[[#This Row],[Selisih]],0)</f>
        <v>0</v>
      </c>
    </row>
    <row r="1746" spans="1:20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>
        <f>IF(REKAP[[#This Row],[Stok Aktual]]&lt;&gt;"",REKAP[[#This Row],[Stok Aktual]]-REKAP[[#This Row],[Stok Akhir]],0)</f>
        <v>0</v>
      </c>
      <c r="S1746" s="132"/>
      <c r="T1746" s="137">
        <f>IF(REKAP[[#This Row],[Selisih]]&lt;=-1,REKAP[[#This Row],[Harga Satuan]]*REKAP[[#This Row],[Selisih]],0)</f>
        <v>0</v>
      </c>
    </row>
    <row r="1747" spans="1:20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>
        <f>IF(REKAP[[#This Row],[Stok Aktual]]&lt;&gt;"",REKAP[[#This Row],[Stok Aktual]]-REKAP[[#This Row],[Stok Akhir]],0)</f>
        <v>0</v>
      </c>
      <c r="S1747" s="132"/>
      <c r="T1747" s="137">
        <f>IF(REKAP[[#This Row],[Selisih]]&lt;=-1,REKAP[[#This Row],[Harga Satuan]]*REKAP[[#This Row],[Selisih]],0)</f>
        <v>0</v>
      </c>
    </row>
    <row r="1748" spans="1:20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>
        <f>IF(REKAP[[#This Row],[Stok Aktual]]&lt;&gt;"",REKAP[[#This Row],[Stok Aktual]]-REKAP[[#This Row],[Stok Akhir]],0)</f>
        <v>0</v>
      </c>
      <c r="S1748" s="132"/>
      <c r="T1748" s="137">
        <f>IF(REKAP[[#This Row],[Selisih]]&lt;=-1,REKAP[[#This Row],[Harga Satuan]]*REKAP[[#This Row],[Selisih]],0)</f>
        <v>0</v>
      </c>
    </row>
    <row r="1749" spans="1:20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>
        <f>IF(REKAP[[#This Row],[Stok Aktual]]&lt;&gt;"",REKAP[[#This Row],[Stok Aktual]]-REKAP[[#This Row],[Stok Akhir]],0)</f>
        <v>0</v>
      </c>
      <c r="S1749" s="132"/>
      <c r="T1749" s="137">
        <f>IF(REKAP[[#This Row],[Selisih]]&lt;=-1,REKAP[[#This Row],[Harga Satuan]]*REKAP[[#This Row],[Selisih]],0)</f>
        <v>0</v>
      </c>
    </row>
    <row r="1750" spans="1:20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>
        <f>IF(REKAP[[#This Row],[Stok Aktual]]&lt;&gt;"",REKAP[[#This Row],[Stok Aktual]]-REKAP[[#This Row],[Stok Akhir]],0)</f>
        <v>0</v>
      </c>
      <c r="S1750" s="132"/>
      <c r="T1750" s="137">
        <f>IF(REKAP[[#This Row],[Selisih]]&lt;=-1,REKAP[[#This Row],[Harga Satuan]]*REKAP[[#This Row],[Selisih]],0)</f>
        <v>0</v>
      </c>
    </row>
    <row r="1751" spans="1:20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>
        <f>IF(REKAP[[#This Row],[Stok Aktual]]&lt;&gt;"",REKAP[[#This Row],[Stok Aktual]]-REKAP[[#This Row],[Stok Akhir]],0)</f>
        <v>0</v>
      </c>
      <c r="S1751" s="132"/>
      <c r="T1751" s="137">
        <f>IF(REKAP[[#This Row],[Selisih]]&lt;=-1,REKAP[[#This Row],[Harga Satuan]]*REKAP[[#This Row],[Selisih]],0)</f>
        <v>0</v>
      </c>
    </row>
    <row r="1752" spans="1:20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>
        <f>IF(REKAP[[#This Row],[Stok Aktual]]&lt;&gt;"",REKAP[[#This Row],[Stok Aktual]]-REKAP[[#This Row],[Stok Akhir]],0)</f>
        <v>0</v>
      </c>
      <c r="S1752" s="132"/>
      <c r="T1752" s="137">
        <f>IF(REKAP[[#This Row],[Selisih]]&lt;=-1,REKAP[[#This Row],[Harga Satuan]]*REKAP[[#This Row],[Selisih]],0)</f>
        <v>0</v>
      </c>
    </row>
    <row r="1753" spans="1:20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>
        <f>IF(REKAP[[#This Row],[Stok Aktual]]&lt;&gt;"",REKAP[[#This Row],[Stok Aktual]]-REKAP[[#This Row],[Stok Akhir]],0)</f>
        <v>0</v>
      </c>
      <c r="S1753" s="132"/>
      <c r="T1753" s="137">
        <f>IF(REKAP[[#This Row],[Selisih]]&lt;=-1,REKAP[[#This Row],[Harga Satuan]]*REKAP[[#This Row],[Selisih]],0)</f>
        <v>0</v>
      </c>
    </row>
    <row r="1754" spans="1:20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>
        <f>IF(REKAP[[#This Row],[Stok Aktual]]&lt;&gt;"",REKAP[[#This Row],[Stok Aktual]]-REKAP[[#This Row],[Stok Akhir]],0)</f>
        <v>0</v>
      </c>
      <c r="S1754" s="132"/>
      <c r="T1754" s="137">
        <f>IF(REKAP[[#This Row],[Selisih]]&lt;=-1,REKAP[[#This Row],[Harga Satuan]]*REKAP[[#This Row],[Selisih]],0)</f>
        <v>0</v>
      </c>
    </row>
    <row r="1755" spans="1:20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>
        <f>IF(REKAP[[#This Row],[Stok Aktual]]&lt;&gt;"",REKAP[[#This Row],[Stok Aktual]]-REKAP[[#This Row],[Stok Akhir]],0)</f>
        <v>0</v>
      </c>
      <c r="S1755" s="132"/>
      <c r="T1755" s="137">
        <f>IF(REKAP[[#This Row],[Selisih]]&lt;=-1,REKAP[[#This Row],[Harga Satuan]]*REKAP[[#This Row],[Selisih]],0)</f>
        <v>0</v>
      </c>
    </row>
    <row r="1756" spans="1:20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>
        <f>IF(REKAP[[#This Row],[Stok Aktual]]&lt;&gt;"",REKAP[[#This Row],[Stok Aktual]]-REKAP[[#This Row],[Stok Akhir]],0)</f>
        <v>0</v>
      </c>
      <c r="S1756" s="132"/>
      <c r="T1756" s="137">
        <f>IF(REKAP[[#This Row],[Selisih]]&lt;=-1,REKAP[[#This Row],[Harga Satuan]]*REKAP[[#This Row],[Selisih]],0)</f>
        <v>0</v>
      </c>
    </row>
    <row r="1757" spans="1:20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>
        <f>IF(REKAP[[#This Row],[Stok Aktual]]&lt;&gt;"",REKAP[[#This Row],[Stok Aktual]]-REKAP[[#This Row],[Stok Akhir]],0)</f>
        <v>0</v>
      </c>
      <c r="S1757" s="132"/>
      <c r="T1757" s="137">
        <f>IF(REKAP[[#This Row],[Selisih]]&lt;=-1,REKAP[[#This Row],[Harga Satuan]]*REKAP[[#This Row],[Selisih]],0)</f>
        <v>0</v>
      </c>
    </row>
    <row r="1758" spans="1:20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>
        <f>IF(REKAP[[#This Row],[Stok Aktual]]&lt;&gt;"",REKAP[[#This Row],[Stok Aktual]]-REKAP[[#This Row],[Stok Akhir]],0)</f>
        <v>0</v>
      </c>
      <c r="S1758" s="132"/>
      <c r="T1758" s="137">
        <f>IF(REKAP[[#This Row],[Selisih]]&lt;=-1,REKAP[[#This Row],[Harga Satuan]]*REKAP[[#This Row],[Selisih]],0)</f>
        <v>0</v>
      </c>
    </row>
    <row r="1759" spans="1:20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>
        <f>IF(REKAP[[#This Row],[Stok Aktual]]&lt;&gt;"",REKAP[[#This Row],[Stok Aktual]]-REKAP[[#This Row],[Stok Akhir]],0)</f>
        <v>0</v>
      </c>
      <c r="S1759" s="132"/>
      <c r="T1759" s="137">
        <f>IF(REKAP[[#This Row],[Selisih]]&lt;=-1,REKAP[[#This Row],[Harga Satuan]]*REKAP[[#This Row],[Selisih]],0)</f>
        <v>0</v>
      </c>
    </row>
    <row r="1760" spans="1:20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>
        <f>IF(REKAP[[#This Row],[Stok Aktual]]&lt;&gt;"",REKAP[[#This Row],[Stok Aktual]]-REKAP[[#This Row],[Stok Akhir]],0)</f>
        <v>0</v>
      </c>
      <c r="S1760" s="132"/>
      <c r="T1760" s="137">
        <f>IF(REKAP[[#This Row],[Selisih]]&lt;=-1,REKAP[[#This Row],[Harga Satuan]]*REKAP[[#This Row],[Selisih]],0)</f>
        <v>0</v>
      </c>
    </row>
    <row r="1761" spans="1:20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>
        <f>IF(REKAP[[#This Row],[Stok Aktual]]&lt;&gt;"",REKAP[[#This Row],[Stok Aktual]]-REKAP[[#This Row],[Stok Akhir]],0)</f>
        <v>0</v>
      </c>
      <c r="S1761" s="132"/>
      <c r="T1761" s="137">
        <f>IF(REKAP[[#This Row],[Selisih]]&lt;=-1,REKAP[[#This Row],[Harga Satuan]]*REKAP[[#This Row],[Selisih]],0)</f>
        <v>0</v>
      </c>
    </row>
    <row r="1762" spans="1:20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>
        <f>IF(REKAP[[#This Row],[Stok Aktual]]&lt;&gt;"",REKAP[[#This Row],[Stok Aktual]]-REKAP[[#This Row],[Stok Akhir]],0)</f>
        <v>0</v>
      </c>
      <c r="S1762" s="132"/>
      <c r="T1762" s="137">
        <f>IF(REKAP[[#This Row],[Selisih]]&lt;=-1,REKAP[[#This Row],[Harga Satuan]]*REKAP[[#This Row],[Selisih]],0)</f>
        <v>0</v>
      </c>
    </row>
    <row r="1763" spans="1:20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>
        <f>IF(REKAP[[#This Row],[Stok Aktual]]&lt;&gt;"",REKAP[[#This Row],[Stok Aktual]]-REKAP[[#This Row],[Stok Akhir]],0)</f>
        <v>0</v>
      </c>
      <c r="S1763" s="132"/>
      <c r="T1763" s="137">
        <f>IF(REKAP[[#This Row],[Selisih]]&lt;=-1,REKAP[[#This Row],[Harga Satuan]]*REKAP[[#This Row],[Selisih]],0)</f>
        <v>0</v>
      </c>
    </row>
    <row r="1764" spans="1:20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>
        <f>IF(REKAP[[#This Row],[Stok Aktual]]&lt;&gt;"",REKAP[[#This Row],[Stok Aktual]]-REKAP[[#This Row],[Stok Akhir]],0)</f>
        <v>0</v>
      </c>
      <c r="S1764" s="132"/>
      <c r="T1764" s="137">
        <f>IF(REKAP[[#This Row],[Selisih]]&lt;=-1,REKAP[[#This Row],[Harga Satuan]]*REKAP[[#This Row],[Selisih]],0)</f>
        <v>0</v>
      </c>
    </row>
    <row r="1765" spans="1:20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>
        <f>IF(REKAP[[#This Row],[Stok Aktual]]&lt;&gt;"",REKAP[[#This Row],[Stok Aktual]]-REKAP[[#This Row],[Stok Akhir]],0)</f>
        <v>0</v>
      </c>
      <c r="S1765" s="132"/>
      <c r="T1765" s="137">
        <f>IF(REKAP[[#This Row],[Selisih]]&lt;=-1,REKAP[[#This Row],[Harga Satuan]]*REKAP[[#This Row],[Selisih]],0)</f>
        <v>0</v>
      </c>
    </row>
    <row r="1766" spans="1:20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>
        <f>IF(REKAP[[#This Row],[Stok Aktual]]&lt;&gt;"",REKAP[[#This Row],[Stok Aktual]]-REKAP[[#This Row],[Stok Akhir]],0)</f>
        <v>0</v>
      </c>
      <c r="S1766" s="132"/>
      <c r="T1766" s="137">
        <f>IF(REKAP[[#This Row],[Selisih]]&lt;=-1,REKAP[[#This Row],[Harga Satuan]]*REKAP[[#This Row],[Selisih]],0)</f>
        <v>0</v>
      </c>
    </row>
    <row r="1767" spans="1:20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>
        <f>IF(REKAP[[#This Row],[Stok Aktual]]&lt;&gt;"",REKAP[[#This Row],[Stok Aktual]]-REKAP[[#This Row],[Stok Akhir]],0)</f>
        <v>0</v>
      </c>
      <c r="S1767" s="132"/>
      <c r="T1767" s="137">
        <f>IF(REKAP[[#This Row],[Selisih]]&lt;=-1,REKAP[[#This Row],[Harga Satuan]]*REKAP[[#This Row],[Selisih]],0)</f>
        <v>0</v>
      </c>
    </row>
    <row r="1768" spans="1:20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>
        <f>IF(REKAP[[#This Row],[Stok Aktual]]&lt;&gt;"",REKAP[[#This Row],[Stok Aktual]]-REKAP[[#This Row],[Stok Akhir]],0)</f>
        <v>0</v>
      </c>
      <c r="S1768" s="132"/>
      <c r="T1768" s="137">
        <f>IF(REKAP[[#This Row],[Selisih]]&lt;=-1,REKAP[[#This Row],[Harga Satuan]]*REKAP[[#This Row],[Selisih]],0)</f>
        <v>0</v>
      </c>
    </row>
    <row r="1769" spans="1:20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>
        <f>IF(REKAP[[#This Row],[Stok Aktual]]&lt;&gt;"",REKAP[[#This Row],[Stok Aktual]]-REKAP[[#This Row],[Stok Akhir]],0)</f>
        <v>0</v>
      </c>
      <c r="S1769" s="132"/>
      <c r="T1769" s="137">
        <f>IF(REKAP[[#This Row],[Selisih]]&lt;=-1,REKAP[[#This Row],[Harga Satuan]]*REKAP[[#This Row],[Selisih]],0)</f>
        <v>0</v>
      </c>
    </row>
    <row r="1770" spans="1:20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>
        <f>IF(REKAP[[#This Row],[Stok Aktual]]&lt;&gt;"",REKAP[[#This Row],[Stok Aktual]]-REKAP[[#This Row],[Stok Akhir]],0)</f>
        <v>0</v>
      </c>
      <c r="S1770" s="132"/>
      <c r="T1770" s="137">
        <f>IF(REKAP[[#This Row],[Selisih]]&lt;=-1,REKAP[[#This Row],[Harga Satuan]]*REKAP[[#This Row],[Selisih]],0)</f>
        <v>0</v>
      </c>
    </row>
    <row r="1771" spans="1:20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>
        <f>IF(REKAP[[#This Row],[Stok Aktual]]&lt;&gt;"",REKAP[[#This Row],[Stok Aktual]]-REKAP[[#This Row],[Stok Akhir]],0)</f>
        <v>0</v>
      </c>
      <c r="S1771" s="132"/>
      <c r="T1771" s="137">
        <f>IF(REKAP[[#This Row],[Selisih]]&lt;=-1,REKAP[[#This Row],[Harga Satuan]]*REKAP[[#This Row],[Selisih]],0)</f>
        <v>0</v>
      </c>
    </row>
    <row r="1772" spans="1:20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>
        <f>IF(REKAP[[#This Row],[Stok Aktual]]&lt;&gt;"",REKAP[[#This Row],[Stok Aktual]]-REKAP[[#This Row],[Stok Akhir]],0)</f>
        <v>0</v>
      </c>
      <c r="S1772" s="132"/>
      <c r="T1772" s="137">
        <f>IF(REKAP[[#This Row],[Selisih]]&lt;=-1,REKAP[[#This Row],[Harga Satuan]]*REKAP[[#This Row],[Selisih]],0)</f>
        <v>0</v>
      </c>
    </row>
    <row r="1773" spans="1:20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>
        <f>IF(REKAP[[#This Row],[Stok Aktual]]&lt;&gt;"",REKAP[[#This Row],[Stok Aktual]]-REKAP[[#This Row],[Stok Akhir]],0)</f>
        <v>0</v>
      </c>
      <c r="S1773" s="132"/>
      <c r="T1773" s="137">
        <f>IF(REKAP[[#This Row],[Selisih]]&lt;=-1,REKAP[[#This Row],[Harga Satuan]]*REKAP[[#This Row],[Selisih]],0)</f>
        <v>0</v>
      </c>
    </row>
    <row r="1774" spans="1:20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>
        <f>IF(REKAP[[#This Row],[Stok Aktual]]&lt;&gt;"",REKAP[[#This Row],[Stok Aktual]]-REKAP[[#This Row],[Stok Akhir]],0)</f>
        <v>0</v>
      </c>
      <c r="S1774" s="132"/>
      <c r="T1774" s="137">
        <f>IF(REKAP[[#This Row],[Selisih]]&lt;=-1,REKAP[[#This Row],[Harga Satuan]]*REKAP[[#This Row],[Selisih]],0)</f>
        <v>0</v>
      </c>
    </row>
    <row r="1775" spans="1:20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>
        <f>IF(REKAP[[#This Row],[Stok Aktual]]&lt;&gt;"",REKAP[[#This Row],[Stok Aktual]]-REKAP[[#This Row],[Stok Akhir]],0)</f>
        <v>0</v>
      </c>
      <c r="S1775" s="132"/>
      <c r="T1775" s="137">
        <f>IF(REKAP[[#This Row],[Selisih]]&lt;=-1,REKAP[[#This Row],[Harga Satuan]]*REKAP[[#This Row],[Selisih]],0)</f>
        <v>0</v>
      </c>
    </row>
    <row r="1776" spans="1:20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>
        <f>IF(REKAP[[#This Row],[Stok Aktual]]&lt;&gt;"",REKAP[[#This Row],[Stok Aktual]]-REKAP[[#This Row],[Stok Akhir]],0)</f>
        <v>0</v>
      </c>
      <c r="S1776" s="132"/>
      <c r="T1776" s="137">
        <f>IF(REKAP[[#This Row],[Selisih]]&lt;=-1,REKAP[[#This Row],[Harga Satuan]]*REKAP[[#This Row],[Selisih]],0)</f>
        <v>0</v>
      </c>
    </row>
    <row r="1777" spans="1:20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>
        <f>IF(REKAP[[#This Row],[Stok Aktual]]&lt;&gt;"",REKAP[[#This Row],[Stok Aktual]]-REKAP[[#This Row],[Stok Akhir]],0)</f>
        <v>0</v>
      </c>
      <c r="S1777" s="132"/>
      <c r="T1777" s="137">
        <f>IF(REKAP[[#This Row],[Selisih]]&lt;=-1,REKAP[[#This Row],[Harga Satuan]]*REKAP[[#This Row],[Selisih]],0)</f>
        <v>0</v>
      </c>
    </row>
    <row r="1778" spans="1:20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>
        <f>IF(REKAP[[#This Row],[Stok Aktual]]&lt;&gt;"",REKAP[[#This Row],[Stok Aktual]]-REKAP[[#This Row],[Stok Akhir]],0)</f>
        <v>0</v>
      </c>
      <c r="S1778" s="132"/>
      <c r="T1778" s="137">
        <f>IF(REKAP[[#This Row],[Selisih]]&lt;=-1,REKAP[[#This Row],[Harga Satuan]]*REKAP[[#This Row],[Selisih]],0)</f>
        <v>0</v>
      </c>
    </row>
    <row r="1779" spans="1:20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>
        <f>IF(REKAP[[#This Row],[Stok Aktual]]&lt;&gt;"",REKAP[[#This Row],[Stok Aktual]]-REKAP[[#This Row],[Stok Akhir]],0)</f>
        <v>0</v>
      </c>
      <c r="S1779" s="132"/>
      <c r="T1779" s="137">
        <f>IF(REKAP[[#This Row],[Selisih]]&lt;=-1,REKAP[[#This Row],[Harga Satuan]]*REKAP[[#This Row],[Selisih]],0)</f>
        <v>0</v>
      </c>
    </row>
    <row r="1780" spans="1:20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>
        <f>IF(REKAP[[#This Row],[Stok Aktual]]&lt;&gt;"",REKAP[[#This Row],[Stok Aktual]]-REKAP[[#This Row],[Stok Akhir]],0)</f>
        <v>0</v>
      </c>
      <c r="S1780" s="132"/>
      <c r="T1780" s="137">
        <f>IF(REKAP[[#This Row],[Selisih]]&lt;=-1,REKAP[[#This Row],[Harga Satuan]]*REKAP[[#This Row],[Selisih]],0)</f>
        <v>0</v>
      </c>
    </row>
    <row r="1781" spans="1:20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>
        <f>IF(REKAP[[#This Row],[Stok Aktual]]&lt;&gt;"",REKAP[[#This Row],[Stok Aktual]]-REKAP[[#This Row],[Stok Akhir]],0)</f>
        <v>0</v>
      </c>
      <c r="S1781" s="132"/>
      <c r="T1781" s="137">
        <f>IF(REKAP[[#This Row],[Selisih]]&lt;=-1,REKAP[[#This Row],[Harga Satuan]]*REKAP[[#This Row],[Selisih]],0)</f>
        <v>0</v>
      </c>
    </row>
    <row r="1782" spans="1:20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>
        <f>IF(REKAP[[#This Row],[Stok Aktual]]&lt;&gt;"",REKAP[[#This Row],[Stok Aktual]]-REKAP[[#This Row],[Stok Akhir]],0)</f>
        <v>0</v>
      </c>
      <c r="S1782" s="132"/>
      <c r="T1782" s="137">
        <f>IF(REKAP[[#This Row],[Selisih]]&lt;=-1,REKAP[[#This Row],[Harga Satuan]]*REKAP[[#This Row],[Selisih]],0)</f>
        <v>0</v>
      </c>
    </row>
    <row r="1783" spans="1:20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>
        <f>IF(REKAP[[#This Row],[Stok Aktual]]&lt;&gt;"",REKAP[[#This Row],[Stok Aktual]]-REKAP[[#This Row],[Stok Akhir]],0)</f>
        <v>0</v>
      </c>
      <c r="S1783" s="132"/>
      <c r="T1783" s="137">
        <f>IF(REKAP[[#This Row],[Selisih]]&lt;=-1,REKAP[[#This Row],[Harga Satuan]]*REKAP[[#This Row],[Selisih]],0)</f>
        <v>0</v>
      </c>
    </row>
    <row r="1784" spans="1:20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>
        <f>IF(REKAP[[#This Row],[Stok Aktual]]&lt;&gt;"",REKAP[[#This Row],[Stok Aktual]]-REKAP[[#This Row],[Stok Akhir]],0)</f>
        <v>0</v>
      </c>
      <c r="S1784" s="132"/>
      <c r="T1784" s="137">
        <f>IF(REKAP[[#This Row],[Selisih]]&lt;=-1,REKAP[[#This Row],[Harga Satuan]]*REKAP[[#This Row],[Selisih]],0)</f>
        <v>0</v>
      </c>
    </row>
    <row r="1785" spans="1:20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>
        <f>IF(REKAP[[#This Row],[Stok Aktual]]&lt;&gt;"",REKAP[[#This Row],[Stok Aktual]]-REKAP[[#This Row],[Stok Akhir]],0)</f>
        <v>0</v>
      </c>
      <c r="S1785" s="132"/>
      <c r="T1785" s="137">
        <f>IF(REKAP[[#This Row],[Selisih]]&lt;=-1,REKAP[[#This Row],[Harga Satuan]]*REKAP[[#This Row],[Selisih]],0)</f>
        <v>0</v>
      </c>
    </row>
    <row r="1786" spans="1:20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>
        <f>IF(REKAP[[#This Row],[Stok Aktual]]&lt;&gt;"",REKAP[[#This Row],[Stok Aktual]]-REKAP[[#This Row],[Stok Akhir]],0)</f>
        <v>0</v>
      </c>
      <c r="S1786" s="132"/>
      <c r="T1786" s="137">
        <f>IF(REKAP[[#This Row],[Selisih]]&lt;=-1,REKAP[[#This Row],[Harga Satuan]]*REKAP[[#This Row],[Selisih]],0)</f>
        <v>0</v>
      </c>
    </row>
    <row r="1787" spans="1:20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>
        <f>IF(REKAP[[#This Row],[Stok Aktual]]&lt;&gt;"",REKAP[[#This Row],[Stok Aktual]]-REKAP[[#This Row],[Stok Akhir]],0)</f>
        <v>0</v>
      </c>
      <c r="S1787" s="132"/>
      <c r="T1787" s="137">
        <f>IF(REKAP[[#This Row],[Selisih]]&lt;=-1,REKAP[[#This Row],[Harga Satuan]]*REKAP[[#This Row],[Selisih]],0)</f>
        <v>0</v>
      </c>
    </row>
    <row r="1788" spans="1:20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>
        <f>IF(REKAP[[#This Row],[Stok Aktual]]&lt;&gt;"",REKAP[[#This Row],[Stok Aktual]]-REKAP[[#This Row],[Stok Akhir]],0)</f>
        <v>0</v>
      </c>
      <c r="S1788" s="132"/>
      <c r="T1788" s="137">
        <f>IF(REKAP[[#This Row],[Selisih]]&lt;=-1,REKAP[[#This Row],[Harga Satuan]]*REKAP[[#This Row],[Selisih]],0)</f>
        <v>0</v>
      </c>
    </row>
    <row r="1789" spans="1:20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>
        <f>IF(REKAP[[#This Row],[Stok Aktual]]&lt;&gt;"",REKAP[[#This Row],[Stok Aktual]]-REKAP[[#This Row],[Stok Akhir]],0)</f>
        <v>0</v>
      </c>
      <c r="S1789" s="132"/>
      <c r="T1789" s="137">
        <f>IF(REKAP[[#This Row],[Selisih]]&lt;=-1,REKAP[[#This Row],[Harga Satuan]]*REKAP[[#This Row],[Selisih]],0)</f>
        <v>0</v>
      </c>
    </row>
    <row r="1790" spans="1:20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>
        <f>IF(REKAP[[#This Row],[Stok Aktual]]&lt;&gt;"",REKAP[[#This Row],[Stok Aktual]]-REKAP[[#This Row],[Stok Akhir]],0)</f>
        <v>0</v>
      </c>
      <c r="S1790" s="132"/>
      <c r="T1790" s="137">
        <f>IF(REKAP[[#This Row],[Selisih]]&lt;=-1,REKAP[[#This Row],[Harga Satuan]]*REKAP[[#This Row],[Selisih]],0)</f>
        <v>0</v>
      </c>
    </row>
    <row r="1791" spans="1:20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>
        <f>IF(REKAP[[#This Row],[Stok Aktual]]&lt;&gt;"",REKAP[[#This Row],[Stok Aktual]]-REKAP[[#This Row],[Stok Akhir]],0)</f>
        <v>0</v>
      </c>
      <c r="S1791" s="132"/>
      <c r="T1791" s="137">
        <f>IF(REKAP[[#This Row],[Selisih]]&lt;=-1,REKAP[[#This Row],[Harga Satuan]]*REKAP[[#This Row],[Selisih]],0)</f>
        <v>0</v>
      </c>
    </row>
    <row r="1792" spans="1:20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>
        <f>IF(REKAP[[#This Row],[Stok Aktual]]&lt;&gt;"",REKAP[[#This Row],[Stok Aktual]]-REKAP[[#This Row],[Stok Akhir]],0)</f>
        <v>0</v>
      </c>
      <c r="S1792" s="132"/>
      <c r="T1792" s="137">
        <f>IF(REKAP[[#This Row],[Selisih]]&lt;=-1,REKAP[[#This Row],[Harga Satuan]]*REKAP[[#This Row],[Selisih]],0)</f>
        <v>0</v>
      </c>
    </row>
    <row r="1793" spans="1:20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>
        <f>IF(REKAP[[#This Row],[Stok Aktual]]&lt;&gt;"",REKAP[[#This Row],[Stok Aktual]]-REKAP[[#This Row],[Stok Akhir]],0)</f>
        <v>0</v>
      </c>
      <c r="S1793" s="132"/>
      <c r="T1793" s="137">
        <f>IF(REKAP[[#This Row],[Selisih]]&lt;=-1,REKAP[[#This Row],[Harga Satuan]]*REKAP[[#This Row],[Selisih]],0)</f>
        <v>0</v>
      </c>
    </row>
    <row r="1794" spans="1:20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>
        <f>IF(REKAP[[#This Row],[Stok Aktual]]&lt;&gt;"",REKAP[[#This Row],[Stok Aktual]]-REKAP[[#This Row],[Stok Akhir]],0)</f>
        <v>0</v>
      </c>
      <c r="S1794" s="132"/>
      <c r="T1794" s="137">
        <f>IF(REKAP[[#This Row],[Selisih]]&lt;=-1,REKAP[[#This Row],[Harga Satuan]]*REKAP[[#This Row],[Selisih]],0)</f>
        <v>0</v>
      </c>
    </row>
    <row r="1795" spans="1:20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>
        <f>IF(REKAP[[#This Row],[Stok Aktual]]&lt;&gt;"",REKAP[[#This Row],[Stok Aktual]]-REKAP[[#This Row],[Stok Akhir]],0)</f>
        <v>0</v>
      </c>
      <c r="S1795" s="132"/>
      <c r="T1795" s="137">
        <f>IF(REKAP[[#This Row],[Selisih]]&lt;=-1,REKAP[[#This Row],[Harga Satuan]]*REKAP[[#This Row],[Selisih]],0)</f>
        <v>0</v>
      </c>
    </row>
    <row r="1796" spans="1:20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>
        <f>IF(REKAP[[#This Row],[Stok Aktual]]&lt;&gt;"",REKAP[[#This Row],[Stok Aktual]]-REKAP[[#This Row],[Stok Akhir]],0)</f>
        <v>0</v>
      </c>
      <c r="S1796" s="132"/>
      <c r="T1796" s="137">
        <f>IF(REKAP[[#This Row],[Selisih]]&lt;=-1,REKAP[[#This Row],[Harga Satuan]]*REKAP[[#This Row],[Selisih]],0)</f>
        <v>0</v>
      </c>
    </row>
    <row r="1797" spans="1:20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>
        <f>IF(REKAP[[#This Row],[Stok Aktual]]&lt;&gt;"",REKAP[[#This Row],[Stok Aktual]]-REKAP[[#This Row],[Stok Akhir]],0)</f>
        <v>0</v>
      </c>
      <c r="S1797" s="132"/>
      <c r="T1797" s="137">
        <f>IF(REKAP[[#This Row],[Selisih]]&lt;=-1,REKAP[[#This Row],[Harga Satuan]]*REKAP[[#This Row],[Selisih]],0)</f>
        <v>0</v>
      </c>
    </row>
    <row r="1798" spans="1:20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>
        <f>IF(REKAP[[#This Row],[Stok Aktual]]&lt;&gt;"",REKAP[[#This Row],[Stok Aktual]]-REKAP[[#This Row],[Stok Akhir]],0)</f>
        <v>0</v>
      </c>
      <c r="S1798" s="132"/>
      <c r="T1798" s="137">
        <f>IF(REKAP[[#This Row],[Selisih]]&lt;=-1,REKAP[[#This Row],[Harga Satuan]]*REKAP[[#This Row],[Selisih]],0)</f>
        <v>0</v>
      </c>
    </row>
    <row r="1799" spans="1:20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>
        <f>IF(REKAP[[#This Row],[Stok Aktual]]&lt;&gt;"",REKAP[[#This Row],[Stok Aktual]]-REKAP[[#This Row],[Stok Akhir]],0)</f>
        <v>0</v>
      </c>
      <c r="S1799" s="132"/>
      <c r="T1799" s="137">
        <f>IF(REKAP[[#This Row],[Selisih]]&lt;=-1,REKAP[[#This Row],[Harga Satuan]]*REKAP[[#This Row],[Selisih]],0)</f>
        <v>0</v>
      </c>
    </row>
    <row r="1800" spans="1:20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>
        <f>IF(REKAP[[#This Row],[Stok Aktual]]&lt;&gt;"",REKAP[[#This Row],[Stok Aktual]]-REKAP[[#This Row],[Stok Akhir]],0)</f>
        <v>0</v>
      </c>
      <c r="S1800" s="132"/>
      <c r="T1800" s="137">
        <f>IF(REKAP[[#This Row],[Selisih]]&lt;=-1,REKAP[[#This Row],[Harga Satuan]]*REKAP[[#This Row],[Selisih]],0)</f>
        <v>0</v>
      </c>
    </row>
    <row r="1801" spans="1:20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>
        <f>IF(REKAP[[#This Row],[Stok Aktual]]&lt;&gt;"",REKAP[[#This Row],[Stok Aktual]]-REKAP[[#This Row],[Stok Akhir]],0)</f>
        <v>0</v>
      </c>
      <c r="S1801" s="132"/>
      <c r="T1801" s="137">
        <f>IF(REKAP[[#This Row],[Selisih]]&lt;=-1,REKAP[[#This Row],[Harga Satuan]]*REKAP[[#This Row],[Selisih]],0)</f>
        <v>0</v>
      </c>
    </row>
    <row r="1802" spans="1:20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>
        <f>IF(REKAP[[#This Row],[Stok Aktual]]&lt;&gt;"",REKAP[[#This Row],[Stok Aktual]]-REKAP[[#This Row],[Stok Akhir]],0)</f>
        <v>0</v>
      </c>
      <c r="S1802" s="132"/>
      <c r="T1802" s="137">
        <f>IF(REKAP[[#This Row],[Selisih]]&lt;=-1,REKAP[[#This Row],[Harga Satuan]]*REKAP[[#This Row],[Selisih]],0)</f>
        <v>0</v>
      </c>
    </row>
    <row r="1803" spans="1:20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>
        <f>IF(REKAP[[#This Row],[Stok Aktual]]&lt;&gt;"",REKAP[[#This Row],[Stok Aktual]]-REKAP[[#This Row],[Stok Akhir]],0)</f>
        <v>0</v>
      </c>
      <c r="S1803" s="132"/>
      <c r="T1803" s="137">
        <f>IF(REKAP[[#This Row],[Selisih]]&lt;=-1,REKAP[[#This Row],[Harga Satuan]]*REKAP[[#This Row],[Selisih]],0)</f>
        <v>0</v>
      </c>
    </row>
    <row r="1804" spans="1:20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>
        <f>IF(REKAP[[#This Row],[Stok Aktual]]&lt;&gt;"",REKAP[[#This Row],[Stok Aktual]]-REKAP[[#This Row],[Stok Akhir]],0)</f>
        <v>0</v>
      </c>
      <c r="S1804" s="132"/>
      <c r="T1804" s="137">
        <f>IF(REKAP[[#This Row],[Selisih]]&lt;=-1,REKAP[[#This Row],[Harga Satuan]]*REKAP[[#This Row],[Selisih]],0)</f>
        <v>0</v>
      </c>
    </row>
    <row r="1805" spans="1:20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>
        <f>IF(REKAP[[#This Row],[Stok Aktual]]&lt;&gt;"",REKAP[[#This Row],[Stok Aktual]]-REKAP[[#This Row],[Stok Akhir]],0)</f>
        <v>0</v>
      </c>
      <c r="S1805" s="132"/>
      <c r="T1805" s="137">
        <f>IF(REKAP[[#This Row],[Selisih]]&lt;=-1,REKAP[[#This Row],[Harga Satuan]]*REKAP[[#This Row],[Selisih]],0)</f>
        <v>0</v>
      </c>
    </row>
    <row r="1806" spans="1:20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>
        <f>IF(REKAP[[#This Row],[Stok Aktual]]&lt;&gt;"",REKAP[[#This Row],[Stok Aktual]]-REKAP[[#This Row],[Stok Akhir]],0)</f>
        <v>0</v>
      </c>
      <c r="S1806" s="132"/>
      <c r="T1806" s="137">
        <f>IF(REKAP[[#This Row],[Selisih]]&lt;=-1,REKAP[[#This Row],[Harga Satuan]]*REKAP[[#This Row],[Selisih]],0)</f>
        <v>0</v>
      </c>
    </row>
    <row r="1807" spans="1:20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>
        <f>IF(REKAP[[#This Row],[Stok Aktual]]&lt;&gt;"",REKAP[[#This Row],[Stok Aktual]]-REKAP[[#This Row],[Stok Akhir]],0)</f>
        <v>0</v>
      </c>
      <c r="S1807" s="132"/>
      <c r="T1807" s="137">
        <f>IF(REKAP[[#This Row],[Selisih]]&lt;=-1,REKAP[[#This Row],[Harga Satuan]]*REKAP[[#This Row],[Selisih]],0)</f>
        <v>0</v>
      </c>
    </row>
    <row r="1808" spans="1:20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>
        <f>IF(REKAP[[#This Row],[Stok Aktual]]&lt;&gt;"",REKAP[[#This Row],[Stok Aktual]]-REKAP[[#This Row],[Stok Akhir]],0)</f>
        <v>0</v>
      </c>
      <c r="S1808" s="132"/>
      <c r="T1808" s="137">
        <f>IF(REKAP[[#This Row],[Selisih]]&lt;=-1,REKAP[[#This Row],[Harga Satuan]]*REKAP[[#This Row],[Selisih]],0)</f>
        <v>0</v>
      </c>
    </row>
    <row r="1809" spans="1:20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>
        <f>IF(REKAP[[#This Row],[Stok Aktual]]&lt;&gt;"",REKAP[[#This Row],[Stok Aktual]]-REKAP[[#This Row],[Stok Akhir]],0)</f>
        <v>0</v>
      </c>
      <c r="S1809" s="132"/>
      <c r="T1809" s="137">
        <f>IF(REKAP[[#This Row],[Selisih]]&lt;=-1,REKAP[[#This Row],[Harga Satuan]]*REKAP[[#This Row],[Selisih]],0)</f>
        <v>0</v>
      </c>
    </row>
    <row r="1810" spans="1:20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>
        <f>IF(REKAP[[#This Row],[Stok Aktual]]&lt;&gt;"",REKAP[[#This Row],[Stok Aktual]]-REKAP[[#This Row],[Stok Akhir]],0)</f>
        <v>0</v>
      </c>
      <c r="S1810" s="132"/>
      <c r="T1810" s="137">
        <f>IF(REKAP[[#This Row],[Selisih]]&lt;=-1,REKAP[[#This Row],[Harga Satuan]]*REKAP[[#This Row],[Selisih]],0)</f>
        <v>0</v>
      </c>
    </row>
    <row r="1811" spans="1:20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>
        <f>IF(REKAP[[#This Row],[Stok Aktual]]&lt;&gt;"",REKAP[[#This Row],[Stok Aktual]]-REKAP[[#This Row],[Stok Akhir]],0)</f>
        <v>0</v>
      </c>
      <c r="S1811" s="132"/>
      <c r="T1811" s="137">
        <f>IF(REKAP[[#This Row],[Selisih]]&lt;=-1,REKAP[[#This Row],[Harga Satuan]]*REKAP[[#This Row],[Selisih]],0)</f>
        <v>0</v>
      </c>
    </row>
    <row r="1812" spans="1:20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>
        <f>IF(REKAP[[#This Row],[Stok Aktual]]&lt;&gt;"",REKAP[[#This Row],[Stok Aktual]]-REKAP[[#This Row],[Stok Akhir]],0)</f>
        <v>0</v>
      </c>
      <c r="S1812" s="132"/>
      <c r="T1812" s="137">
        <f>IF(REKAP[[#This Row],[Selisih]]&lt;=-1,REKAP[[#This Row],[Harga Satuan]]*REKAP[[#This Row],[Selisih]],0)</f>
        <v>0</v>
      </c>
    </row>
    <row r="1813" spans="1:20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>
        <f>IF(REKAP[[#This Row],[Stok Aktual]]&lt;&gt;"",REKAP[[#This Row],[Stok Aktual]]-REKAP[[#This Row],[Stok Akhir]],0)</f>
        <v>0</v>
      </c>
      <c r="S1813" s="132"/>
      <c r="T1813" s="137">
        <f>IF(REKAP[[#This Row],[Selisih]]&lt;=-1,REKAP[[#This Row],[Harga Satuan]]*REKAP[[#This Row],[Selisih]],0)</f>
        <v>0</v>
      </c>
    </row>
    <row r="1814" spans="1:20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>
        <f>IF(REKAP[[#This Row],[Stok Aktual]]&lt;&gt;"",REKAP[[#This Row],[Stok Aktual]]-REKAP[[#This Row],[Stok Akhir]],0)</f>
        <v>0</v>
      </c>
      <c r="S1814" s="132"/>
      <c r="T1814" s="137">
        <f>IF(REKAP[[#This Row],[Selisih]]&lt;=-1,REKAP[[#This Row],[Harga Satuan]]*REKAP[[#This Row],[Selisih]],0)</f>
        <v>0</v>
      </c>
    </row>
    <row r="1815" spans="1:20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>
        <f>IF(REKAP[[#This Row],[Stok Aktual]]&lt;&gt;"",REKAP[[#This Row],[Stok Aktual]]-REKAP[[#This Row],[Stok Akhir]],0)</f>
        <v>0</v>
      </c>
      <c r="S1815" s="132"/>
      <c r="T1815" s="137">
        <f>IF(REKAP[[#This Row],[Selisih]]&lt;=-1,REKAP[[#This Row],[Harga Satuan]]*REKAP[[#This Row],[Selisih]],0)</f>
        <v>0</v>
      </c>
    </row>
    <row r="1816" spans="1:20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>
        <f>IF(REKAP[[#This Row],[Stok Aktual]]&lt;&gt;"",REKAP[[#This Row],[Stok Aktual]]-REKAP[[#This Row],[Stok Akhir]],0)</f>
        <v>0</v>
      </c>
      <c r="S1816" s="132"/>
      <c r="T1816" s="137">
        <f>IF(REKAP[[#This Row],[Selisih]]&lt;=-1,REKAP[[#This Row],[Harga Satuan]]*REKAP[[#This Row],[Selisih]],0)</f>
        <v>0</v>
      </c>
    </row>
    <row r="1817" spans="1:20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>
        <f>IF(REKAP[[#This Row],[Stok Aktual]]&lt;&gt;"",REKAP[[#This Row],[Stok Aktual]]-REKAP[[#This Row],[Stok Akhir]],0)</f>
        <v>0</v>
      </c>
      <c r="S1817" s="132"/>
      <c r="T1817" s="137">
        <f>IF(REKAP[[#This Row],[Selisih]]&lt;=-1,REKAP[[#This Row],[Harga Satuan]]*REKAP[[#This Row],[Selisih]],0)</f>
        <v>0</v>
      </c>
    </row>
    <row r="1818" spans="1:20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>
        <f>IF(REKAP[[#This Row],[Stok Aktual]]&lt;&gt;"",REKAP[[#This Row],[Stok Aktual]]-REKAP[[#This Row],[Stok Akhir]],0)</f>
        <v>0</v>
      </c>
      <c r="S1818" s="132"/>
      <c r="T1818" s="137">
        <f>IF(REKAP[[#This Row],[Selisih]]&lt;=-1,REKAP[[#This Row],[Harga Satuan]]*REKAP[[#This Row],[Selisih]],0)</f>
        <v>0</v>
      </c>
    </row>
    <row r="1819" spans="1:20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>
        <f>IF(REKAP[[#This Row],[Stok Aktual]]&lt;&gt;"",REKAP[[#This Row],[Stok Aktual]]-REKAP[[#This Row],[Stok Akhir]],0)</f>
        <v>0</v>
      </c>
      <c r="S1819" s="132"/>
      <c r="T1819" s="137">
        <f>IF(REKAP[[#This Row],[Selisih]]&lt;=-1,REKAP[[#This Row],[Harga Satuan]]*REKAP[[#This Row],[Selisih]],0)</f>
        <v>0</v>
      </c>
    </row>
    <row r="1820" spans="1:20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>
        <f>IF(REKAP[[#This Row],[Stok Aktual]]&lt;&gt;"",REKAP[[#This Row],[Stok Aktual]]-REKAP[[#This Row],[Stok Akhir]],0)</f>
        <v>0</v>
      </c>
      <c r="S1820" s="132"/>
      <c r="T1820" s="137">
        <f>IF(REKAP[[#This Row],[Selisih]]&lt;=-1,REKAP[[#This Row],[Harga Satuan]]*REKAP[[#This Row],[Selisih]],0)</f>
        <v>0</v>
      </c>
    </row>
    <row r="1821" spans="1:20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>
        <f>IF(REKAP[[#This Row],[Stok Aktual]]&lt;&gt;"",REKAP[[#This Row],[Stok Aktual]]-REKAP[[#This Row],[Stok Akhir]],0)</f>
        <v>0</v>
      </c>
      <c r="S1821" s="132"/>
      <c r="T1821" s="137">
        <f>IF(REKAP[[#This Row],[Selisih]]&lt;=-1,REKAP[[#This Row],[Harga Satuan]]*REKAP[[#This Row],[Selisih]],0)</f>
        <v>0</v>
      </c>
    </row>
    <row r="1822" spans="1:20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>
        <f>IF(REKAP[[#This Row],[Stok Aktual]]&lt;&gt;"",REKAP[[#This Row],[Stok Aktual]]-REKAP[[#This Row],[Stok Akhir]],0)</f>
        <v>0</v>
      </c>
      <c r="S1822" s="132"/>
      <c r="T1822" s="137">
        <f>IF(REKAP[[#This Row],[Selisih]]&lt;=-1,REKAP[[#This Row],[Harga Satuan]]*REKAP[[#This Row],[Selisih]],0)</f>
        <v>0</v>
      </c>
    </row>
    <row r="1823" spans="1:20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>
        <f>IF(REKAP[[#This Row],[Stok Aktual]]&lt;&gt;"",REKAP[[#This Row],[Stok Aktual]]-REKAP[[#This Row],[Stok Akhir]],0)</f>
        <v>0</v>
      </c>
      <c r="S1823" s="132"/>
      <c r="T1823" s="137">
        <f>IF(REKAP[[#This Row],[Selisih]]&lt;=-1,REKAP[[#This Row],[Harga Satuan]]*REKAP[[#This Row],[Selisih]],0)</f>
        <v>0</v>
      </c>
    </row>
    <row r="1824" spans="1:20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>
        <f>IF(REKAP[[#This Row],[Stok Aktual]]&lt;&gt;"",REKAP[[#This Row],[Stok Aktual]]-REKAP[[#This Row],[Stok Akhir]],0)</f>
        <v>0</v>
      </c>
      <c r="S1824" s="132"/>
      <c r="T1824" s="137">
        <f>IF(REKAP[[#This Row],[Selisih]]&lt;=-1,REKAP[[#This Row],[Harga Satuan]]*REKAP[[#This Row],[Selisih]],0)</f>
        <v>0</v>
      </c>
    </row>
    <row r="1825" spans="1:20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>
        <f>IF(REKAP[[#This Row],[Stok Aktual]]&lt;&gt;"",REKAP[[#This Row],[Stok Aktual]]-REKAP[[#This Row],[Stok Akhir]],0)</f>
        <v>0</v>
      </c>
      <c r="S1825" s="132"/>
      <c r="T1825" s="137">
        <f>IF(REKAP[[#This Row],[Selisih]]&lt;=-1,REKAP[[#This Row],[Harga Satuan]]*REKAP[[#This Row],[Selisih]],0)</f>
        <v>0</v>
      </c>
    </row>
    <row r="1826" spans="1:20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>
        <f>IF(REKAP[[#This Row],[Stok Aktual]]&lt;&gt;"",REKAP[[#This Row],[Stok Aktual]]-REKAP[[#This Row],[Stok Akhir]],0)</f>
        <v>0</v>
      </c>
      <c r="S1826" s="132"/>
      <c r="T1826" s="137">
        <f>IF(REKAP[[#This Row],[Selisih]]&lt;=-1,REKAP[[#This Row],[Harga Satuan]]*REKAP[[#This Row],[Selisih]],0)</f>
        <v>0</v>
      </c>
    </row>
    <row r="1827" spans="1:20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>
        <f>IF(REKAP[[#This Row],[Stok Aktual]]&lt;&gt;"",REKAP[[#This Row],[Stok Aktual]]-REKAP[[#This Row],[Stok Akhir]],0)</f>
        <v>0</v>
      </c>
      <c r="S1827" s="132"/>
      <c r="T1827" s="137">
        <f>IF(REKAP[[#This Row],[Selisih]]&lt;=-1,REKAP[[#This Row],[Harga Satuan]]*REKAP[[#This Row],[Selisih]],0)</f>
        <v>0</v>
      </c>
    </row>
    <row r="1828" spans="1:20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>
        <f>IF(REKAP[[#This Row],[Stok Aktual]]&lt;&gt;"",REKAP[[#This Row],[Stok Aktual]]-REKAP[[#This Row],[Stok Akhir]],0)</f>
        <v>0</v>
      </c>
      <c r="S1828" s="132"/>
      <c r="T1828" s="137">
        <f>IF(REKAP[[#This Row],[Selisih]]&lt;=-1,REKAP[[#This Row],[Harga Satuan]]*REKAP[[#This Row],[Selisih]],0)</f>
        <v>0</v>
      </c>
    </row>
    <row r="1829" spans="1:20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>
        <f>IF(REKAP[[#This Row],[Stok Aktual]]&lt;&gt;"",REKAP[[#This Row],[Stok Aktual]]-REKAP[[#This Row],[Stok Akhir]],0)</f>
        <v>0</v>
      </c>
      <c r="S1829" s="132"/>
      <c r="T1829" s="137">
        <f>IF(REKAP[[#This Row],[Selisih]]&lt;=-1,REKAP[[#This Row],[Harga Satuan]]*REKAP[[#This Row],[Selisih]],0)</f>
        <v>0</v>
      </c>
    </row>
    <row r="1830" spans="1:20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>
        <f>IF(REKAP[[#This Row],[Stok Aktual]]&lt;&gt;"",REKAP[[#This Row],[Stok Aktual]]-REKAP[[#This Row],[Stok Akhir]],0)</f>
        <v>0</v>
      </c>
      <c r="S1830" s="132"/>
      <c r="T1830" s="137">
        <f>IF(REKAP[[#This Row],[Selisih]]&lt;=-1,REKAP[[#This Row],[Harga Satuan]]*REKAP[[#This Row],[Selisih]],0)</f>
        <v>0</v>
      </c>
    </row>
    <row r="1831" spans="1:20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>
        <f>IF(REKAP[[#This Row],[Stok Aktual]]&lt;&gt;"",REKAP[[#This Row],[Stok Aktual]]-REKAP[[#This Row],[Stok Akhir]],0)</f>
        <v>0</v>
      </c>
      <c r="S1831" s="132"/>
      <c r="T1831" s="137">
        <f>IF(REKAP[[#This Row],[Selisih]]&lt;=-1,REKAP[[#This Row],[Harga Satuan]]*REKAP[[#This Row],[Selisih]],0)</f>
        <v>0</v>
      </c>
    </row>
    <row r="1832" spans="1:20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>
        <f>IF(REKAP[[#This Row],[Stok Aktual]]&lt;&gt;"",REKAP[[#This Row],[Stok Aktual]]-REKAP[[#This Row],[Stok Akhir]],0)</f>
        <v>0</v>
      </c>
      <c r="S1832" s="132"/>
      <c r="T1832" s="137">
        <f>IF(REKAP[[#This Row],[Selisih]]&lt;=-1,REKAP[[#This Row],[Harga Satuan]]*REKAP[[#This Row],[Selisih]],0)</f>
        <v>0</v>
      </c>
    </row>
    <row r="1833" spans="1:20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>
        <f>IF(REKAP[[#This Row],[Stok Aktual]]&lt;&gt;"",REKAP[[#This Row],[Stok Aktual]]-REKAP[[#This Row],[Stok Akhir]],0)</f>
        <v>0</v>
      </c>
      <c r="S1833" s="132"/>
      <c r="T1833" s="137">
        <f>IF(REKAP[[#This Row],[Selisih]]&lt;=-1,REKAP[[#This Row],[Harga Satuan]]*REKAP[[#This Row],[Selisih]],0)</f>
        <v>0</v>
      </c>
    </row>
    <row r="1834" spans="1:20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>
        <f>IF(REKAP[[#This Row],[Stok Aktual]]&lt;&gt;"",REKAP[[#This Row],[Stok Aktual]]-REKAP[[#This Row],[Stok Akhir]],0)</f>
        <v>0</v>
      </c>
      <c r="S1834" s="132"/>
      <c r="T1834" s="137">
        <f>IF(REKAP[[#This Row],[Selisih]]&lt;=-1,REKAP[[#This Row],[Harga Satuan]]*REKAP[[#This Row],[Selisih]],0)</f>
        <v>0</v>
      </c>
    </row>
    <row r="1835" spans="1:20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>
        <f>IF(REKAP[[#This Row],[Stok Aktual]]&lt;&gt;"",REKAP[[#This Row],[Stok Aktual]]-REKAP[[#This Row],[Stok Akhir]],0)</f>
        <v>0</v>
      </c>
      <c r="S1835" s="132"/>
      <c r="T1835" s="137">
        <f>IF(REKAP[[#This Row],[Selisih]]&lt;=-1,REKAP[[#This Row],[Harga Satuan]]*REKAP[[#This Row],[Selisih]],0)</f>
        <v>0</v>
      </c>
    </row>
    <row r="1836" spans="1:20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>
        <f>IF(REKAP[[#This Row],[Stok Aktual]]&lt;&gt;"",REKAP[[#This Row],[Stok Aktual]]-REKAP[[#This Row],[Stok Akhir]],0)</f>
        <v>0</v>
      </c>
      <c r="S1836" s="132"/>
      <c r="T1836" s="137">
        <f>IF(REKAP[[#This Row],[Selisih]]&lt;=-1,REKAP[[#This Row],[Harga Satuan]]*REKAP[[#This Row],[Selisih]],0)</f>
        <v>0</v>
      </c>
    </row>
    <row r="1837" spans="1:20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>
        <f>IF(REKAP[[#This Row],[Stok Aktual]]&lt;&gt;"",REKAP[[#This Row],[Stok Aktual]]-REKAP[[#This Row],[Stok Akhir]],0)</f>
        <v>0</v>
      </c>
      <c r="S1837" s="132"/>
      <c r="T1837" s="137">
        <f>IF(REKAP[[#This Row],[Selisih]]&lt;=-1,REKAP[[#This Row],[Harga Satuan]]*REKAP[[#This Row],[Selisih]],0)</f>
        <v>0</v>
      </c>
    </row>
    <row r="1838" spans="1:20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>
        <f>IF(REKAP[[#This Row],[Stok Aktual]]&lt;&gt;"",REKAP[[#This Row],[Stok Aktual]]-REKAP[[#This Row],[Stok Akhir]],0)</f>
        <v>0</v>
      </c>
      <c r="S1838" s="132"/>
      <c r="T1838" s="137">
        <f>IF(REKAP[[#This Row],[Selisih]]&lt;=-1,REKAP[[#This Row],[Harga Satuan]]*REKAP[[#This Row],[Selisih]],0)</f>
        <v>0</v>
      </c>
    </row>
    <row r="1839" spans="1:20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>
        <f>IF(REKAP[[#This Row],[Stok Aktual]]&lt;&gt;"",REKAP[[#This Row],[Stok Aktual]]-REKAP[[#This Row],[Stok Akhir]],0)</f>
        <v>0</v>
      </c>
      <c r="S1839" s="132"/>
      <c r="T1839" s="137">
        <f>IF(REKAP[[#This Row],[Selisih]]&lt;=-1,REKAP[[#This Row],[Harga Satuan]]*REKAP[[#This Row],[Selisih]],0)</f>
        <v>0</v>
      </c>
    </row>
    <row r="1840" spans="1:20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>
        <f>IF(REKAP[[#This Row],[Stok Aktual]]&lt;&gt;"",REKAP[[#This Row],[Stok Aktual]]-REKAP[[#This Row],[Stok Akhir]],0)</f>
        <v>0</v>
      </c>
      <c r="S1840" s="132"/>
      <c r="T1840" s="137">
        <f>IF(REKAP[[#This Row],[Selisih]]&lt;=-1,REKAP[[#This Row],[Harga Satuan]]*REKAP[[#This Row],[Selisih]],0)</f>
        <v>0</v>
      </c>
    </row>
    <row r="1841" spans="1:20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>
        <f>IF(REKAP[[#This Row],[Stok Aktual]]&lt;&gt;"",REKAP[[#This Row],[Stok Aktual]]-REKAP[[#This Row],[Stok Akhir]],0)</f>
        <v>0</v>
      </c>
      <c r="S1841" s="132"/>
      <c r="T1841" s="137">
        <f>IF(REKAP[[#This Row],[Selisih]]&lt;=-1,REKAP[[#This Row],[Harga Satuan]]*REKAP[[#This Row],[Selisih]],0)</f>
        <v>0</v>
      </c>
    </row>
    <row r="1842" spans="1:20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>
        <f>IF(REKAP[[#This Row],[Stok Aktual]]&lt;&gt;"",REKAP[[#This Row],[Stok Aktual]]-REKAP[[#This Row],[Stok Akhir]],0)</f>
        <v>0</v>
      </c>
      <c r="S1842" s="132"/>
      <c r="T1842" s="137">
        <f>IF(REKAP[[#This Row],[Selisih]]&lt;=-1,REKAP[[#This Row],[Harga Satuan]]*REKAP[[#This Row],[Selisih]],0)</f>
        <v>0</v>
      </c>
    </row>
    <row r="1843" spans="1:20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>
        <f>IF(REKAP[[#This Row],[Stok Aktual]]&lt;&gt;"",REKAP[[#This Row],[Stok Aktual]]-REKAP[[#This Row],[Stok Akhir]],0)</f>
        <v>0</v>
      </c>
      <c r="S1843" s="132"/>
      <c r="T1843" s="137">
        <f>IF(REKAP[[#This Row],[Selisih]]&lt;=-1,REKAP[[#This Row],[Harga Satuan]]*REKAP[[#This Row],[Selisih]],0)</f>
        <v>0</v>
      </c>
    </row>
    <row r="1844" spans="1:20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>
        <f>IF(REKAP[[#This Row],[Stok Aktual]]&lt;&gt;"",REKAP[[#This Row],[Stok Aktual]]-REKAP[[#This Row],[Stok Akhir]],0)</f>
        <v>0</v>
      </c>
      <c r="S1844" s="132"/>
      <c r="T1844" s="137">
        <f>IF(REKAP[[#This Row],[Selisih]]&lt;=-1,REKAP[[#This Row],[Harga Satuan]]*REKAP[[#This Row],[Selisih]],0)</f>
        <v>0</v>
      </c>
    </row>
    <row r="1845" spans="1:20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>
        <f>IF(REKAP[[#This Row],[Stok Aktual]]&lt;&gt;"",REKAP[[#This Row],[Stok Aktual]]-REKAP[[#This Row],[Stok Akhir]],0)</f>
        <v>0</v>
      </c>
      <c r="S1845" s="132"/>
      <c r="T1845" s="137">
        <f>IF(REKAP[[#This Row],[Selisih]]&lt;=-1,REKAP[[#This Row],[Harga Satuan]]*REKAP[[#This Row],[Selisih]],0)</f>
        <v>0</v>
      </c>
    </row>
    <row r="1846" spans="1:20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>
        <f>IF(REKAP[[#This Row],[Stok Aktual]]&lt;&gt;"",REKAP[[#This Row],[Stok Aktual]]-REKAP[[#This Row],[Stok Akhir]],0)</f>
        <v>0</v>
      </c>
      <c r="S1846" s="132"/>
      <c r="T1846" s="137">
        <f>IF(REKAP[[#This Row],[Selisih]]&lt;=-1,REKAP[[#This Row],[Harga Satuan]]*REKAP[[#This Row],[Selisih]],0)</f>
        <v>0</v>
      </c>
    </row>
    <row r="1847" spans="1:20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>
        <f>IF(REKAP[[#This Row],[Stok Aktual]]&lt;&gt;"",REKAP[[#This Row],[Stok Aktual]]-REKAP[[#This Row],[Stok Akhir]],0)</f>
        <v>0</v>
      </c>
      <c r="S1847" s="132"/>
      <c r="T1847" s="137">
        <f>IF(REKAP[[#This Row],[Selisih]]&lt;=-1,REKAP[[#This Row],[Harga Satuan]]*REKAP[[#This Row],[Selisih]],0)</f>
        <v>0</v>
      </c>
    </row>
    <row r="1848" spans="1:20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>
        <f>IF(REKAP[[#This Row],[Stok Aktual]]&lt;&gt;"",REKAP[[#This Row],[Stok Aktual]]-REKAP[[#This Row],[Stok Akhir]],0)</f>
        <v>0</v>
      </c>
      <c r="S1848" s="132"/>
      <c r="T1848" s="137">
        <f>IF(REKAP[[#This Row],[Selisih]]&lt;=-1,REKAP[[#This Row],[Harga Satuan]]*REKAP[[#This Row],[Selisih]],0)</f>
        <v>0</v>
      </c>
    </row>
    <row r="1849" spans="1:20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>
        <f>IF(REKAP[[#This Row],[Stok Aktual]]&lt;&gt;"",REKAP[[#This Row],[Stok Aktual]]-REKAP[[#This Row],[Stok Akhir]],0)</f>
        <v>0</v>
      </c>
      <c r="S1849" s="132"/>
      <c r="T1849" s="137">
        <f>IF(REKAP[[#This Row],[Selisih]]&lt;=-1,REKAP[[#This Row],[Harga Satuan]]*REKAP[[#This Row],[Selisih]],0)</f>
        <v>0</v>
      </c>
    </row>
    <row r="1850" spans="1:20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>
        <f>IF(REKAP[[#This Row],[Stok Aktual]]&lt;&gt;"",REKAP[[#This Row],[Stok Aktual]]-REKAP[[#This Row],[Stok Akhir]],0)</f>
        <v>0</v>
      </c>
      <c r="S1850" s="132"/>
      <c r="T1850" s="137">
        <f>IF(REKAP[[#This Row],[Selisih]]&lt;=-1,REKAP[[#This Row],[Harga Satuan]]*REKAP[[#This Row],[Selisih]],0)</f>
        <v>0</v>
      </c>
    </row>
    <row r="1851" spans="1:20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>
        <f>IF(REKAP[[#This Row],[Stok Aktual]]&lt;&gt;"",REKAP[[#This Row],[Stok Aktual]]-REKAP[[#This Row],[Stok Akhir]],0)</f>
        <v>0</v>
      </c>
      <c r="S1851" s="132"/>
      <c r="T1851" s="137">
        <f>IF(REKAP[[#This Row],[Selisih]]&lt;=-1,REKAP[[#This Row],[Harga Satuan]]*REKAP[[#This Row],[Selisih]],0)</f>
        <v>0</v>
      </c>
    </row>
    <row r="1852" spans="1:20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>
        <f>IF(REKAP[[#This Row],[Stok Aktual]]&lt;&gt;"",REKAP[[#This Row],[Stok Aktual]]-REKAP[[#This Row],[Stok Akhir]],0)</f>
        <v>0</v>
      </c>
      <c r="S1852" s="132"/>
      <c r="T1852" s="137">
        <f>IF(REKAP[[#This Row],[Selisih]]&lt;=-1,REKAP[[#This Row],[Harga Satuan]]*REKAP[[#This Row],[Selisih]],0)</f>
        <v>0</v>
      </c>
    </row>
    <row r="1853" spans="1:20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>
        <f>IF(REKAP[[#This Row],[Stok Aktual]]&lt;&gt;"",REKAP[[#This Row],[Stok Aktual]]-REKAP[[#This Row],[Stok Akhir]],0)</f>
        <v>0</v>
      </c>
      <c r="S1853" s="132"/>
      <c r="T1853" s="137">
        <f>IF(REKAP[[#This Row],[Selisih]]&lt;=-1,REKAP[[#This Row],[Harga Satuan]]*REKAP[[#This Row],[Selisih]],0)</f>
        <v>0</v>
      </c>
    </row>
    <row r="1854" spans="1:20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>
        <f>IF(REKAP[[#This Row],[Stok Aktual]]&lt;&gt;"",REKAP[[#This Row],[Stok Aktual]]-REKAP[[#This Row],[Stok Akhir]],0)</f>
        <v>0</v>
      </c>
      <c r="S1854" s="132"/>
      <c r="T1854" s="137">
        <f>IF(REKAP[[#This Row],[Selisih]]&lt;=-1,REKAP[[#This Row],[Harga Satuan]]*REKAP[[#This Row],[Selisih]],0)</f>
        <v>0</v>
      </c>
    </row>
    <row r="1855" spans="1:20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>
        <f>IF(REKAP[[#This Row],[Stok Aktual]]&lt;&gt;"",REKAP[[#This Row],[Stok Aktual]]-REKAP[[#This Row],[Stok Akhir]],0)</f>
        <v>0</v>
      </c>
      <c r="S1855" s="132"/>
      <c r="T1855" s="137">
        <f>IF(REKAP[[#This Row],[Selisih]]&lt;=-1,REKAP[[#This Row],[Harga Satuan]]*REKAP[[#This Row],[Selisih]],0)</f>
        <v>0</v>
      </c>
    </row>
    <row r="1856" spans="1:20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>
        <f>IF(REKAP[[#This Row],[Stok Aktual]]&lt;&gt;"",REKAP[[#This Row],[Stok Aktual]]-REKAP[[#This Row],[Stok Akhir]],0)</f>
        <v>0</v>
      </c>
      <c r="S1856" s="132"/>
      <c r="T1856" s="137">
        <f>IF(REKAP[[#This Row],[Selisih]]&lt;=-1,REKAP[[#This Row],[Harga Satuan]]*REKAP[[#This Row],[Selisih]],0)</f>
        <v>0</v>
      </c>
    </row>
    <row r="1857" spans="1:20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>
        <f>IF(REKAP[[#This Row],[Stok Aktual]]&lt;&gt;"",REKAP[[#This Row],[Stok Aktual]]-REKAP[[#This Row],[Stok Akhir]],0)</f>
        <v>0</v>
      </c>
      <c r="S1857" s="132"/>
      <c r="T1857" s="137">
        <f>IF(REKAP[[#This Row],[Selisih]]&lt;=-1,REKAP[[#This Row],[Harga Satuan]]*REKAP[[#This Row],[Selisih]],0)</f>
        <v>0</v>
      </c>
    </row>
    <row r="1858" spans="1:20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>
        <f>IF(REKAP[[#This Row],[Stok Aktual]]&lt;&gt;"",REKAP[[#This Row],[Stok Aktual]]-REKAP[[#This Row],[Stok Akhir]],0)</f>
        <v>0</v>
      </c>
      <c r="S1858" s="132"/>
      <c r="T1858" s="137">
        <f>IF(REKAP[[#This Row],[Selisih]]&lt;=-1,REKAP[[#This Row],[Harga Satuan]]*REKAP[[#This Row],[Selisih]],0)</f>
        <v>0</v>
      </c>
    </row>
    <row r="1859" spans="1:20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>
        <f>IF(REKAP[[#This Row],[Stok Aktual]]&lt;&gt;"",REKAP[[#This Row],[Stok Aktual]]-REKAP[[#This Row],[Stok Akhir]],0)</f>
        <v>0</v>
      </c>
      <c r="S1859" s="132"/>
      <c r="T1859" s="137">
        <f>IF(REKAP[[#This Row],[Selisih]]&lt;=-1,REKAP[[#This Row],[Harga Satuan]]*REKAP[[#This Row],[Selisih]],0)</f>
        <v>0</v>
      </c>
    </row>
    <row r="1860" spans="1:20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>
        <f>IF(REKAP[[#This Row],[Stok Aktual]]&lt;&gt;"",REKAP[[#This Row],[Stok Aktual]]-REKAP[[#This Row],[Stok Akhir]],0)</f>
        <v>0</v>
      </c>
      <c r="S1860" s="132"/>
      <c r="T1860" s="137">
        <f>IF(REKAP[[#This Row],[Selisih]]&lt;=-1,REKAP[[#This Row],[Harga Satuan]]*REKAP[[#This Row],[Selisih]],0)</f>
        <v>0</v>
      </c>
    </row>
    <row r="1861" spans="1:20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>
        <f>IF(REKAP[[#This Row],[Stok Aktual]]&lt;&gt;"",REKAP[[#This Row],[Stok Aktual]]-REKAP[[#This Row],[Stok Akhir]],0)</f>
        <v>0</v>
      </c>
      <c r="S1861" s="132"/>
      <c r="T1861" s="137">
        <f>IF(REKAP[[#This Row],[Selisih]]&lt;=-1,REKAP[[#This Row],[Harga Satuan]]*REKAP[[#This Row],[Selisih]],0)</f>
        <v>0</v>
      </c>
    </row>
    <row r="1862" spans="1:20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>
        <f>IF(REKAP[[#This Row],[Stok Aktual]]&lt;&gt;"",REKAP[[#This Row],[Stok Aktual]]-REKAP[[#This Row],[Stok Akhir]],0)</f>
        <v>0</v>
      </c>
      <c r="S1862" s="132"/>
      <c r="T1862" s="137">
        <f>IF(REKAP[[#This Row],[Selisih]]&lt;=-1,REKAP[[#This Row],[Harga Satuan]]*REKAP[[#This Row],[Selisih]],0)</f>
        <v>0</v>
      </c>
    </row>
    <row r="1863" spans="1:20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>
        <f>IF(REKAP[[#This Row],[Stok Aktual]]&lt;&gt;"",REKAP[[#This Row],[Stok Aktual]]-REKAP[[#This Row],[Stok Akhir]],0)</f>
        <v>0</v>
      </c>
      <c r="S1863" s="132"/>
      <c r="T1863" s="137">
        <f>IF(REKAP[[#This Row],[Selisih]]&lt;=-1,REKAP[[#This Row],[Harga Satuan]]*REKAP[[#This Row],[Selisih]],0)</f>
        <v>0</v>
      </c>
    </row>
    <row r="1864" spans="1:20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>
        <f>IF(REKAP[[#This Row],[Stok Aktual]]&lt;&gt;"",REKAP[[#This Row],[Stok Aktual]]-REKAP[[#This Row],[Stok Akhir]],0)</f>
        <v>0</v>
      </c>
      <c r="S1864" s="132"/>
      <c r="T1864" s="137">
        <f>IF(REKAP[[#This Row],[Selisih]]&lt;=-1,REKAP[[#This Row],[Harga Satuan]]*REKAP[[#This Row],[Selisih]],0)</f>
        <v>0</v>
      </c>
    </row>
    <row r="1865" spans="1:20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>
        <f>IF(REKAP[[#This Row],[Stok Aktual]]&lt;&gt;"",REKAP[[#This Row],[Stok Aktual]]-REKAP[[#This Row],[Stok Akhir]],0)</f>
        <v>0</v>
      </c>
      <c r="S1865" s="132"/>
      <c r="T1865" s="137">
        <f>IF(REKAP[[#This Row],[Selisih]]&lt;=-1,REKAP[[#This Row],[Harga Satuan]]*REKAP[[#This Row],[Selisih]],0)</f>
        <v>0</v>
      </c>
    </row>
    <row r="1866" spans="1:20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>
        <f>IF(REKAP[[#This Row],[Stok Aktual]]&lt;&gt;"",REKAP[[#This Row],[Stok Aktual]]-REKAP[[#This Row],[Stok Akhir]],0)</f>
        <v>0</v>
      </c>
      <c r="S1866" s="132"/>
      <c r="T1866" s="137">
        <f>IF(REKAP[[#This Row],[Selisih]]&lt;=-1,REKAP[[#This Row],[Harga Satuan]]*REKAP[[#This Row],[Selisih]],0)</f>
        <v>0</v>
      </c>
    </row>
    <row r="1867" spans="1:20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>
        <f>IF(REKAP[[#This Row],[Stok Aktual]]&lt;&gt;"",REKAP[[#This Row],[Stok Aktual]]-REKAP[[#This Row],[Stok Akhir]],0)</f>
        <v>0</v>
      </c>
      <c r="S1867" s="132"/>
      <c r="T1867" s="137">
        <f>IF(REKAP[[#This Row],[Selisih]]&lt;=-1,REKAP[[#This Row],[Harga Satuan]]*REKAP[[#This Row],[Selisih]],0)</f>
        <v>0</v>
      </c>
    </row>
    <row r="1868" spans="1:20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>
        <f>IF(REKAP[[#This Row],[Stok Aktual]]&lt;&gt;"",REKAP[[#This Row],[Stok Aktual]]-REKAP[[#This Row],[Stok Akhir]],0)</f>
        <v>0</v>
      </c>
      <c r="S1868" s="132"/>
      <c r="T1868" s="137">
        <f>IF(REKAP[[#This Row],[Selisih]]&lt;=-1,REKAP[[#This Row],[Harga Satuan]]*REKAP[[#This Row],[Selisih]],0)</f>
        <v>0</v>
      </c>
    </row>
    <row r="1869" spans="1:20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>
        <f>IF(REKAP[[#This Row],[Stok Aktual]]&lt;&gt;"",REKAP[[#This Row],[Stok Aktual]]-REKAP[[#This Row],[Stok Akhir]],0)</f>
        <v>0</v>
      </c>
      <c r="S1869" s="132"/>
      <c r="T1869" s="137">
        <f>IF(REKAP[[#This Row],[Selisih]]&lt;=-1,REKAP[[#This Row],[Harga Satuan]]*REKAP[[#This Row],[Selisih]],0)</f>
        <v>0</v>
      </c>
    </row>
    <row r="1870" spans="1:20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>
        <f>IF(REKAP[[#This Row],[Stok Aktual]]&lt;&gt;"",REKAP[[#This Row],[Stok Aktual]]-REKAP[[#This Row],[Stok Akhir]],0)</f>
        <v>0</v>
      </c>
      <c r="S1870" s="132"/>
      <c r="T1870" s="137">
        <f>IF(REKAP[[#This Row],[Selisih]]&lt;=-1,REKAP[[#This Row],[Harga Satuan]]*REKAP[[#This Row],[Selisih]],0)</f>
        <v>0</v>
      </c>
    </row>
    <row r="1871" spans="1:20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>
        <f>IF(REKAP[[#This Row],[Stok Aktual]]&lt;&gt;"",REKAP[[#This Row],[Stok Aktual]]-REKAP[[#This Row],[Stok Akhir]],0)</f>
        <v>0</v>
      </c>
      <c r="S1871" s="132"/>
      <c r="T1871" s="137">
        <f>IF(REKAP[[#This Row],[Selisih]]&lt;=-1,REKAP[[#This Row],[Harga Satuan]]*REKAP[[#This Row],[Selisih]],0)</f>
        <v>0</v>
      </c>
    </row>
    <row r="1872" spans="1:20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>
        <f>IF(REKAP[[#This Row],[Stok Aktual]]&lt;&gt;"",REKAP[[#This Row],[Stok Aktual]]-REKAP[[#This Row],[Stok Akhir]],0)</f>
        <v>0</v>
      </c>
      <c r="S1872" s="132"/>
      <c r="T1872" s="137">
        <f>IF(REKAP[[#This Row],[Selisih]]&lt;=-1,REKAP[[#This Row],[Harga Satuan]]*REKAP[[#This Row],[Selisih]],0)</f>
        <v>0</v>
      </c>
    </row>
    <row r="1873" spans="1:20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>
        <f>IF(REKAP[[#This Row],[Stok Aktual]]&lt;&gt;"",REKAP[[#This Row],[Stok Aktual]]-REKAP[[#This Row],[Stok Akhir]],0)</f>
        <v>0</v>
      </c>
      <c r="S1873" s="132"/>
      <c r="T1873" s="137">
        <f>IF(REKAP[[#This Row],[Selisih]]&lt;=-1,REKAP[[#This Row],[Harga Satuan]]*REKAP[[#This Row],[Selisih]],0)</f>
        <v>0</v>
      </c>
    </row>
    <row r="1874" spans="1:20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>
        <f>IF(REKAP[[#This Row],[Stok Aktual]]&lt;&gt;"",REKAP[[#This Row],[Stok Aktual]]-REKAP[[#This Row],[Stok Akhir]],0)</f>
        <v>0</v>
      </c>
      <c r="S1874" s="132"/>
      <c r="T1874" s="137">
        <f>IF(REKAP[[#This Row],[Selisih]]&lt;=-1,REKAP[[#This Row],[Harga Satuan]]*REKAP[[#This Row],[Selisih]],0)</f>
        <v>0</v>
      </c>
    </row>
    <row r="1875" spans="1:20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>
        <f>IF(REKAP[[#This Row],[Stok Aktual]]&lt;&gt;"",REKAP[[#This Row],[Stok Aktual]]-REKAP[[#This Row],[Stok Akhir]],0)</f>
        <v>0</v>
      </c>
      <c r="S1875" s="132"/>
      <c r="T1875" s="137">
        <f>IF(REKAP[[#This Row],[Selisih]]&lt;=-1,REKAP[[#This Row],[Harga Satuan]]*REKAP[[#This Row],[Selisih]],0)</f>
        <v>0</v>
      </c>
    </row>
    <row r="1876" spans="1:20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>
        <f>IF(REKAP[[#This Row],[Stok Aktual]]&lt;&gt;"",REKAP[[#This Row],[Stok Aktual]]-REKAP[[#This Row],[Stok Akhir]],0)</f>
        <v>0</v>
      </c>
      <c r="S1876" s="132"/>
      <c r="T1876" s="137">
        <f>IF(REKAP[[#This Row],[Selisih]]&lt;=-1,REKAP[[#This Row],[Harga Satuan]]*REKAP[[#This Row],[Selisih]],0)</f>
        <v>0</v>
      </c>
    </row>
    <row r="1877" spans="1:20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>
        <f>IF(REKAP[[#This Row],[Stok Aktual]]&lt;&gt;"",REKAP[[#This Row],[Stok Aktual]]-REKAP[[#This Row],[Stok Akhir]],0)</f>
        <v>0</v>
      </c>
      <c r="S1877" s="132"/>
      <c r="T1877" s="137">
        <f>IF(REKAP[[#This Row],[Selisih]]&lt;=-1,REKAP[[#This Row],[Harga Satuan]]*REKAP[[#This Row],[Selisih]],0)</f>
        <v>0</v>
      </c>
    </row>
    <row r="1878" spans="1:20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>
        <f>IF(REKAP[[#This Row],[Stok Aktual]]&lt;&gt;"",REKAP[[#This Row],[Stok Aktual]]-REKAP[[#This Row],[Stok Akhir]],0)</f>
        <v>0</v>
      </c>
      <c r="S1878" s="132"/>
      <c r="T1878" s="137">
        <f>IF(REKAP[[#This Row],[Selisih]]&lt;=-1,REKAP[[#This Row],[Harga Satuan]]*REKAP[[#This Row],[Selisih]],0)</f>
        <v>0</v>
      </c>
    </row>
    <row r="1879" spans="1:20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>
        <f>IF(REKAP[[#This Row],[Stok Aktual]]&lt;&gt;"",REKAP[[#This Row],[Stok Aktual]]-REKAP[[#This Row],[Stok Akhir]],0)</f>
        <v>0</v>
      </c>
      <c r="S1879" s="132"/>
      <c r="T1879" s="137">
        <f>IF(REKAP[[#This Row],[Selisih]]&lt;=-1,REKAP[[#This Row],[Harga Satuan]]*REKAP[[#This Row],[Selisih]],0)</f>
        <v>0</v>
      </c>
    </row>
    <row r="1880" spans="1:20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>
        <f>IF(REKAP[[#This Row],[Stok Aktual]]&lt;&gt;"",REKAP[[#This Row],[Stok Aktual]]-REKAP[[#This Row],[Stok Akhir]],0)</f>
        <v>0</v>
      </c>
      <c r="S1880" s="132"/>
      <c r="T1880" s="137">
        <f>IF(REKAP[[#This Row],[Selisih]]&lt;=-1,REKAP[[#This Row],[Harga Satuan]]*REKAP[[#This Row],[Selisih]],0)</f>
        <v>0</v>
      </c>
    </row>
    <row r="1881" spans="1:20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>
        <f>IF(REKAP[[#This Row],[Stok Aktual]]&lt;&gt;"",REKAP[[#This Row],[Stok Aktual]]-REKAP[[#This Row],[Stok Akhir]],0)</f>
        <v>0</v>
      </c>
      <c r="S1881" s="132"/>
      <c r="T1881" s="137">
        <f>IF(REKAP[[#This Row],[Selisih]]&lt;=-1,REKAP[[#This Row],[Harga Satuan]]*REKAP[[#This Row],[Selisih]],0)</f>
        <v>0</v>
      </c>
    </row>
    <row r="1882" spans="1:20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>
        <f>IF(REKAP[[#This Row],[Stok Aktual]]&lt;&gt;"",REKAP[[#This Row],[Stok Aktual]]-REKAP[[#This Row],[Stok Akhir]],0)</f>
        <v>0</v>
      </c>
      <c r="S1882" s="132"/>
      <c r="T1882" s="137">
        <f>IF(REKAP[[#This Row],[Selisih]]&lt;=-1,REKAP[[#This Row],[Harga Satuan]]*REKAP[[#This Row],[Selisih]],0)</f>
        <v>0</v>
      </c>
    </row>
    <row r="1883" spans="1:20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>
        <f>IF(REKAP[[#This Row],[Stok Aktual]]&lt;&gt;"",REKAP[[#This Row],[Stok Aktual]]-REKAP[[#This Row],[Stok Akhir]],0)</f>
        <v>0</v>
      </c>
      <c r="S1883" s="132"/>
      <c r="T1883" s="137">
        <f>IF(REKAP[[#This Row],[Selisih]]&lt;=-1,REKAP[[#This Row],[Harga Satuan]]*REKAP[[#This Row],[Selisih]],0)</f>
        <v>0</v>
      </c>
    </row>
    <row r="1884" spans="1:20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>
        <f>IF(REKAP[[#This Row],[Stok Aktual]]&lt;&gt;"",REKAP[[#This Row],[Stok Aktual]]-REKAP[[#This Row],[Stok Akhir]],0)</f>
        <v>0</v>
      </c>
      <c r="S1884" s="132"/>
      <c r="T1884" s="137">
        <f>IF(REKAP[[#This Row],[Selisih]]&lt;=-1,REKAP[[#This Row],[Harga Satuan]]*REKAP[[#This Row],[Selisih]],0)</f>
        <v>0</v>
      </c>
    </row>
    <row r="1885" spans="1:20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>
        <f>IF(REKAP[[#This Row],[Stok Aktual]]&lt;&gt;"",REKAP[[#This Row],[Stok Aktual]]-REKAP[[#This Row],[Stok Akhir]],0)</f>
        <v>0</v>
      </c>
      <c r="S1885" s="132"/>
      <c r="T1885" s="137">
        <f>IF(REKAP[[#This Row],[Selisih]]&lt;=-1,REKAP[[#This Row],[Harga Satuan]]*REKAP[[#This Row],[Selisih]],0)</f>
        <v>0</v>
      </c>
    </row>
    <row r="1886" spans="1:20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>
        <f>IF(REKAP[[#This Row],[Stok Aktual]]&lt;&gt;"",REKAP[[#This Row],[Stok Aktual]]-REKAP[[#This Row],[Stok Akhir]],0)</f>
        <v>0</v>
      </c>
      <c r="S1886" s="132"/>
      <c r="T1886" s="137">
        <f>IF(REKAP[[#This Row],[Selisih]]&lt;=-1,REKAP[[#This Row],[Harga Satuan]]*REKAP[[#This Row],[Selisih]],0)</f>
        <v>0</v>
      </c>
    </row>
    <row r="1887" spans="1:20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>
        <f>IF(REKAP[[#This Row],[Stok Aktual]]&lt;&gt;"",REKAP[[#This Row],[Stok Aktual]]-REKAP[[#This Row],[Stok Akhir]],0)</f>
        <v>0</v>
      </c>
      <c r="S1887" s="132"/>
      <c r="T1887" s="137">
        <f>IF(REKAP[[#This Row],[Selisih]]&lt;=-1,REKAP[[#This Row],[Harga Satuan]]*REKAP[[#This Row],[Selisih]],0)</f>
        <v>0</v>
      </c>
    </row>
    <row r="1888" spans="1:20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>
        <f>IF(REKAP[[#This Row],[Stok Aktual]]&lt;&gt;"",REKAP[[#This Row],[Stok Aktual]]-REKAP[[#This Row],[Stok Akhir]],0)</f>
        <v>0</v>
      </c>
      <c r="S1888" s="132"/>
      <c r="T1888" s="137">
        <f>IF(REKAP[[#This Row],[Selisih]]&lt;=-1,REKAP[[#This Row],[Harga Satuan]]*REKAP[[#This Row],[Selisih]],0)</f>
        <v>0</v>
      </c>
    </row>
    <row r="1889" spans="1:20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>
        <f>IF(REKAP[[#This Row],[Stok Aktual]]&lt;&gt;"",REKAP[[#This Row],[Stok Aktual]]-REKAP[[#This Row],[Stok Akhir]],0)</f>
        <v>0</v>
      </c>
      <c r="S1889" s="132"/>
      <c r="T1889" s="137">
        <f>IF(REKAP[[#This Row],[Selisih]]&lt;=-1,REKAP[[#This Row],[Harga Satuan]]*REKAP[[#This Row],[Selisih]],0)</f>
        <v>0</v>
      </c>
    </row>
    <row r="1890" spans="1:20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>
        <f>IF(REKAP[[#This Row],[Stok Aktual]]&lt;&gt;"",REKAP[[#This Row],[Stok Aktual]]-REKAP[[#This Row],[Stok Akhir]],0)</f>
        <v>0</v>
      </c>
      <c r="S1890" s="132"/>
      <c r="T1890" s="137">
        <f>IF(REKAP[[#This Row],[Selisih]]&lt;=-1,REKAP[[#This Row],[Harga Satuan]]*REKAP[[#This Row],[Selisih]],0)</f>
        <v>0</v>
      </c>
    </row>
    <row r="1891" spans="1:20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>
        <f>IF(REKAP[[#This Row],[Stok Aktual]]&lt;&gt;"",REKAP[[#This Row],[Stok Aktual]]-REKAP[[#This Row],[Stok Akhir]],0)</f>
        <v>0</v>
      </c>
      <c r="S1891" s="132"/>
      <c r="T1891" s="137">
        <f>IF(REKAP[[#This Row],[Selisih]]&lt;=-1,REKAP[[#This Row],[Harga Satuan]]*REKAP[[#This Row],[Selisih]],0)</f>
        <v>0</v>
      </c>
    </row>
    <row r="1892" spans="1:20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>
        <f>IF(REKAP[[#This Row],[Stok Aktual]]&lt;&gt;"",REKAP[[#This Row],[Stok Aktual]]-REKAP[[#This Row],[Stok Akhir]],0)</f>
        <v>0</v>
      </c>
      <c r="S1892" s="132"/>
      <c r="T1892" s="137">
        <f>IF(REKAP[[#This Row],[Selisih]]&lt;=-1,REKAP[[#This Row],[Harga Satuan]]*REKAP[[#This Row],[Selisih]],0)</f>
        <v>0</v>
      </c>
    </row>
    <row r="1893" spans="1:20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>
        <f>IF(REKAP[[#This Row],[Stok Aktual]]&lt;&gt;"",REKAP[[#This Row],[Stok Aktual]]-REKAP[[#This Row],[Stok Akhir]],0)</f>
        <v>0</v>
      </c>
      <c r="S1893" s="132"/>
      <c r="T1893" s="137">
        <f>IF(REKAP[[#This Row],[Selisih]]&lt;=-1,REKAP[[#This Row],[Harga Satuan]]*REKAP[[#This Row],[Selisih]],0)</f>
        <v>0</v>
      </c>
    </row>
    <row r="1894" spans="1:20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>
        <f>IF(REKAP[[#This Row],[Stok Aktual]]&lt;&gt;"",REKAP[[#This Row],[Stok Aktual]]-REKAP[[#This Row],[Stok Akhir]],0)</f>
        <v>0</v>
      </c>
      <c r="S1894" s="132"/>
      <c r="T1894" s="137">
        <f>IF(REKAP[[#This Row],[Selisih]]&lt;=-1,REKAP[[#This Row],[Harga Satuan]]*REKAP[[#This Row],[Selisih]],0)</f>
        <v>0</v>
      </c>
    </row>
    <row r="1895" spans="1:20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>
        <f>IF(REKAP[[#This Row],[Stok Aktual]]&lt;&gt;"",REKAP[[#This Row],[Stok Aktual]]-REKAP[[#This Row],[Stok Akhir]],0)</f>
        <v>0</v>
      </c>
      <c r="S1895" s="132"/>
      <c r="T1895" s="137">
        <f>IF(REKAP[[#This Row],[Selisih]]&lt;=-1,REKAP[[#This Row],[Harga Satuan]]*REKAP[[#This Row],[Selisih]],0)</f>
        <v>0</v>
      </c>
    </row>
    <row r="1896" spans="1:20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>
        <f>IF(REKAP[[#This Row],[Stok Aktual]]&lt;&gt;"",REKAP[[#This Row],[Stok Aktual]]-REKAP[[#This Row],[Stok Akhir]],0)</f>
        <v>0</v>
      </c>
      <c r="S1896" s="132"/>
      <c r="T1896" s="137">
        <f>IF(REKAP[[#This Row],[Selisih]]&lt;=-1,REKAP[[#This Row],[Harga Satuan]]*REKAP[[#This Row],[Selisih]],0)</f>
        <v>0</v>
      </c>
    </row>
    <row r="1897" spans="1:20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>
        <f>IF(REKAP[[#This Row],[Stok Aktual]]&lt;&gt;"",REKAP[[#This Row],[Stok Aktual]]-REKAP[[#This Row],[Stok Akhir]],0)</f>
        <v>0</v>
      </c>
      <c r="S1897" s="132"/>
      <c r="T1897" s="137">
        <f>IF(REKAP[[#This Row],[Selisih]]&lt;=-1,REKAP[[#This Row],[Harga Satuan]]*REKAP[[#This Row],[Selisih]],0)</f>
        <v>0</v>
      </c>
    </row>
    <row r="1898" spans="1:20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>
        <f>IF(REKAP[[#This Row],[Stok Aktual]]&lt;&gt;"",REKAP[[#This Row],[Stok Aktual]]-REKAP[[#This Row],[Stok Akhir]],0)</f>
        <v>0</v>
      </c>
      <c r="S1898" s="132"/>
      <c r="T1898" s="137">
        <f>IF(REKAP[[#This Row],[Selisih]]&lt;=-1,REKAP[[#This Row],[Harga Satuan]]*REKAP[[#This Row],[Selisih]],0)</f>
        <v>0</v>
      </c>
    </row>
    <row r="1899" spans="1:20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>
        <f>IF(REKAP[[#This Row],[Stok Aktual]]&lt;&gt;"",REKAP[[#This Row],[Stok Aktual]]-REKAP[[#This Row],[Stok Akhir]],0)</f>
        <v>0</v>
      </c>
      <c r="S1899" s="132"/>
      <c r="T1899" s="137">
        <f>IF(REKAP[[#This Row],[Selisih]]&lt;=-1,REKAP[[#This Row],[Harga Satuan]]*REKAP[[#This Row],[Selisih]],0)</f>
        <v>0</v>
      </c>
    </row>
    <row r="1900" spans="1:20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>
        <f>IF(REKAP[[#This Row],[Stok Aktual]]&lt;&gt;"",REKAP[[#This Row],[Stok Aktual]]-REKAP[[#This Row],[Stok Akhir]],0)</f>
        <v>0</v>
      </c>
      <c r="S1900" s="132"/>
      <c r="T1900" s="137">
        <f>IF(REKAP[[#This Row],[Selisih]]&lt;=-1,REKAP[[#This Row],[Harga Satuan]]*REKAP[[#This Row],[Selisih]],0)</f>
        <v>0</v>
      </c>
    </row>
    <row r="1901" spans="1:20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>
        <f>IF(REKAP[[#This Row],[Stok Aktual]]&lt;&gt;"",REKAP[[#This Row],[Stok Aktual]]-REKAP[[#This Row],[Stok Akhir]],0)</f>
        <v>0</v>
      </c>
      <c r="S1901" s="132"/>
      <c r="T1901" s="137">
        <f>IF(REKAP[[#This Row],[Selisih]]&lt;=-1,REKAP[[#This Row],[Harga Satuan]]*REKAP[[#This Row],[Selisih]],0)</f>
        <v>0</v>
      </c>
    </row>
    <row r="1902" spans="1:20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>
        <f>IF(REKAP[[#This Row],[Stok Aktual]]&lt;&gt;"",REKAP[[#This Row],[Stok Aktual]]-REKAP[[#This Row],[Stok Akhir]],0)</f>
        <v>0</v>
      </c>
      <c r="S1902" s="132"/>
      <c r="T1902" s="137">
        <f>IF(REKAP[[#This Row],[Selisih]]&lt;=-1,REKAP[[#This Row],[Harga Satuan]]*REKAP[[#This Row],[Selisih]],0)</f>
        <v>0</v>
      </c>
    </row>
    <row r="1903" spans="1:20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>
        <f>IF(REKAP[[#This Row],[Stok Aktual]]&lt;&gt;"",REKAP[[#This Row],[Stok Aktual]]-REKAP[[#This Row],[Stok Akhir]],0)</f>
        <v>0</v>
      </c>
      <c r="S1903" s="132"/>
      <c r="T1903" s="137">
        <f>IF(REKAP[[#This Row],[Selisih]]&lt;=-1,REKAP[[#This Row],[Harga Satuan]]*REKAP[[#This Row],[Selisih]],0)</f>
        <v>0</v>
      </c>
    </row>
    <row r="1904" spans="1:20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>
        <f>IF(REKAP[[#This Row],[Stok Aktual]]&lt;&gt;"",REKAP[[#This Row],[Stok Aktual]]-REKAP[[#This Row],[Stok Akhir]],0)</f>
        <v>0</v>
      </c>
      <c r="S1904" s="132"/>
      <c r="T1904" s="137">
        <f>IF(REKAP[[#This Row],[Selisih]]&lt;=-1,REKAP[[#This Row],[Harga Satuan]]*REKAP[[#This Row],[Selisih]],0)</f>
        <v>0</v>
      </c>
    </row>
    <row r="1905" spans="1:20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>
        <f>IF(REKAP[[#This Row],[Stok Aktual]]&lt;&gt;"",REKAP[[#This Row],[Stok Aktual]]-REKAP[[#This Row],[Stok Akhir]],0)</f>
        <v>0</v>
      </c>
      <c r="S1905" s="132"/>
      <c r="T1905" s="137">
        <f>IF(REKAP[[#This Row],[Selisih]]&lt;=-1,REKAP[[#This Row],[Harga Satuan]]*REKAP[[#This Row],[Selisih]],0)</f>
        <v>0</v>
      </c>
    </row>
    <row r="1906" spans="1:20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>
        <f>IF(REKAP[[#This Row],[Stok Aktual]]&lt;&gt;"",REKAP[[#This Row],[Stok Aktual]]-REKAP[[#This Row],[Stok Akhir]],0)</f>
        <v>0</v>
      </c>
      <c r="S1906" s="132"/>
      <c r="T1906" s="137">
        <f>IF(REKAP[[#This Row],[Selisih]]&lt;=-1,REKAP[[#This Row],[Harga Satuan]]*REKAP[[#This Row],[Selisih]],0)</f>
        <v>0</v>
      </c>
    </row>
    <row r="1907" spans="1:20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>
        <f>IF(REKAP[[#This Row],[Stok Aktual]]&lt;&gt;"",REKAP[[#This Row],[Stok Aktual]]-REKAP[[#This Row],[Stok Akhir]],0)</f>
        <v>0</v>
      </c>
      <c r="S1907" s="132"/>
      <c r="T1907" s="137">
        <f>IF(REKAP[[#This Row],[Selisih]]&lt;=-1,REKAP[[#This Row],[Harga Satuan]]*REKAP[[#This Row],[Selisih]],0)</f>
        <v>0</v>
      </c>
    </row>
    <row r="1908" spans="1:20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>
        <f>IF(REKAP[[#This Row],[Stok Aktual]]&lt;&gt;"",REKAP[[#This Row],[Stok Aktual]]-REKAP[[#This Row],[Stok Akhir]],0)</f>
        <v>0</v>
      </c>
      <c r="S1908" s="132"/>
      <c r="T1908" s="137">
        <f>IF(REKAP[[#This Row],[Selisih]]&lt;=-1,REKAP[[#This Row],[Harga Satuan]]*REKAP[[#This Row],[Selisih]],0)</f>
        <v>0</v>
      </c>
    </row>
    <row r="1909" spans="1:20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>
        <f>IF(REKAP[[#This Row],[Stok Aktual]]&lt;&gt;"",REKAP[[#This Row],[Stok Aktual]]-REKAP[[#This Row],[Stok Akhir]],0)</f>
        <v>0</v>
      </c>
      <c r="S1909" s="132"/>
      <c r="T1909" s="137">
        <f>IF(REKAP[[#This Row],[Selisih]]&lt;=-1,REKAP[[#This Row],[Harga Satuan]]*REKAP[[#This Row],[Selisih]],0)</f>
        <v>0</v>
      </c>
    </row>
    <row r="1910" spans="1:20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>
        <f>IF(REKAP[[#This Row],[Stok Aktual]]&lt;&gt;"",REKAP[[#This Row],[Stok Aktual]]-REKAP[[#This Row],[Stok Akhir]],0)</f>
        <v>0</v>
      </c>
      <c r="S1910" s="132"/>
      <c r="T1910" s="137">
        <f>IF(REKAP[[#This Row],[Selisih]]&lt;=-1,REKAP[[#This Row],[Harga Satuan]]*REKAP[[#This Row],[Selisih]],0)</f>
        <v>0</v>
      </c>
    </row>
    <row r="1911" spans="1:20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>
        <f>IF(REKAP[[#This Row],[Stok Aktual]]&lt;&gt;"",REKAP[[#This Row],[Stok Aktual]]-REKAP[[#This Row],[Stok Akhir]],0)</f>
        <v>0</v>
      </c>
      <c r="S1911" s="132"/>
      <c r="T1911" s="137">
        <f>IF(REKAP[[#This Row],[Selisih]]&lt;=-1,REKAP[[#This Row],[Harga Satuan]]*REKAP[[#This Row],[Selisih]],0)</f>
        <v>0</v>
      </c>
    </row>
    <row r="1912" spans="1:20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>
        <f>IF(REKAP[[#This Row],[Stok Aktual]]&lt;&gt;"",REKAP[[#This Row],[Stok Aktual]]-REKAP[[#This Row],[Stok Akhir]],0)</f>
        <v>0</v>
      </c>
      <c r="S1912" s="132"/>
      <c r="T1912" s="137">
        <f>IF(REKAP[[#This Row],[Selisih]]&lt;=-1,REKAP[[#This Row],[Harga Satuan]]*REKAP[[#This Row],[Selisih]],0)</f>
        <v>0</v>
      </c>
    </row>
    <row r="1913" spans="1:20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>
        <f>IF(REKAP[[#This Row],[Stok Aktual]]&lt;&gt;"",REKAP[[#This Row],[Stok Aktual]]-REKAP[[#This Row],[Stok Akhir]],0)</f>
        <v>0</v>
      </c>
      <c r="S1913" s="132"/>
      <c r="T1913" s="137">
        <f>IF(REKAP[[#This Row],[Selisih]]&lt;=-1,REKAP[[#This Row],[Harga Satuan]]*REKAP[[#This Row],[Selisih]],0)</f>
        <v>0</v>
      </c>
    </row>
    <row r="1914" spans="1:20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>
        <f>IF(REKAP[[#This Row],[Stok Aktual]]&lt;&gt;"",REKAP[[#This Row],[Stok Aktual]]-REKAP[[#This Row],[Stok Akhir]],0)</f>
        <v>0</v>
      </c>
      <c r="S1914" s="132"/>
      <c r="T1914" s="137">
        <f>IF(REKAP[[#This Row],[Selisih]]&lt;=-1,REKAP[[#This Row],[Harga Satuan]]*REKAP[[#This Row],[Selisih]],0)</f>
        <v>0</v>
      </c>
    </row>
    <row r="1915" spans="1:20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>
        <f>IF(REKAP[[#This Row],[Stok Aktual]]&lt;&gt;"",REKAP[[#This Row],[Stok Aktual]]-REKAP[[#This Row],[Stok Akhir]],0)</f>
        <v>0</v>
      </c>
      <c r="S1915" s="132"/>
      <c r="T1915" s="137">
        <f>IF(REKAP[[#This Row],[Selisih]]&lt;=-1,REKAP[[#This Row],[Harga Satuan]]*REKAP[[#This Row],[Selisih]],0)</f>
        <v>0</v>
      </c>
    </row>
    <row r="1916" spans="1:20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>
        <f>IF(REKAP[[#This Row],[Stok Aktual]]&lt;&gt;"",REKAP[[#This Row],[Stok Aktual]]-REKAP[[#This Row],[Stok Akhir]],0)</f>
        <v>0</v>
      </c>
      <c r="S1916" s="132"/>
      <c r="T1916" s="137">
        <f>IF(REKAP[[#This Row],[Selisih]]&lt;=-1,REKAP[[#This Row],[Harga Satuan]]*REKAP[[#This Row],[Selisih]],0)</f>
        <v>0</v>
      </c>
    </row>
    <row r="1917" spans="1:20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>
        <f>IF(REKAP[[#This Row],[Stok Aktual]]&lt;&gt;"",REKAP[[#This Row],[Stok Aktual]]-REKAP[[#This Row],[Stok Akhir]],0)</f>
        <v>0</v>
      </c>
      <c r="S1917" s="132"/>
      <c r="T1917" s="137">
        <f>IF(REKAP[[#This Row],[Selisih]]&lt;=-1,REKAP[[#This Row],[Harga Satuan]]*REKAP[[#This Row],[Selisih]],0)</f>
        <v>0</v>
      </c>
    </row>
    <row r="1918" spans="1:20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>
        <f>IF(REKAP[[#This Row],[Stok Aktual]]&lt;&gt;"",REKAP[[#This Row],[Stok Aktual]]-REKAP[[#This Row],[Stok Akhir]],0)</f>
        <v>0</v>
      </c>
      <c r="S1918" s="132"/>
      <c r="T1918" s="137">
        <f>IF(REKAP[[#This Row],[Selisih]]&lt;=-1,REKAP[[#This Row],[Harga Satuan]]*REKAP[[#This Row],[Selisih]],0)</f>
        <v>0</v>
      </c>
    </row>
    <row r="1919" spans="1:20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>
        <f>IF(REKAP[[#This Row],[Stok Aktual]]&lt;&gt;"",REKAP[[#This Row],[Stok Aktual]]-REKAP[[#This Row],[Stok Akhir]],0)</f>
        <v>0</v>
      </c>
      <c r="S1919" s="132"/>
      <c r="T1919" s="137">
        <f>IF(REKAP[[#This Row],[Selisih]]&lt;=-1,REKAP[[#This Row],[Harga Satuan]]*REKAP[[#This Row],[Selisih]],0)</f>
        <v>0</v>
      </c>
    </row>
    <row r="1920" spans="1:20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>
        <f>IF(REKAP[[#This Row],[Stok Aktual]]&lt;&gt;"",REKAP[[#This Row],[Stok Aktual]]-REKAP[[#This Row],[Stok Akhir]],0)</f>
        <v>0</v>
      </c>
      <c r="S1920" s="132"/>
      <c r="T1920" s="137">
        <f>IF(REKAP[[#This Row],[Selisih]]&lt;=-1,REKAP[[#This Row],[Harga Satuan]]*REKAP[[#This Row],[Selisih]],0)</f>
        <v>0</v>
      </c>
    </row>
    <row r="1921" spans="1:20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>
        <f>IF(REKAP[[#This Row],[Stok Aktual]]&lt;&gt;"",REKAP[[#This Row],[Stok Aktual]]-REKAP[[#This Row],[Stok Akhir]],0)</f>
        <v>0</v>
      </c>
      <c r="S1921" s="132"/>
      <c r="T1921" s="137">
        <f>IF(REKAP[[#This Row],[Selisih]]&lt;=-1,REKAP[[#This Row],[Harga Satuan]]*REKAP[[#This Row],[Selisih]],0)</f>
        <v>0</v>
      </c>
    </row>
    <row r="1922" spans="1:20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>
        <f>IF(REKAP[[#This Row],[Stok Aktual]]&lt;&gt;"",REKAP[[#This Row],[Stok Aktual]]-REKAP[[#This Row],[Stok Akhir]],0)</f>
        <v>0</v>
      </c>
      <c r="S1922" s="132"/>
      <c r="T1922" s="137">
        <f>IF(REKAP[[#This Row],[Selisih]]&lt;=-1,REKAP[[#This Row],[Harga Satuan]]*REKAP[[#This Row],[Selisih]],0)</f>
        <v>0</v>
      </c>
    </row>
    <row r="1923" spans="1:20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>
        <f>IF(REKAP[[#This Row],[Stok Aktual]]&lt;&gt;"",REKAP[[#This Row],[Stok Aktual]]-REKAP[[#This Row],[Stok Akhir]],0)</f>
        <v>0</v>
      </c>
      <c r="S1923" s="132"/>
      <c r="T1923" s="137">
        <f>IF(REKAP[[#This Row],[Selisih]]&lt;=-1,REKAP[[#This Row],[Harga Satuan]]*REKAP[[#This Row],[Selisih]],0)</f>
        <v>0</v>
      </c>
    </row>
    <row r="1924" spans="1:20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>
        <f>IF(REKAP[[#This Row],[Stok Aktual]]&lt;&gt;"",REKAP[[#This Row],[Stok Aktual]]-REKAP[[#This Row],[Stok Akhir]],0)</f>
        <v>0</v>
      </c>
      <c r="S1924" s="132"/>
      <c r="T1924" s="137">
        <f>IF(REKAP[[#This Row],[Selisih]]&lt;=-1,REKAP[[#This Row],[Harga Satuan]]*REKAP[[#This Row],[Selisih]],0)</f>
        <v>0</v>
      </c>
    </row>
    <row r="1925" spans="1:20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>
        <f>IF(REKAP[[#This Row],[Stok Aktual]]&lt;&gt;"",REKAP[[#This Row],[Stok Aktual]]-REKAP[[#This Row],[Stok Akhir]],0)</f>
        <v>0</v>
      </c>
      <c r="S1925" s="132"/>
      <c r="T1925" s="137">
        <f>IF(REKAP[[#This Row],[Selisih]]&lt;=-1,REKAP[[#This Row],[Harga Satuan]]*REKAP[[#This Row],[Selisih]],0)</f>
        <v>0</v>
      </c>
    </row>
    <row r="1926" spans="1:20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>
        <f>IF(REKAP[[#This Row],[Stok Aktual]]&lt;&gt;"",REKAP[[#This Row],[Stok Aktual]]-REKAP[[#This Row],[Stok Akhir]],0)</f>
        <v>0</v>
      </c>
      <c r="S1926" s="132"/>
      <c r="T1926" s="137">
        <f>IF(REKAP[[#This Row],[Selisih]]&lt;=-1,REKAP[[#This Row],[Harga Satuan]]*REKAP[[#This Row],[Selisih]],0)</f>
        <v>0</v>
      </c>
    </row>
    <row r="1927" spans="1:20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>
        <f>IF(REKAP[[#This Row],[Stok Aktual]]&lt;&gt;"",REKAP[[#This Row],[Stok Aktual]]-REKAP[[#This Row],[Stok Akhir]],0)</f>
        <v>0</v>
      </c>
      <c r="S1927" s="132"/>
      <c r="T1927" s="137">
        <f>IF(REKAP[[#This Row],[Selisih]]&lt;=-1,REKAP[[#This Row],[Harga Satuan]]*REKAP[[#This Row],[Selisih]],0)</f>
        <v>0</v>
      </c>
    </row>
    <row r="1928" spans="1:20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>
        <f>IF(REKAP[[#This Row],[Stok Aktual]]&lt;&gt;"",REKAP[[#This Row],[Stok Aktual]]-REKAP[[#This Row],[Stok Akhir]],0)</f>
        <v>0</v>
      </c>
      <c r="S1928" s="132"/>
      <c r="T1928" s="137">
        <f>IF(REKAP[[#This Row],[Selisih]]&lt;=-1,REKAP[[#This Row],[Harga Satuan]]*REKAP[[#This Row],[Selisih]],0)</f>
        <v>0</v>
      </c>
    </row>
    <row r="1929" spans="1:20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>
        <f>IF(REKAP[[#This Row],[Stok Aktual]]&lt;&gt;"",REKAP[[#This Row],[Stok Aktual]]-REKAP[[#This Row],[Stok Akhir]],0)</f>
        <v>0</v>
      </c>
      <c r="S1929" s="132"/>
      <c r="T1929" s="137">
        <f>IF(REKAP[[#This Row],[Selisih]]&lt;=-1,REKAP[[#This Row],[Harga Satuan]]*REKAP[[#This Row],[Selisih]],0)</f>
        <v>0</v>
      </c>
    </row>
    <row r="1930" spans="1:20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>
        <f>IF(REKAP[[#This Row],[Stok Aktual]]&lt;&gt;"",REKAP[[#This Row],[Stok Aktual]]-REKAP[[#This Row],[Stok Akhir]],0)</f>
        <v>0</v>
      </c>
      <c r="S1930" s="132"/>
      <c r="T1930" s="137">
        <f>IF(REKAP[[#This Row],[Selisih]]&lt;=-1,REKAP[[#This Row],[Harga Satuan]]*REKAP[[#This Row],[Selisih]],0)</f>
        <v>0</v>
      </c>
    </row>
    <row r="1931" spans="1:20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>
        <f>IF(REKAP[[#This Row],[Stok Aktual]]&lt;&gt;"",REKAP[[#This Row],[Stok Aktual]]-REKAP[[#This Row],[Stok Akhir]],0)</f>
        <v>0</v>
      </c>
      <c r="S1931" s="132"/>
      <c r="T1931" s="137">
        <f>IF(REKAP[[#This Row],[Selisih]]&lt;=-1,REKAP[[#This Row],[Harga Satuan]]*REKAP[[#This Row],[Selisih]],0)</f>
        <v>0</v>
      </c>
    </row>
    <row r="1932" spans="1:20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>
        <f>IF(REKAP[[#This Row],[Stok Aktual]]&lt;&gt;"",REKAP[[#This Row],[Stok Aktual]]-REKAP[[#This Row],[Stok Akhir]],0)</f>
        <v>0</v>
      </c>
      <c r="S1932" s="132"/>
      <c r="T1932" s="137">
        <f>IF(REKAP[[#This Row],[Selisih]]&lt;=-1,REKAP[[#This Row],[Harga Satuan]]*REKAP[[#This Row],[Selisih]],0)</f>
        <v>0</v>
      </c>
    </row>
    <row r="1933" spans="1:20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>
        <f>IF(REKAP[[#This Row],[Stok Aktual]]&lt;&gt;"",REKAP[[#This Row],[Stok Aktual]]-REKAP[[#This Row],[Stok Akhir]],0)</f>
        <v>0</v>
      </c>
      <c r="S1933" s="132"/>
      <c r="T1933" s="137">
        <f>IF(REKAP[[#This Row],[Selisih]]&lt;=-1,REKAP[[#This Row],[Harga Satuan]]*REKAP[[#This Row],[Selisih]],0)</f>
        <v>0</v>
      </c>
    </row>
    <row r="1934" spans="1:20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>
        <f>IF(REKAP[[#This Row],[Stok Aktual]]&lt;&gt;"",REKAP[[#This Row],[Stok Aktual]]-REKAP[[#This Row],[Stok Akhir]],0)</f>
        <v>0</v>
      </c>
      <c r="S1934" s="132"/>
      <c r="T1934" s="137">
        <f>IF(REKAP[[#This Row],[Selisih]]&lt;=-1,REKAP[[#This Row],[Harga Satuan]]*REKAP[[#This Row],[Selisih]],0)</f>
        <v>0</v>
      </c>
    </row>
    <row r="1935" spans="1:20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>
        <f>IF(REKAP[[#This Row],[Stok Aktual]]&lt;&gt;"",REKAP[[#This Row],[Stok Aktual]]-REKAP[[#This Row],[Stok Akhir]],0)</f>
        <v>0</v>
      </c>
      <c r="S1935" s="132"/>
      <c r="T1935" s="137">
        <f>IF(REKAP[[#This Row],[Selisih]]&lt;=-1,REKAP[[#This Row],[Harga Satuan]]*REKAP[[#This Row],[Selisih]],0)</f>
        <v>0</v>
      </c>
    </row>
    <row r="1936" spans="1:20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>
        <f>IF(REKAP[[#This Row],[Stok Aktual]]&lt;&gt;"",REKAP[[#This Row],[Stok Aktual]]-REKAP[[#This Row],[Stok Akhir]],0)</f>
        <v>0</v>
      </c>
      <c r="S1936" s="132"/>
      <c r="T1936" s="137">
        <f>IF(REKAP[[#This Row],[Selisih]]&lt;=-1,REKAP[[#This Row],[Harga Satuan]]*REKAP[[#This Row],[Selisih]],0)</f>
        <v>0</v>
      </c>
    </row>
    <row r="1937" spans="1:20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>
        <f>IF(REKAP[[#This Row],[Stok Aktual]]&lt;&gt;"",REKAP[[#This Row],[Stok Aktual]]-REKAP[[#This Row],[Stok Akhir]],0)</f>
        <v>0</v>
      </c>
      <c r="S1937" s="132"/>
      <c r="T1937" s="137">
        <f>IF(REKAP[[#This Row],[Selisih]]&lt;=-1,REKAP[[#This Row],[Harga Satuan]]*REKAP[[#This Row],[Selisih]],0)</f>
        <v>0</v>
      </c>
    </row>
    <row r="1938" spans="1:20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>
        <f>IF(REKAP[[#This Row],[Stok Aktual]]&lt;&gt;"",REKAP[[#This Row],[Stok Aktual]]-REKAP[[#This Row],[Stok Akhir]],0)</f>
        <v>0</v>
      </c>
      <c r="S1938" s="132"/>
      <c r="T1938" s="137">
        <f>IF(REKAP[[#This Row],[Selisih]]&lt;=-1,REKAP[[#This Row],[Harga Satuan]]*REKAP[[#This Row],[Selisih]],0)</f>
        <v>0</v>
      </c>
    </row>
    <row r="1939" spans="1:20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>
        <f>IF(REKAP[[#This Row],[Stok Aktual]]&lt;&gt;"",REKAP[[#This Row],[Stok Aktual]]-REKAP[[#This Row],[Stok Akhir]],0)</f>
        <v>0</v>
      </c>
      <c r="S1939" s="132"/>
      <c r="T1939" s="137">
        <f>IF(REKAP[[#This Row],[Selisih]]&lt;=-1,REKAP[[#This Row],[Harga Satuan]]*REKAP[[#This Row],[Selisih]],0)</f>
        <v>0</v>
      </c>
    </row>
    <row r="1940" spans="1:20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>
        <f>IF(REKAP[[#This Row],[Stok Aktual]]&lt;&gt;"",REKAP[[#This Row],[Stok Aktual]]-REKAP[[#This Row],[Stok Akhir]],0)</f>
        <v>0</v>
      </c>
      <c r="S1940" s="132"/>
      <c r="T1940" s="137">
        <f>IF(REKAP[[#This Row],[Selisih]]&lt;=-1,REKAP[[#This Row],[Harga Satuan]]*REKAP[[#This Row],[Selisih]],0)</f>
        <v>0</v>
      </c>
    </row>
    <row r="1941" spans="1:20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>
        <f>IF(REKAP[[#This Row],[Stok Aktual]]&lt;&gt;"",REKAP[[#This Row],[Stok Aktual]]-REKAP[[#This Row],[Stok Akhir]],0)</f>
        <v>0</v>
      </c>
      <c r="S1941" s="132"/>
      <c r="T1941" s="137">
        <f>IF(REKAP[[#This Row],[Selisih]]&lt;=-1,REKAP[[#This Row],[Harga Satuan]]*REKAP[[#This Row],[Selisih]],0)</f>
        <v>0</v>
      </c>
    </row>
    <row r="1942" spans="1:20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>
        <f>IF(REKAP[[#This Row],[Stok Aktual]]&lt;&gt;"",REKAP[[#This Row],[Stok Aktual]]-REKAP[[#This Row],[Stok Akhir]],0)</f>
        <v>0</v>
      </c>
      <c r="S1942" s="132"/>
      <c r="T1942" s="137">
        <f>IF(REKAP[[#This Row],[Selisih]]&lt;=-1,REKAP[[#This Row],[Harga Satuan]]*REKAP[[#This Row],[Selisih]],0)</f>
        <v>0</v>
      </c>
    </row>
    <row r="1943" spans="1:20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>
        <f>IF(REKAP[[#This Row],[Stok Aktual]]&lt;&gt;"",REKAP[[#This Row],[Stok Aktual]]-REKAP[[#This Row],[Stok Akhir]],0)</f>
        <v>0</v>
      </c>
      <c r="S1943" s="132"/>
      <c r="T1943" s="137">
        <f>IF(REKAP[[#This Row],[Selisih]]&lt;=-1,REKAP[[#This Row],[Harga Satuan]]*REKAP[[#This Row],[Selisih]],0)</f>
        <v>0</v>
      </c>
    </row>
    <row r="1944" spans="1:20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>
        <f>IF(REKAP[[#This Row],[Stok Aktual]]&lt;&gt;"",REKAP[[#This Row],[Stok Aktual]]-REKAP[[#This Row],[Stok Akhir]],0)</f>
        <v>0</v>
      </c>
      <c r="S1944" s="132"/>
      <c r="T1944" s="137">
        <f>IF(REKAP[[#This Row],[Selisih]]&lt;=-1,REKAP[[#This Row],[Harga Satuan]]*REKAP[[#This Row],[Selisih]],0)</f>
        <v>0</v>
      </c>
    </row>
    <row r="1945" spans="1:20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>
        <f>IF(REKAP[[#This Row],[Stok Aktual]]&lt;&gt;"",REKAP[[#This Row],[Stok Aktual]]-REKAP[[#This Row],[Stok Akhir]],0)</f>
        <v>0</v>
      </c>
      <c r="S1945" s="132"/>
      <c r="T1945" s="137">
        <f>IF(REKAP[[#This Row],[Selisih]]&lt;=-1,REKAP[[#This Row],[Harga Satuan]]*REKAP[[#This Row],[Selisih]],0)</f>
        <v>0</v>
      </c>
    </row>
    <row r="1946" spans="1:20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>
        <f>IF(REKAP[[#This Row],[Stok Aktual]]&lt;&gt;"",REKAP[[#This Row],[Stok Aktual]]-REKAP[[#This Row],[Stok Akhir]],0)</f>
        <v>0</v>
      </c>
      <c r="S1946" s="132"/>
      <c r="T1946" s="137">
        <f>IF(REKAP[[#This Row],[Selisih]]&lt;=-1,REKAP[[#This Row],[Harga Satuan]]*REKAP[[#This Row],[Selisih]],0)</f>
        <v>0</v>
      </c>
    </row>
    <row r="1947" spans="1:20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>
        <f>IF(REKAP[[#This Row],[Stok Aktual]]&lt;&gt;"",REKAP[[#This Row],[Stok Aktual]]-REKAP[[#This Row],[Stok Akhir]],0)</f>
        <v>0</v>
      </c>
      <c r="S1947" s="132"/>
      <c r="T1947" s="137">
        <f>IF(REKAP[[#This Row],[Selisih]]&lt;=-1,REKAP[[#This Row],[Harga Satuan]]*REKAP[[#This Row],[Selisih]],0)</f>
        <v>0</v>
      </c>
    </row>
    <row r="1948" spans="1:20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>
        <f>IF(REKAP[[#This Row],[Stok Aktual]]&lt;&gt;"",REKAP[[#This Row],[Stok Aktual]]-REKAP[[#This Row],[Stok Akhir]],0)</f>
        <v>0</v>
      </c>
      <c r="S1948" s="132"/>
      <c r="T1948" s="137">
        <f>IF(REKAP[[#This Row],[Selisih]]&lt;=-1,REKAP[[#This Row],[Harga Satuan]]*REKAP[[#This Row],[Selisih]],0)</f>
        <v>0</v>
      </c>
    </row>
    <row r="1949" spans="1:20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>
        <f>IF(REKAP[[#This Row],[Stok Aktual]]&lt;&gt;"",REKAP[[#This Row],[Stok Aktual]]-REKAP[[#This Row],[Stok Akhir]],0)</f>
        <v>0</v>
      </c>
      <c r="S1949" s="132"/>
      <c r="T1949" s="137">
        <f>IF(REKAP[[#This Row],[Selisih]]&lt;=-1,REKAP[[#This Row],[Harga Satuan]]*REKAP[[#This Row],[Selisih]],0)</f>
        <v>0</v>
      </c>
    </row>
    <row r="1950" spans="1:20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>
        <f>IF(REKAP[[#This Row],[Stok Aktual]]&lt;&gt;"",REKAP[[#This Row],[Stok Aktual]]-REKAP[[#This Row],[Stok Akhir]],0)</f>
        <v>0</v>
      </c>
      <c r="S1950" s="132"/>
      <c r="T1950" s="137">
        <f>IF(REKAP[[#This Row],[Selisih]]&lt;=-1,REKAP[[#This Row],[Harga Satuan]]*REKAP[[#This Row],[Selisih]],0)</f>
        <v>0</v>
      </c>
    </row>
    <row r="1951" spans="1:20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>
        <f>IF(REKAP[[#This Row],[Stok Aktual]]&lt;&gt;"",REKAP[[#This Row],[Stok Aktual]]-REKAP[[#This Row],[Stok Akhir]],0)</f>
        <v>0</v>
      </c>
      <c r="S1951" s="132"/>
      <c r="T1951" s="137">
        <f>IF(REKAP[[#This Row],[Selisih]]&lt;=-1,REKAP[[#This Row],[Harga Satuan]]*REKAP[[#This Row],[Selisih]],0)</f>
        <v>0</v>
      </c>
    </row>
    <row r="1952" spans="1:20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>
        <f>IF(REKAP[[#This Row],[Stok Aktual]]&lt;&gt;"",REKAP[[#This Row],[Stok Aktual]]-REKAP[[#This Row],[Stok Akhir]],0)</f>
        <v>0</v>
      </c>
      <c r="S1952" s="132"/>
      <c r="T1952" s="137">
        <f>IF(REKAP[[#This Row],[Selisih]]&lt;=-1,REKAP[[#This Row],[Harga Satuan]]*REKAP[[#This Row],[Selisih]],0)</f>
        <v>0</v>
      </c>
    </row>
    <row r="1953" spans="1:20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>
        <f>IF(REKAP[[#This Row],[Stok Aktual]]&lt;&gt;"",REKAP[[#This Row],[Stok Aktual]]-REKAP[[#This Row],[Stok Akhir]],0)</f>
        <v>0</v>
      </c>
      <c r="S1953" s="132"/>
      <c r="T1953" s="137">
        <f>IF(REKAP[[#This Row],[Selisih]]&lt;=-1,REKAP[[#This Row],[Harga Satuan]]*REKAP[[#This Row],[Selisih]],0)</f>
        <v>0</v>
      </c>
    </row>
    <row r="1954" spans="1:20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>
        <f>IF(REKAP[[#This Row],[Stok Aktual]]&lt;&gt;"",REKAP[[#This Row],[Stok Aktual]]-REKAP[[#This Row],[Stok Akhir]],0)</f>
        <v>0</v>
      </c>
      <c r="S1954" s="132"/>
      <c r="T1954" s="137">
        <f>IF(REKAP[[#This Row],[Selisih]]&lt;=-1,REKAP[[#This Row],[Harga Satuan]]*REKAP[[#This Row],[Selisih]],0)</f>
        <v>0</v>
      </c>
    </row>
    <row r="1955" spans="1:20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>
        <f>IF(REKAP[[#This Row],[Stok Aktual]]&lt;&gt;"",REKAP[[#This Row],[Stok Aktual]]-REKAP[[#This Row],[Stok Akhir]],0)</f>
        <v>0</v>
      </c>
      <c r="S1955" s="132"/>
      <c r="T1955" s="137">
        <f>IF(REKAP[[#This Row],[Selisih]]&lt;=-1,REKAP[[#This Row],[Harga Satuan]]*REKAP[[#This Row],[Selisih]],0)</f>
        <v>0</v>
      </c>
    </row>
    <row r="1956" spans="1:20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>
        <f>IF(REKAP[[#This Row],[Stok Aktual]]&lt;&gt;"",REKAP[[#This Row],[Stok Aktual]]-REKAP[[#This Row],[Stok Akhir]],0)</f>
        <v>0</v>
      </c>
      <c r="S1956" s="132"/>
      <c r="T1956" s="137">
        <f>IF(REKAP[[#This Row],[Selisih]]&lt;=-1,REKAP[[#This Row],[Harga Satuan]]*REKAP[[#This Row],[Selisih]],0)</f>
        <v>0</v>
      </c>
    </row>
    <row r="1957" spans="1:20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>
        <f>IF(REKAP[[#This Row],[Stok Aktual]]&lt;&gt;"",REKAP[[#This Row],[Stok Aktual]]-REKAP[[#This Row],[Stok Akhir]],0)</f>
        <v>0</v>
      </c>
      <c r="S1957" s="132"/>
      <c r="T1957" s="137">
        <f>IF(REKAP[[#This Row],[Selisih]]&lt;=-1,REKAP[[#This Row],[Harga Satuan]]*REKAP[[#This Row],[Selisih]],0)</f>
        <v>0</v>
      </c>
    </row>
    <row r="1958" spans="1:20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>
        <f>IF(REKAP[[#This Row],[Stok Aktual]]&lt;&gt;"",REKAP[[#This Row],[Stok Aktual]]-REKAP[[#This Row],[Stok Akhir]],0)</f>
        <v>0</v>
      </c>
      <c r="S1958" s="132"/>
      <c r="T1958" s="137">
        <f>IF(REKAP[[#This Row],[Selisih]]&lt;=-1,REKAP[[#This Row],[Harga Satuan]]*REKAP[[#This Row],[Selisih]],0)</f>
        <v>0</v>
      </c>
    </row>
    <row r="1959" spans="1:20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>
        <f>IF(REKAP[[#This Row],[Stok Aktual]]&lt;&gt;"",REKAP[[#This Row],[Stok Aktual]]-REKAP[[#This Row],[Stok Akhir]],0)</f>
        <v>0</v>
      </c>
      <c r="S1959" s="132"/>
      <c r="T1959" s="137">
        <f>IF(REKAP[[#This Row],[Selisih]]&lt;=-1,REKAP[[#This Row],[Harga Satuan]]*REKAP[[#This Row],[Selisih]],0)</f>
        <v>0</v>
      </c>
    </row>
    <row r="1960" spans="1:20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>
        <f>IF(REKAP[[#This Row],[Stok Aktual]]&lt;&gt;"",REKAP[[#This Row],[Stok Aktual]]-REKAP[[#This Row],[Stok Akhir]],0)</f>
        <v>0</v>
      </c>
      <c r="S1960" s="132"/>
      <c r="T1960" s="137">
        <f>IF(REKAP[[#This Row],[Selisih]]&lt;=-1,REKAP[[#This Row],[Harga Satuan]]*REKAP[[#This Row],[Selisih]],0)</f>
        <v>0</v>
      </c>
    </row>
    <row r="1961" spans="1:20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>
        <f>IF(REKAP[[#This Row],[Stok Aktual]]&lt;&gt;"",REKAP[[#This Row],[Stok Aktual]]-REKAP[[#This Row],[Stok Akhir]],0)</f>
        <v>0</v>
      </c>
      <c r="S1961" s="132"/>
      <c r="T1961" s="137">
        <f>IF(REKAP[[#This Row],[Selisih]]&lt;=-1,REKAP[[#This Row],[Harga Satuan]]*REKAP[[#This Row],[Selisih]],0)</f>
        <v>0</v>
      </c>
    </row>
    <row r="1962" spans="1:20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>
        <f>IF(REKAP[[#This Row],[Stok Aktual]]&lt;&gt;"",REKAP[[#This Row],[Stok Aktual]]-REKAP[[#This Row],[Stok Akhir]],0)</f>
        <v>0</v>
      </c>
      <c r="S1962" s="132"/>
      <c r="T1962" s="137">
        <f>IF(REKAP[[#This Row],[Selisih]]&lt;=-1,REKAP[[#This Row],[Harga Satuan]]*REKAP[[#This Row],[Selisih]],0)</f>
        <v>0</v>
      </c>
    </row>
    <row r="1963" spans="1:20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>
        <f>IF(REKAP[[#This Row],[Stok Aktual]]&lt;&gt;"",REKAP[[#This Row],[Stok Aktual]]-REKAP[[#This Row],[Stok Akhir]],0)</f>
        <v>0</v>
      </c>
      <c r="S1963" s="132"/>
      <c r="T1963" s="137">
        <f>IF(REKAP[[#This Row],[Selisih]]&lt;=-1,REKAP[[#This Row],[Harga Satuan]]*REKAP[[#This Row],[Selisih]],0)</f>
        <v>0</v>
      </c>
    </row>
    <row r="1964" spans="1:20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>
        <f>IF(REKAP[[#This Row],[Stok Aktual]]&lt;&gt;"",REKAP[[#This Row],[Stok Aktual]]-REKAP[[#This Row],[Stok Akhir]],0)</f>
        <v>0</v>
      </c>
      <c r="S1964" s="132"/>
      <c r="T1964" s="137">
        <f>IF(REKAP[[#This Row],[Selisih]]&lt;=-1,REKAP[[#This Row],[Harga Satuan]]*REKAP[[#This Row],[Selisih]],0)</f>
        <v>0</v>
      </c>
    </row>
    <row r="1965" spans="1:20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>
        <f>IF(REKAP[[#This Row],[Stok Aktual]]&lt;&gt;"",REKAP[[#This Row],[Stok Aktual]]-REKAP[[#This Row],[Stok Akhir]],0)</f>
        <v>0</v>
      </c>
      <c r="S1965" s="132"/>
      <c r="T1965" s="137">
        <f>IF(REKAP[[#This Row],[Selisih]]&lt;=-1,REKAP[[#This Row],[Harga Satuan]]*REKAP[[#This Row],[Selisih]],0)</f>
        <v>0</v>
      </c>
    </row>
    <row r="1966" spans="1:20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>
        <f>IF(REKAP[[#This Row],[Stok Aktual]]&lt;&gt;"",REKAP[[#This Row],[Stok Aktual]]-REKAP[[#This Row],[Stok Akhir]],0)</f>
        <v>0</v>
      </c>
      <c r="S1966" s="132"/>
      <c r="T1966" s="137">
        <f>IF(REKAP[[#This Row],[Selisih]]&lt;=-1,REKAP[[#This Row],[Harga Satuan]]*REKAP[[#This Row],[Selisih]],0)</f>
        <v>0</v>
      </c>
    </row>
    <row r="1967" spans="1:20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>
        <f>IF(REKAP[[#This Row],[Stok Aktual]]&lt;&gt;"",REKAP[[#This Row],[Stok Aktual]]-REKAP[[#This Row],[Stok Akhir]],0)</f>
        <v>0</v>
      </c>
      <c r="S1967" s="132"/>
      <c r="T1967" s="137">
        <f>IF(REKAP[[#This Row],[Selisih]]&lt;=-1,REKAP[[#This Row],[Harga Satuan]]*REKAP[[#This Row],[Selisih]],0)</f>
        <v>0</v>
      </c>
    </row>
    <row r="1968" spans="1:20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>
        <f>IF(REKAP[[#This Row],[Stok Aktual]]&lt;&gt;"",REKAP[[#This Row],[Stok Aktual]]-REKAP[[#This Row],[Stok Akhir]],0)</f>
        <v>0</v>
      </c>
      <c r="S1968" s="132"/>
      <c r="T1968" s="137">
        <f>IF(REKAP[[#This Row],[Selisih]]&lt;=-1,REKAP[[#This Row],[Harga Satuan]]*REKAP[[#This Row],[Selisih]],0)</f>
        <v>0</v>
      </c>
    </row>
    <row r="1969" spans="1:20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>
        <f>IF(REKAP[[#This Row],[Stok Aktual]]&lt;&gt;"",REKAP[[#This Row],[Stok Aktual]]-REKAP[[#This Row],[Stok Akhir]],0)</f>
        <v>0</v>
      </c>
      <c r="S1969" s="132"/>
      <c r="T1969" s="137">
        <f>IF(REKAP[[#This Row],[Selisih]]&lt;=-1,REKAP[[#This Row],[Harga Satuan]]*REKAP[[#This Row],[Selisih]],0)</f>
        <v>0</v>
      </c>
    </row>
    <row r="1970" spans="1:20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>
        <f>IF(REKAP[[#This Row],[Stok Aktual]]&lt;&gt;"",REKAP[[#This Row],[Stok Aktual]]-REKAP[[#This Row],[Stok Akhir]],0)</f>
        <v>0</v>
      </c>
      <c r="S1970" s="132"/>
      <c r="T1970" s="137">
        <f>IF(REKAP[[#This Row],[Selisih]]&lt;=-1,REKAP[[#This Row],[Harga Satuan]]*REKAP[[#This Row],[Selisih]],0)</f>
        <v>0</v>
      </c>
    </row>
    <row r="1971" spans="1:20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>
        <f>IF(REKAP[[#This Row],[Stok Aktual]]&lt;&gt;"",REKAP[[#This Row],[Stok Aktual]]-REKAP[[#This Row],[Stok Akhir]],0)</f>
        <v>0</v>
      </c>
      <c r="S1971" s="132"/>
      <c r="T1971" s="137">
        <f>IF(REKAP[[#This Row],[Selisih]]&lt;=-1,REKAP[[#This Row],[Harga Satuan]]*REKAP[[#This Row],[Selisih]],0)</f>
        <v>0</v>
      </c>
    </row>
    <row r="1972" spans="1:20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>
        <f>IF(REKAP[[#This Row],[Stok Aktual]]&lt;&gt;"",REKAP[[#This Row],[Stok Aktual]]-REKAP[[#This Row],[Stok Akhir]],0)</f>
        <v>0</v>
      </c>
      <c r="S1972" s="132"/>
      <c r="T1972" s="137">
        <f>IF(REKAP[[#This Row],[Selisih]]&lt;=-1,REKAP[[#This Row],[Harga Satuan]]*REKAP[[#This Row],[Selisih]],0)</f>
        <v>0</v>
      </c>
    </row>
    <row r="1973" spans="1:20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>
        <f>IF(REKAP[[#This Row],[Stok Aktual]]&lt;&gt;"",REKAP[[#This Row],[Stok Aktual]]-REKAP[[#This Row],[Stok Akhir]],0)</f>
        <v>0</v>
      </c>
      <c r="S1973" s="132"/>
      <c r="T1973" s="137">
        <f>IF(REKAP[[#This Row],[Selisih]]&lt;=-1,REKAP[[#This Row],[Harga Satuan]]*REKAP[[#This Row],[Selisih]],0)</f>
        <v>0</v>
      </c>
    </row>
    <row r="1974" spans="1:20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>
        <f>IF(REKAP[[#This Row],[Stok Aktual]]&lt;&gt;"",REKAP[[#This Row],[Stok Aktual]]-REKAP[[#This Row],[Stok Akhir]],0)</f>
        <v>0</v>
      </c>
      <c r="S1974" s="132"/>
      <c r="T1974" s="137">
        <f>IF(REKAP[[#This Row],[Selisih]]&lt;=-1,REKAP[[#This Row],[Harga Satuan]]*REKAP[[#This Row],[Selisih]],0)</f>
        <v>0</v>
      </c>
    </row>
    <row r="1975" spans="1:20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>
        <f>IF(REKAP[[#This Row],[Stok Aktual]]&lt;&gt;"",REKAP[[#This Row],[Stok Aktual]]-REKAP[[#This Row],[Stok Akhir]],0)</f>
        <v>0</v>
      </c>
      <c r="S1975" s="132"/>
      <c r="T1975" s="137">
        <f>IF(REKAP[[#This Row],[Selisih]]&lt;=-1,REKAP[[#This Row],[Harga Satuan]]*REKAP[[#This Row],[Selisih]],0)</f>
        <v>0</v>
      </c>
    </row>
    <row r="1976" spans="1:20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>
        <f>IF(REKAP[[#This Row],[Stok Aktual]]&lt;&gt;"",REKAP[[#This Row],[Stok Aktual]]-REKAP[[#This Row],[Stok Akhir]],0)</f>
        <v>0</v>
      </c>
      <c r="S1976" s="132"/>
      <c r="T1976" s="137">
        <f>IF(REKAP[[#This Row],[Selisih]]&lt;=-1,REKAP[[#This Row],[Harga Satuan]]*REKAP[[#This Row],[Selisih]],0)</f>
        <v>0</v>
      </c>
    </row>
    <row r="1977" spans="1:20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>
        <f>IF(REKAP[[#This Row],[Stok Aktual]]&lt;&gt;"",REKAP[[#This Row],[Stok Aktual]]-REKAP[[#This Row],[Stok Akhir]],0)</f>
        <v>0</v>
      </c>
      <c r="S1977" s="132"/>
      <c r="T1977" s="137">
        <f>IF(REKAP[[#This Row],[Selisih]]&lt;=-1,REKAP[[#This Row],[Harga Satuan]]*REKAP[[#This Row],[Selisih]],0)</f>
        <v>0</v>
      </c>
    </row>
    <row r="1978" spans="1:20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>
        <f>IF(REKAP[[#This Row],[Stok Aktual]]&lt;&gt;"",REKAP[[#This Row],[Stok Aktual]]-REKAP[[#This Row],[Stok Akhir]],0)</f>
        <v>0</v>
      </c>
      <c r="S1978" s="132"/>
      <c r="T1978" s="137">
        <f>IF(REKAP[[#This Row],[Selisih]]&lt;=-1,REKAP[[#This Row],[Harga Satuan]]*REKAP[[#This Row],[Selisih]],0)</f>
        <v>0</v>
      </c>
    </row>
    <row r="1979" spans="1:20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>
        <f>IF(REKAP[[#This Row],[Stok Aktual]]&lt;&gt;"",REKAP[[#This Row],[Stok Aktual]]-REKAP[[#This Row],[Stok Akhir]],0)</f>
        <v>0</v>
      </c>
      <c r="S1979" s="132"/>
      <c r="T1979" s="137">
        <f>IF(REKAP[[#This Row],[Selisih]]&lt;=-1,REKAP[[#This Row],[Harga Satuan]]*REKAP[[#This Row],[Selisih]],0)</f>
        <v>0</v>
      </c>
    </row>
    <row r="1980" spans="1:20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>
        <f>IF(REKAP[[#This Row],[Stok Aktual]]&lt;&gt;"",REKAP[[#This Row],[Stok Aktual]]-REKAP[[#This Row],[Stok Akhir]],0)</f>
        <v>0</v>
      </c>
      <c r="S1980" s="132"/>
      <c r="T1980" s="137">
        <f>IF(REKAP[[#This Row],[Selisih]]&lt;=-1,REKAP[[#This Row],[Harga Satuan]]*REKAP[[#This Row],[Selisih]],0)</f>
        <v>0</v>
      </c>
    </row>
    <row r="1981" spans="1:20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>
        <f>IF(REKAP[[#This Row],[Stok Aktual]]&lt;&gt;"",REKAP[[#This Row],[Stok Aktual]]-REKAP[[#This Row],[Stok Akhir]],0)</f>
        <v>0</v>
      </c>
      <c r="S1981" s="132"/>
      <c r="T1981" s="137">
        <f>IF(REKAP[[#This Row],[Selisih]]&lt;=-1,REKAP[[#This Row],[Harga Satuan]]*REKAP[[#This Row],[Selisih]],0)</f>
        <v>0</v>
      </c>
    </row>
    <row r="1982" spans="1:20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>
        <f>IF(REKAP[[#This Row],[Stok Aktual]]&lt;&gt;"",REKAP[[#This Row],[Stok Aktual]]-REKAP[[#This Row],[Stok Akhir]],0)</f>
        <v>0</v>
      </c>
      <c r="S1982" s="132"/>
      <c r="T1982" s="137">
        <f>IF(REKAP[[#This Row],[Selisih]]&lt;=-1,REKAP[[#This Row],[Harga Satuan]]*REKAP[[#This Row],[Selisih]],0)</f>
        <v>0</v>
      </c>
    </row>
    <row r="1983" spans="1:20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>
        <f>IF(REKAP[[#This Row],[Stok Aktual]]&lt;&gt;"",REKAP[[#This Row],[Stok Aktual]]-REKAP[[#This Row],[Stok Akhir]],0)</f>
        <v>0</v>
      </c>
      <c r="S1983" s="132"/>
      <c r="T1983" s="137">
        <f>IF(REKAP[[#This Row],[Selisih]]&lt;=-1,REKAP[[#This Row],[Harga Satuan]]*REKAP[[#This Row],[Selisih]],0)</f>
        <v>0</v>
      </c>
    </row>
    <row r="1984" spans="1:20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>
        <f>IF(REKAP[[#This Row],[Stok Aktual]]&lt;&gt;"",REKAP[[#This Row],[Stok Aktual]]-REKAP[[#This Row],[Stok Akhir]],0)</f>
        <v>0</v>
      </c>
      <c r="S1984" s="132"/>
      <c r="T1984" s="137">
        <f>IF(REKAP[[#This Row],[Selisih]]&lt;=-1,REKAP[[#This Row],[Harga Satuan]]*REKAP[[#This Row],[Selisih]],0)</f>
        <v>0</v>
      </c>
    </row>
    <row r="1985" spans="1:20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>
        <f>IF(REKAP[[#This Row],[Stok Aktual]]&lt;&gt;"",REKAP[[#This Row],[Stok Aktual]]-REKAP[[#This Row],[Stok Akhir]],0)</f>
        <v>0</v>
      </c>
      <c r="S1985" s="132"/>
      <c r="T1985" s="137">
        <f>IF(REKAP[[#This Row],[Selisih]]&lt;=-1,REKAP[[#This Row],[Harga Satuan]]*REKAP[[#This Row],[Selisih]],0)</f>
        <v>0</v>
      </c>
    </row>
    <row r="1986" spans="1:20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>
        <f>IF(REKAP[[#This Row],[Stok Aktual]]&lt;&gt;"",REKAP[[#This Row],[Stok Aktual]]-REKAP[[#This Row],[Stok Akhir]],0)</f>
        <v>0</v>
      </c>
      <c r="S1986" s="132"/>
      <c r="T1986" s="137">
        <f>IF(REKAP[[#This Row],[Selisih]]&lt;=-1,REKAP[[#This Row],[Harga Satuan]]*REKAP[[#This Row],[Selisih]],0)</f>
        <v>0</v>
      </c>
    </row>
    <row r="1987" spans="1:20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>
        <f>IF(REKAP[[#This Row],[Stok Aktual]]&lt;&gt;"",REKAP[[#This Row],[Stok Aktual]]-REKAP[[#This Row],[Stok Akhir]],0)</f>
        <v>0</v>
      </c>
      <c r="S1987" s="132"/>
      <c r="T1987" s="137">
        <f>IF(REKAP[[#This Row],[Selisih]]&lt;=-1,REKAP[[#This Row],[Harga Satuan]]*REKAP[[#This Row],[Selisih]],0)</f>
        <v>0</v>
      </c>
    </row>
    <row r="1988" spans="1:20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>
        <f>IF(REKAP[[#This Row],[Stok Aktual]]&lt;&gt;"",REKAP[[#This Row],[Stok Aktual]]-REKAP[[#This Row],[Stok Akhir]],0)</f>
        <v>0</v>
      </c>
      <c r="S1988" s="132"/>
      <c r="T1988" s="137">
        <f>IF(REKAP[[#This Row],[Selisih]]&lt;=-1,REKAP[[#This Row],[Harga Satuan]]*REKAP[[#This Row],[Selisih]],0)</f>
        <v>0</v>
      </c>
    </row>
    <row r="1989" spans="1:20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>
        <f>IF(REKAP[[#This Row],[Stok Aktual]]&lt;&gt;"",REKAP[[#This Row],[Stok Aktual]]-REKAP[[#This Row],[Stok Akhir]],0)</f>
        <v>0</v>
      </c>
      <c r="S1989" s="132"/>
      <c r="T1989" s="137">
        <f>IF(REKAP[[#This Row],[Selisih]]&lt;=-1,REKAP[[#This Row],[Harga Satuan]]*REKAP[[#This Row],[Selisih]],0)</f>
        <v>0</v>
      </c>
    </row>
    <row r="1990" spans="1:20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>
        <f>IF(REKAP[[#This Row],[Stok Aktual]]&lt;&gt;"",REKAP[[#This Row],[Stok Aktual]]-REKAP[[#This Row],[Stok Akhir]],0)</f>
        <v>0</v>
      </c>
      <c r="S1990" s="132"/>
      <c r="T1990" s="137">
        <f>IF(REKAP[[#This Row],[Selisih]]&lt;=-1,REKAP[[#This Row],[Harga Satuan]]*REKAP[[#This Row],[Selisih]],0)</f>
        <v>0</v>
      </c>
    </row>
    <row r="1991" spans="1:20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>
        <f>IF(REKAP[[#This Row],[Stok Aktual]]&lt;&gt;"",REKAP[[#This Row],[Stok Aktual]]-REKAP[[#This Row],[Stok Akhir]],0)</f>
        <v>0</v>
      </c>
      <c r="S1991" s="132"/>
      <c r="T1991" s="137">
        <f>IF(REKAP[[#This Row],[Selisih]]&lt;=-1,REKAP[[#This Row],[Harga Satuan]]*REKAP[[#This Row],[Selisih]],0)</f>
        <v>0</v>
      </c>
    </row>
    <row r="1992" spans="1:20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>
        <f>IF(REKAP[[#This Row],[Stok Aktual]]&lt;&gt;"",REKAP[[#This Row],[Stok Aktual]]-REKAP[[#This Row],[Stok Akhir]],0)</f>
        <v>0</v>
      </c>
      <c r="S1992" s="132"/>
      <c r="T1992" s="137">
        <f>IF(REKAP[[#This Row],[Selisih]]&lt;=-1,REKAP[[#This Row],[Harga Satuan]]*REKAP[[#This Row],[Selisih]],0)</f>
        <v>0</v>
      </c>
    </row>
    <row r="1993" spans="1:20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>
        <f>IF(REKAP[[#This Row],[Stok Aktual]]&lt;&gt;"",REKAP[[#This Row],[Stok Aktual]]-REKAP[[#This Row],[Stok Akhir]],0)</f>
        <v>0</v>
      </c>
      <c r="S1993" s="132"/>
      <c r="T1993" s="137">
        <f>IF(REKAP[[#This Row],[Selisih]]&lt;=-1,REKAP[[#This Row],[Harga Satuan]]*REKAP[[#This Row],[Selisih]],0)</f>
        <v>0</v>
      </c>
    </row>
    <row r="1994" spans="1:20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>
        <f>IF(REKAP[[#This Row],[Stok Aktual]]&lt;&gt;"",REKAP[[#This Row],[Stok Aktual]]-REKAP[[#This Row],[Stok Akhir]],0)</f>
        <v>0</v>
      </c>
      <c r="S1994" s="132"/>
      <c r="T1994" s="137">
        <f>IF(REKAP[[#This Row],[Selisih]]&lt;=-1,REKAP[[#This Row],[Harga Satuan]]*REKAP[[#This Row],[Selisih]],0)</f>
        <v>0</v>
      </c>
    </row>
    <row r="1995" spans="1:20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>
        <f>IF(REKAP[[#This Row],[Stok Aktual]]&lt;&gt;"",REKAP[[#This Row],[Stok Aktual]]-REKAP[[#This Row],[Stok Akhir]],0)</f>
        <v>0</v>
      </c>
      <c r="S1995" s="132"/>
      <c r="T1995" s="137">
        <f>IF(REKAP[[#This Row],[Selisih]]&lt;=-1,REKAP[[#This Row],[Harga Satuan]]*REKAP[[#This Row],[Selisih]],0)</f>
        <v>0</v>
      </c>
    </row>
    <row r="1996" spans="1:20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>
        <f>IF(REKAP[[#This Row],[Stok Aktual]]&lt;&gt;"",REKAP[[#This Row],[Stok Aktual]]-REKAP[[#This Row],[Stok Akhir]],0)</f>
        <v>0</v>
      </c>
      <c r="S1996" s="132"/>
      <c r="T1996" s="137">
        <f>IF(REKAP[[#This Row],[Selisih]]&lt;=-1,REKAP[[#This Row],[Harga Satuan]]*REKAP[[#This Row],[Selisih]],0)</f>
        <v>0</v>
      </c>
    </row>
    <row r="1997" spans="1:20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>
        <f>IF(REKAP[[#This Row],[Stok Aktual]]&lt;&gt;"",REKAP[[#This Row],[Stok Aktual]]-REKAP[[#This Row],[Stok Akhir]],0)</f>
        <v>0</v>
      </c>
      <c r="S1997" s="132"/>
      <c r="T1997" s="137">
        <f>IF(REKAP[[#This Row],[Selisih]]&lt;=-1,REKAP[[#This Row],[Harga Satuan]]*REKAP[[#This Row],[Selisih]],0)</f>
        <v>0</v>
      </c>
    </row>
    <row r="1998" spans="1:20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>
        <f>IF(REKAP[[#This Row],[Stok Aktual]]&lt;&gt;"",REKAP[[#This Row],[Stok Aktual]]-REKAP[[#This Row],[Stok Akhir]],0)</f>
        <v>0</v>
      </c>
      <c r="S1998" s="132"/>
      <c r="T1998" s="137">
        <f>IF(REKAP[[#This Row],[Selisih]]&lt;=-1,REKAP[[#This Row],[Harga Satuan]]*REKAP[[#This Row],[Selisih]],0)</f>
        <v>0</v>
      </c>
    </row>
    <row r="1999" spans="1:20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>
        <f>IF(REKAP[[#This Row],[Stok Aktual]]&lt;&gt;"",REKAP[[#This Row],[Stok Aktual]]-REKAP[[#This Row],[Stok Akhir]],0)</f>
        <v>0</v>
      </c>
      <c r="S1999" s="132"/>
      <c r="T1999" s="137">
        <f>IF(REKAP[[#This Row],[Selisih]]&lt;=-1,REKAP[[#This Row],[Harga Satuan]]*REKAP[[#This Row],[Selisih]],0)</f>
        <v>0</v>
      </c>
    </row>
    <row r="2000" spans="1:20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>
        <f>IF(REKAP[[#This Row],[Stok Aktual]]&lt;&gt;"",REKAP[[#This Row],[Stok Aktual]]-REKAP[[#This Row],[Stok Akhir]],0)</f>
        <v>0</v>
      </c>
      <c r="S2000" s="132"/>
      <c r="T2000" s="137">
        <f>IF(REKAP[[#This Row],[Selisih]]&lt;=-1,REKAP[[#This Row],[Harga Satuan]]*REKAP[[#This Row],[Selisih]],0)</f>
        <v>0</v>
      </c>
    </row>
    <row r="2001" spans="1:20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>
        <f>IF(REKAP[[#This Row],[Stok Aktual]]&lt;&gt;"",REKAP[[#This Row],[Stok Aktual]]-REKAP[[#This Row],[Stok Akhir]],0)</f>
        <v>0</v>
      </c>
      <c r="S2001" s="132"/>
      <c r="T2001" s="137">
        <f>IF(REKAP[[#This Row],[Selisih]]&lt;=-1,REKAP[[#This Row],[Harga Satuan]]*REKAP[[#This Row],[Selisih]],0)</f>
        <v>0</v>
      </c>
    </row>
    <row r="2002" spans="1:20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>
        <f>IF(REKAP[[#This Row],[Stok Aktual]]&lt;&gt;"",REKAP[[#This Row],[Stok Aktual]]-REKAP[[#This Row],[Stok Akhir]],0)</f>
        <v>0</v>
      </c>
      <c r="S2002" s="132"/>
      <c r="T2002" s="137">
        <f>IF(REKAP[[#This Row],[Selisih]]&lt;=-1,REKAP[[#This Row],[Harga Satuan]]*REKAP[[#This Row],[Selisih]],0)</f>
        <v>0</v>
      </c>
    </row>
    <row r="2003" spans="1:20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>
        <f>IF(REKAP[[#This Row],[Stok Aktual]]&lt;&gt;"",REKAP[[#This Row],[Stok Aktual]]-REKAP[[#This Row],[Stok Akhir]],0)</f>
        <v>0</v>
      </c>
      <c r="S2003" s="132"/>
      <c r="T2003" s="137">
        <f>IF(REKAP[[#This Row],[Selisih]]&lt;=-1,REKAP[[#This Row],[Harga Satuan]]*REKAP[[#This Row],[Selisih]],0)</f>
        <v>0</v>
      </c>
    </row>
    <row r="2004" spans="1:20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>
        <f>IF(REKAP[[#This Row],[Stok Aktual]]&lt;&gt;"",REKAP[[#This Row],[Stok Aktual]]-REKAP[[#This Row],[Stok Akhir]],0)</f>
        <v>0</v>
      </c>
      <c r="S2004" s="132"/>
      <c r="T2004" s="137">
        <f>IF(REKAP[[#This Row],[Selisih]]&lt;=-1,REKAP[[#This Row],[Harga Satuan]]*REKAP[[#This Row],[Selisih]],0)</f>
        <v>0</v>
      </c>
    </row>
    <row r="2005" spans="1:20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>
        <f>IF(REKAP[[#This Row],[Stok Aktual]]&lt;&gt;"",REKAP[[#This Row],[Stok Aktual]]-REKAP[[#This Row],[Stok Akhir]],0)</f>
        <v>0</v>
      </c>
      <c r="S2005" s="132"/>
      <c r="T2005" s="137">
        <f>IF(REKAP[[#This Row],[Selisih]]&lt;=-1,REKAP[[#This Row],[Harga Satuan]]*REKAP[[#This Row],[Selisih]],0)</f>
        <v>0</v>
      </c>
    </row>
    <row r="2006" spans="1:20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>
        <f>IF(REKAP[[#This Row],[Stok Aktual]]&lt;&gt;"",REKAP[[#This Row],[Stok Aktual]]-REKAP[[#This Row],[Stok Akhir]],0)</f>
        <v>0</v>
      </c>
      <c r="S2006" s="132"/>
      <c r="T2006" s="137">
        <f>IF(REKAP[[#This Row],[Selisih]]&lt;=-1,REKAP[[#This Row],[Harga Satuan]]*REKAP[[#This Row],[Selisih]],0)</f>
        <v>0</v>
      </c>
    </row>
    <row r="2007" spans="1:20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>
        <f>IF(REKAP[[#This Row],[Stok Aktual]]&lt;&gt;"",REKAP[[#This Row],[Stok Aktual]]-REKAP[[#This Row],[Stok Akhir]],0)</f>
        <v>0</v>
      </c>
      <c r="S2007" s="132"/>
      <c r="T2007" s="137">
        <f>IF(REKAP[[#This Row],[Selisih]]&lt;=-1,REKAP[[#This Row],[Harga Satuan]]*REKAP[[#This Row],[Selisih]],0)</f>
        <v>0</v>
      </c>
    </row>
    <row r="2008" spans="1:20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>
        <f>IF(REKAP[[#This Row],[Stok Aktual]]&lt;&gt;"",REKAP[[#This Row],[Stok Aktual]]-REKAP[[#This Row],[Stok Akhir]],0)</f>
        <v>0</v>
      </c>
      <c r="S2008" s="132"/>
      <c r="T2008" s="137">
        <f>IF(REKAP[[#This Row],[Selisih]]&lt;=-1,REKAP[[#This Row],[Harga Satuan]]*REKAP[[#This Row],[Selisih]],0)</f>
        <v>0</v>
      </c>
    </row>
    <row r="2009" spans="1:20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>
        <f>IF(REKAP[[#This Row],[Stok Aktual]]&lt;&gt;"",REKAP[[#This Row],[Stok Aktual]]-REKAP[[#This Row],[Stok Akhir]],0)</f>
        <v>0</v>
      </c>
      <c r="S2009" s="132"/>
      <c r="T2009" s="137">
        <f>IF(REKAP[[#This Row],[Selisih]]&lt;=-1,REKAP[[#This Row],[Harga Satuan]]*REKAP[[#This Row],[Selisih]],0)</f>
        <v>0</v>
      </c>
    </row>
    <row r="2010" spans="1:20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>
        <f>IF(REKAP[[#This Row],[Stok Aktual]]&lt;&gt;"",REKAP[[#This Row],[Stok Aktual]]-REKAP[[#This Row],[Stok Akhir]],0)</f>
        <v>0</v>
      </c>
      <c r="S2010" s="132"/>
      <c r="T2010" s="137">
        <f>IF(REKAP[[#This Row],[Selisih]]&lt;=-1,REKAP[[#This Row],[Harga Satuan]]*REKAP[[#This Row],[Selisih]],0)</f>
        <v>0</v>
      </c>
    </row>
    <row r="2011" spans="1:20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>
        <f>IF(REKAP[[#This Row],[Stok Aktual]]&lt;&gt;"",REKAP[[#This Row],[Stok Aktual]]-REKAP[[#This Row],[Stok Akhir]],0)</f>
        <v>0</v>
      </c>
      <c r="S2011" s="132"/>
      <c r="T2011" s="137">
        <f>IF(REKAP[[#This Row],[Selisih]]&lt;=-1,REKAP[[#This Row],[Harga Satuan]]*REKAP[[#This Row],[Selisih]],0)</f>
        <v>0</v>
      </c>
    </row>
    <row r="2012" spans="1:20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>
        <f>IF(REKAP[[#This Row],[Stok Aktual]]&lt;&gt;"",REKAP[[#This Row],[Stok Aktual]]-REKAP[[#This Row],[Stok Akhir]],0)</f>
        <v>0</v>
      </c>
      <c r="S2012" s="132"/>
      <c r="T2012" s="137">
        <f>IF(REKAP[[#This Row],[Selisih]]&lt;=-1,REKAP[[#This Row],[Harga Satuan]]*REKAP[[#This Row],[Selisih]],0)</f>
        <v>0</v>
      </c>
    </row>
    <row r="2013" spans="1:20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>
        <f>IF(REKAP[[#This Row],[Stok Aktual]]&lt;&gt;"",REKAP[[#This Row],[Stok Aktual]]-REKAP[[#This Row],[Stok Akhir]],0)</f>
        <v>0</v>
      </c>
      <c r="S2013" s="132"/>
      <c r="T2013" s="137">
        <f>IF(REKAP[[#This Row],[Selisih]]&lt;=-1,REKAP[[#This Row],[Harga Satuan]]*REKAP[[#This Row],[Selisih]],0)</f>
        <v>0</v>
      </c>
    </row>
    <row r="2014" spans="1:20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>
        <f>IF(REKAP[[#This Row],[Stok Aktual]]&lt;&gt;"",REKAP[[#This Row],[Stok Aktual]]-REKAP[[#This Row],[Stok Akhir]],0)</f>
        <v>0</v>
      </c>
      <c r="S2014" s="132"/>
      <c r="T2014" s="137">
        <f>IF(REKAP[[#This Row],[Selisih]]&lt;=-1,REKAP[[#This Row],[Harga Satuan]]*REKAP[[#This Row],[Selisih]],0)</f>
        <v>0</v>
      </c>
    </row>
    <row r="2015" spans="1:20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>
        <f>IF(REKAP[[#This Row],[Stok Aktual]]&lt;&gt;"",REKAP[[#This Row],[Stok Aktual]]-REKAP[[#This Row],[Stok Akhir]],0)</f>
        <v>0</v>
      </c>
      <c r="S2015" s="132"/>
      <c r="T2015" s="137">
        <f>IF(REKAP[[#This Row],[Selisih]]&lt;=-1,REKAP[[#This Row],[Harga Satuan]]*REKAP[[#This Row],[Selisih]],0)</f>
        <v>0</v>
      </c>
    </row>
    <row r="2016" spans="1:20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>
        <f>IF(REKAP[[#This Row],[Stok Aktual]]&lt;&gt;"",REKAP[[#This Row],[Stok Aktual]]-REKAP[[#This Row],[Stok Akhir]],0)</f>
        <v>0</v>
      </c>
      <c r="S2016" s="132"/>
      <c r="T2016" s="137">
        <f>IF(REKAP[[#This Row],[Selisih]]&lt;=-1,REKAP[[#This Row],[Harga Satuan]]*REKAP[[#This Row],[Selisih]],0)</f>
        <v>0</v>
      </c>
    </row>
    <row r="2017" spans="1:20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>
        <f>IF(REKAP[[#This Row],[Stok Aktual]]&lt;&gt;"",REKAP[[#This Row],[Stok Aktual]]-REKAP[[#This Row],[Stok Akhir]],0)</f>
        <v>0</v>
      </c>
      <c r="S2017" s="132"/>
      <c r="T2017" s="137">
        <f>IF(REKAP[[#This Row],[Selisih]]&lt;=-1,REKAP[[#This Row],[Harga Satuan]]*REKAP[[#This Row],[Selisih]],0)</f>
        <v>0</v>
      </c>
    </row>
    <row r="2018" spans="1:20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>
        <f>IF(REKAP[[#This Row],[Stok Aktual]]&lt;&gt;"",REKAP[[#This Row],[Stok Aktual]]-REKAP[[#This Row],[Stok Akhir]],0)</f>
        <v>0</v>
      </c>
      <c r="S2018" s="132"/>
      <c r="T2018" s="137">
        <f>IF(REKAP[[#This Row],[Selisih]]&lt;=-1,REKAP[[#This Row],[Harga Satuan]]*REKAP[[#This Row],[Selisih]],0)</f>
        <v>0</v>
      </c>
    </row>
    <row r="2019" spans="1:20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>
        <f>IF(REKAP[[#This Row],[Stok Aktual]]&lt;&gt;"",REKAP[[#This Row],[Stok Aktual]]-REKAP[[#This Row],[Stok Akhir]],0)</f>
        <v>0</v>
      </c>
      <c r="S2019" s="132"/>
      <c r="T2019" s="137">
        <f>IF(REKAP[[#This Row],[Selisih]]&lt;=-1,REKAP[[#This Row],[Harga Satuan]]*REKAP[[#This Row],[Selisih]],0)</f>
        <v>0</v>
      </c>
    </row>
    <row r="2020" spans="1:20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>
        <f>IF(REKAP[[#This Row],[Stok Aktual]]&lt;&gt;"",REKAP[[#This Row],[Stok Aktual]]-REKAP[[#This Row],[Stok Akhir]],0)</f>
        <v>0</v>
      </c>
      <c r="S2020" s="132"/>
      <c r="T2020" s="137">
        <f>IF(REKAP[[#This Row],[Selisih]]&lt;=-1,REKAP[[#This Row],[Harga Satuan]]*REKAP[[#This Row],[Selisih]],0)</f>
        <v>0</v>
      </c>
    </row>
    <row r="2021" spans="1:20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>
        <f>IF(REKAP[[#This Row],[Stok Aktual]]&lt;&gt;"",REKAP[[#This Row],[Stok Aktual]]-REKAP[[#This Row],[Stok Akhir]],0)</f>
        <v>0</v>
      </c>
      <c r="S2021" s="132"/>
      <c r="T2021" s="137">
        <f>IF(REKAP[[#This Row],[Selisih]]&lt;=-1,REKAP[[#This Row],[Harga Satuan]]*REKAP[[#This Row],[Selisih]],0)</f>
        <v>0</v>
      </c>
    </row>
    <row r="2022" spans="1:20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>
        <f>IF(REKAP[[#This Row],[Stok Aktual]]&lt;&gt;"",REKAP[[#This Row],[Stok Aktual]]-REKAP[[#This Row],[Stok Akhir]],0)</f>
        <v>0</v>
      </c>
      <c r="S2022" s="132"/>
      <c r="T2022" s="137">
        <f>IF(REKAP[[#This Row],[Selisih]]&lt;=-1,REKAP[[#This Row],[Harga Satuan]]*REKAP[[#This Row],[Selisih]],0)</f>
        <v>0</v>
      </c>
    </row>
    <row r="2023" spans="1:20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>
        <f>IF(REKAP[[#This Row],[Stok Aktual]]&lt;&gt;"",REKAP[[#This Row],[Stok Aktual]]-REKAP[[#This Row],[Stok Akhir]],0)</f>
        <v>0</v>
      </c>
      <c r="S2023" s="132"/>
      <c r="T2023" s="137">
        <f>IF(REKAP[[#This Row],[Selisih]]&lt;=-1,REKAP[[#This Row],[Harga Satuan]]*REKAP[[#This Row],[Selisih]],0)</f>
        <v>0</v>
      </c>
    </row>
    <row r="2024" spans="1:20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>
        <f>IF(REKAP[[#This Row],[Stok Aktual]]&lt;&gt;"",REKAP[[#This Row],[Stok Aktual]]-REKAP[[#This Row],[Stok Akhir]],0)</f>
        <v>0</v>
      </c>
      <c r="S2024" s="132"/>
      <c r="T2024" s="137">
        <f>IF(REKAP[[#This Row],[Selisih]]&lt;=-1,REKAP[[#This Row],[Harga Satuan]]*REKAP[[#This Row],[Selisih]],0)</f>
        <v>0</v>
      </c>
    </row>
    <row r="2025" spans="1:20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>
        <f>IF(REKAP[[#This Row],[Stok Aktual]]&lt;&gt;"",REKAP[[#This Row],[Stok Aktual]]-REKAP[[#This Row],[Stok Akhir]],0)</f>
        <v>0</v>
      </c>
      <c r="S2025" s="132"/>
      <c r="T2025" s="137">
        <f>IF(REKAP[[#This Row],[Selisih]]&lt;=-1,REKAP[[#This Row],[Harga Satuan]]*REKAP[[#This Row],[Selisih]],0)</f>
        <v>0</v>
      </c>
    </row>
    <row r="2026" spans="1:20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>
        <f>IF(REKAP[[#This Row],[Stok Aktual]]&lt;&gt;"",REKAP[[#This Row],[Stok Aktual]]-REKAP[[#This Row],[Stok Akhir]],0)</f>
        <v>0</v>
      </c>
      <c r="S2026" s="132"/>
      <c r="T2026" s="137">
        <f>IF(REKAP[[#This Row],[Selisih]]&lt;=-1,REKAP[[#This Row],[Harga Satuan]]*REKAP[[#This Row],[Selisih]],0)</f>
        <v>0</v>
      </c>
    </row>
    <row r="2027" spans="1:20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>
        <f>IF(REKAP[[#This Row],[Stok Aktual]]&lt;&gt;"",REKAP[[#This Row],[Stok Aktual]]-REKAP[[#This Row],[Stok Akhir]],0)</f>
        <v>0</v>
      </c>
      <c r="S2027" s="132"/>
      <c r="T2027" s="137">
        <f>IF(REKAP[[#This Row],[Selisih]]&lt;=-1,REKAP[[#This Row],[Harga Satuan]]*REKAP[[#This Row],[Selisih]],0)</f>
        <v>0</v>
      </c>
    </row>
    <row r="2028" spans="1:20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>
        <f>IF(REKAP[[#This Row],[Stok Aktual]]&lt;&gt;"",REKAP[[#This Row],[Stok Aktual]]-REKAP[[#This Row],[Stok Akhir]],0)</f>
        <v>0</v>
      </c>
      <c r="S2028" s="132"/>
      <c r="T2028" s="137">
        <f>IF(REKAP[[#This Row],[Selisih]]&lt;=-1,REKAP[[#This Row],[Harga Satuan]]*REKAP[[#This Row],[Selisih]],0)</f>
        <v>0</v>
      </c>
    </row>
    <row r="2029" spans="1:20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>
        <f>IF(REKAP[[#This Row],[Stok Aktual]]&lt;&gt;"",REKAP[[#This Row],[Stok Aktual]]-REKAP[[#This Row],[Stok Akhir]],0)</f>
        <v>0</v>
      </c>
      <c r="S2029" s="132"/>
      <c r="T2029" s="137">
        <f>IF(REKAP[[#This Row],[Selisih]]&lt;=-1,REKAP[[#This Row],[Harga Satuan]]*REKAP[[#This Row],[Selisih]],0)</f>
        <v>0</v>
      </c>
    </row>
    <row r="2030" spans="1:20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>
        <f>IF(REKAP[[#This Row],[Stok Aktual]]&lt;&gt;"",REKAP[[#This Row],[Stok Aktual]]-REKAP[[#This Row],[Stok Akhir]],0)</f>
        <v>0</v>
      </c>
      <c r="S2030" s="132"/>
      <c r="T2030" s="137">
        <f>IF(REKAP[[#This Row],[Selisih]]&lt;=-1,REKAP[[#This Row],[Harga Satuan]]*REKAP[[#This Row],[Selisih]],0)</f>
        <v>0</v>
      </c>
    </row>
    <row r="2031" spans="1:20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>
        <f>IF(REKAP[[#This Row],[Stok Aktual]]&lt;&gt;"",REKAP[[#This Row],[Stok Aktual]]-REKAP[[#This Row],[Stok Akhir]],0)</f>
        <v>0</v>
      </c>
      <c r="S2031" s="132"/>
      <c r="T2031" s="137">
        <f>IF(REKAP[[#This Row],[Selisih]]&lt;=-1,REKAP[[#This Row],[Harga Satuan]]*REKAP[[#This Row],[Selisih]],0)</f>
        <v>0</v>
      </c>
    </row>
    <row r="2032" spans="1:20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>
        <f>IF(REKAP[[#This Row],[Stok Aktual]]&lt;&gt;"",REKAP[[#This Row],[Stok Aktual]]-REKAP[[#This Row],[Stok Akhir]],0)</f>
        <v>0</v>
      </c>
      <c r="S2032" s="132"/>
      <c r="T2032" s="137">
        <f>IF(REKAP[[#This Row],[Selisih]]&lt;=-1,REKAP[[#This Row],[Harga Satuan]]*REKAP[[#This Row],[Selisih]],0)</f>
        <v>0</v>
      </c>
    </row>
    <row r="2033" spans="1:20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>
        <f>IF(REKAP[[#This Row],[Stok Aktual]]&lt;&gt;"",REKAP[[#This Row],[Stok Aktual]]-REKAP[[#This Row],[Stok Akhir]],0)</f>
        <v>0</v>
      </c>
      <c r="S2033" s="132"/>
      <c r="T2033" s="137">
        <f>IF(REKAP[[#This Row],[Selisih]]&lt;=-1,REKAP[[#This Row],[Harga Satuan]]*REKAP[[#This Row],[Selisih]],0)</f>
        <v>0</v>
      </c>
    </row>
    <row r="2034" spans="1:20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>
        <f>IF(REKAP[[#This Row],[Stok Aktual]]&lt;&gt;"",REKAP[[#This Row],[Stok Aktual]]-REKAP[[#This Row],[Stok Akhir]],0)</f>
        <v>0</v>
      </c>
      <c r="S2034" s="132"/>
      <c r="T2034" s="137">
        <f>IF(REKAP[[#This Row],[Selisih]]&lt;=-1,REKAP[[#This Row],[Harga Satuan]]*REKAP[[#This Row],[Selisih]],0)</f>
        <v>0</v>
      </c>
    </row>
    <row r="2035" spans="1:20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>
        <f>IF(REKAP[[#This Row],[Stok Aktual]]&lt;&gt;"",REKAP[[#This Row],[Stok Aktual]]-REKAP[[#This Row],[Stok Akhir]],0)</f>
        <v>0</v>
      </c>
      <c r="S2035" s="132"/>
      <c r="T2035" s="137">
        <f>IF(REKAP[[#This Row],[Selisih]]&lt;=-1,REKAP[[#This Row],[Harga Satuan]]*REKAP[[#This Row],[Selisih]],0)</f>
        <v>0</v>
      </c>
    </row>
    <row r="2036" spans="1:20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>
        <f>IF(REKAP[[#This Row],[Stok Aktual]]&lt;&gt;"",REKAP[[#This Row],[Stok Aktual]]-REKAP[[#This Row],[Stok Akhir]],0)</f>
        <v>0</v>
      </c>
      <c r="S2036" s="132"/>
      <c r="T2036" s="137">
        <f>IF(REKAP[[#This Row],[Selisih]]&lt;=-1,REKAP[[#This Row],[Harga Satuan]]*REKAP[[#This Row],[Selisih]],0)</f>
        <v>0</v>
      </c>
    </row>
    <row r="2037" spans="1:20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>
        <f>IF(REKAP[[#This Row],[Stok Aktual]]&lt;&gt;"",REKAP[[#This Row],[Stok Aktual]]-REKAP[[#This Row],[Stok Akhir]],0)</f>
        <v>0</v>
      </c>
      <c r="S2037" s="132"/>
      <c r="T2037" s="137">
        <f>IF(REKAP[[#This Row],[Selisih]]&lt;=-1,REKAP[[#This Row],[Harga Satuan]]*REKAP[[#This Row],[Selisih]],0)</f>
        <v>0</v>
      </c>
    </row>
    <row r="2038" spans="1:20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>
        <f>IF(REKAP[[#This Row],[Stok Aktual]]&lt;&gt;"",REKAP[[#This Row],[Stok Aktual]]-REKAP[[#This Row],[Stok Akhir]],0)</f>
        <v>0</v>
      </c>
      <c r="S2038" s="132"/>
      <c r="T2038" s="137">
        <f>IF(REKAP[[#This Row],[Selisih]]&lt;=-1,REKAP[[#This Row],[Harga Satuan]]*REKAP[[#This Row],[Selisih]],0)</f>
        <v>0</v>
      </c>
    </row>
    <row r="2039" spans="1:20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>
        <f>IF(REKAP[[#This Row],[Stok Aktual]]&lt;&gt;"",REKAP[[#This Row],[Stok Aktual]]-REKAP[[#This Row],[Stok Akhir]],0)</f>
        <v>0</v>
      </c>
      <c r="S2039" s="132"/>
      <c r="T2039" s="137">
        <f>IF(REKAP[[#This Row],[Selisih]]&lt;=-1,REKAP[[#This Row],[Harga Satuan]]*REKAP[[#This Row],[Selisih]],0)</f>
        <v>0</v>
      </c>
    </row>
    <row r="2040" spans="1:20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>
        <f>IF(REKAP[[#This Row],[Stok Aktual]]&lt;&gt;"",REKAP[[#This Row],[Stok Aktual]]-REKAP[[#This Row],[Stok Akhir]],0)</f>
        <v>0</v>
      </c>
      <c r="S2040" s="132"/>
      <c r="T2040" s="137">
        <f>IF(REKAP[[#This Row],[Selisih]]&lt;=-1,REKAP[[#This Row],[Harga Satuan]]*REKAP[[#This Row],[Selisih]],0)</f>
        <v>0</v>
      </c>
    </row>
    <row r="2041" spans="1:20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>
        <f>IF(REKAP[[#This Row],[Stok Aktual]]&lt;&gt;"",REKAP[[#This Row],[Stok Aktual]]-REKAP[[#This Row],[Stok Akhir]],0)</f>
        <v>0</v>
      </c>
      <c r="S2041" s="132"/>
      <c r="T2041" s="137">
        <f>IF(REKAP[[#This Row],[Selisih]]&lt;=-1,REKAP[[#This Row],[Harga Satuan]]*REKAP[[#This Row],[Selisih]],0)</f>
        <v>0</v>
      </c>
    </row>
    <row r="2042" spans="1:20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>
        <f>IF(REKAP[[#This Row],[Stok Aktual]]&lt;&gt;"",REKAP[[#This Row],[Stok Aktual]]-REKAP[[#This Row],[Stok Akhir]],0)</f>
        <v>0</v>
      </c>
      <c r="S2042" s="132"/>
      <c r="T2042" s="137">
        <f>IF(REKAP[[#This Row],[Selisih]]&lt;=-1,REKAP[[#This Row],[Harga Satuan]]*REKAP[[#This Row],[Selisih]],0)</f>
        <v>0</v>
      </c>
    </row>
    <row r="2043" spans="1:20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>
        <f>IF(REKAP[[#This Row],[Stok Aktual]]&lt;&gt;"",REKAP[[#This Row],[Stok Aktual]]-REKAP[[#This Row],[Stok Akhir]],0)</f>
        <v>0</v>
      </c>
      <c r="S2043" s="132"/>
      <c r="T2043" s="137">
        <f>IF(REKAP[[#This Row],[Selisih]]&lt;=-1,REKAP[[#This Row],[Harga Satuan]]*REKAP[[#This Row],[Selisih]],0)</f>
        <v>0</v>
      </c>
    </row>
    <row r="2044" spans="1:20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>
        <f>IF(REKAP[[#This Row],[Stok Aktual]]&lt;&gt;"",REKAP[[#This Row],[Stok Aktual]]-REKAP[[#This Row],[Stok Akhir]],0)</f>
        <v>0</v>
      </c>
      <c r="S2044" s="132"/>
      <c r="T2044" s="137">
        <f>IF(REKAP[[#This Row],[Selisih]]&lt;=-1,REKAP[[#This Row],[Harga Satuan]]*REKAP[[#This Row],[Selisih]],0)</f>
        <v>0</v>
      </c>
    </row>
    <row r="2045" spans="1:20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>
        <f>IF(REKAP[[#This Row],[Stok Aktual]]&lt;&gt;"",REKAP[[#This Row],[Stok Aktual]]-REKAP[[#This Row],[Stok Akhir]],0)</f>
        <v>0</v>
      </c>
      <c r="S2045" s="132"/>
      <c r="T2045" s="137">
        <f>IF(REKAP[[#This Row],[Selisih]]&lt;=-1,REKAP[[#This Row],[Harga Satuan]]*REKAP[[#This Row],[Selisih]],0)</f>
        <v>0</v>
      </c>
    </row>
    <row r="2046" spans="1:20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>
        <f>IF(REKAP[[#This Row],[Stok Aktual]]&lt;&gt;"",REKAP[[#This Row],[Stok Aktual]]-REKAP[[#This Row],[Stok Akhir]],0)</f>
        <v>0</v>
      </c>
      <c r="S2046" s="132"/>
      <c r="T2046" s="137">
        <f>IF(REKAP[[#This Row],[Selisih]]&lt;=-1,REKAP[[#This Row],[Harga Satuan]]*REKAP[[#This Row],[Selisih]],0)</f>
        <v>0</v>
      </c>
    </row>
    <row r="2047" spans="1:20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>
        <f>IF(REKAP[[#This Row],[Stok Aktual]]&lt;&gt;"",REKAP[[#This Row],[Stok Aktual]]-REKAP[[#This Row],[Stok Akhir]],0)</f>
        <v>0</v>
      </c>
      <c r="S2047" s="132"/>
      <c r="T2047" s="137">
        <f>IF(REKAP[[#This Row],[Selisih]]&lt;=-1,REKAP[[#This Row],[Harga Satuan]]*REKAP[[#This Row],[Selisih]],0)</f>
        <v>0</v>
      </c>
    </row>
    <row r="2048" spans="1:20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>
        <f>IF(REKAP[[#This Row],[Stok Aktual]]&lt;&gt;"",REKAP[[#This Row],[Stok Aktual]]-REKAP[[#This Row],[Stok Akhir]],0)</f>
        <v>0</v>
      </c>
      <c r="S2048" s="132"/>
      <c r="T2048" s="137">
        <f>IF(REKAP[[#This Row],[Selisih]]&lt;=-1,REKAP[[#This Row],[Harga Satuan]]*REKAP[[#This Row],[Selisih]],0)</f>
        <v>0</v>
      </c>
    </row>
    <row r="2049" spans="1:20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>
        <f>IF(REKAP[[#This Row],[Stok Aktual]]&lt;&gt;"",REKAP[[#This Row],[Stok Aktual]]-REKAP[[#This Row],[Stok Akhir]],0)</f>
        <v>0</v>
      </c>
      <c r="S2049" s="132"/>
      <c r="T2049" s="137">
        <f>IF(REKAP[[#This Row],[Selisih]]&lt;=-1,REKAP[[#This Row],[Harga Satuan]]*REKAP[[#This Row],[Selisih]],0)</f>
        <v>0</v>
      </c>
    </row>
    <row r="2050" spans="1:20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>
        <f>IF(REKAP[[#This Row],[Stok Aktual]]&lt;&gt;"",REKAP[[#This Row],[Stok Aktual]]-REKAP[[#This Row],[Stok Akhir]],0)</f>
        <v>0</v>
      </c>
      <c r="S2050" s="132"/>
      <c r="T2050" s="137">
        <f>IF(REKAP[[#This Row],[Selisih]]&lt;=-1,REKAP[[#This Row],[Harga Satuan]]*REKAP[[#This Row],[Selisih]],0)</f>
        <v>0</v>
      </c>
    </row>
    <row r="2051" spans="1:20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>
        <f>IF(REKAP[[#This Row],[Stok Aktual]]&lt;&gt;"",REKAP[[#This Row],[Stok Aktual]]-REKAP[[#This Row],[Stok Akhir]],0)</f>
        <v>0</v>
      </c>
      <c r="S2051" s="132"/>
      <c r="T2051" s="137">
        <f>IF(REKAP[[#This Row],[Selisih]]&lt;=-1,REKAP[[#This Row],[Harga Satuan]]*REKAP[[#This Row],[Selisih]],0)</f>
        <v>0</v>
      </c>
    </row>
    <row r="2052" spans="1:20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>
        <f>IF(REKAP[[#This Row],[Stok Aktual]]&lt;&gt;"",REKAP[[#This Row],[Stok Aktual]]-REKAP[[#This Row],[Stok Akhir]],0)</f>
        <v>0</v>
      </c>
      <c r="S2052" s="132"/>
      <c r="T2052" s="137">
        <f>IF(REKAP[[#This Row],[Selisih]]&lt;=-1,REKAP[[#This Row],[Harga Satuan]]*REKAP[[#This Row],[Selisih]],0)</f>
        <v>0</v>
      </c>
    </row>
    <row r="2053" spans="1:20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>
        <f>IF(REKAP[[#This Row],[Stok Aktual]]&lt;&gt;"",REKAP[[#This Row],[Stok Aktual]]-REKAP[[#This Row],[Stok Akhir]],0)</f>
        <v>0</v>
      </c>
      <c r="S2053" s="132"/>
      <c r="T2053" s="137">
        <f>IF(REKAP[[#This Row],[Selisih]]&lt;=-1,REKAP[[#This Row],[Harga Satuan]]*REKAP[[#This Row],[Selisih]],0)</f>
        <v>0</v>
      </c>
    </row>
    <row r="2054" spans="1:20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>
        <f>IF(REKAP[[#This Row],[Stok Aktual]]&lt;&gt;"",REKAP[[#This Row],[Stok Aktual]]-REKAP[[#This Row],[Stok Akhir]],0)</f>
        <v>0</v>
      </c>
      <c r="S2054" s="132"/>
      <c r="T2054" s="137">
        <f>IF(REKAP[[#This Row],[Selisih]]&lt;=-1,REKAP[[#This Row],[Harga Satuan]]*REKAP[[#This Row],[Selisih]],0)</f>
        <v>0</v>
      </c>
    </row>
    <row r="2055" spans="1:20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>
        <f>IF(REKAP[[#This Row],[Stok Aktual]]&lt;&gt;"",REKAP[[#This Row],[Stok Aktual]]-REKAP[[#This Row],[Stok Akhir]],0)</f>
        <v>0</v>
      </c>
      <c r="S2055" s="132"/>
      <c r="T2055" s="137">
        <f>IF(REKAP[[#This Row],[Selisih]]&lt;=-1,REKAP[[#This Row],[Harga Satuan]]*REKAP[[#This Row],[Selisih]],0)</f>
        <v>0</v>
      </c>
    </row>
    <row r="2056" spans="1:20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>
        <f>IF(REKAP[[#This Row],[Stok Aktual]]&lt;&gt;"",REKAP[[#This Row],[Stok Aktual]]-REKAP[[#This Row],[Stok Akhir]],0)</f>
        <v>0</v>
      </c>
      <c r="S2056" s="132"/>
      <c r="T2056" s="137">
        <f>IF(REKAP[[#This Row],[Selisih]]&lt;=-1,REKAP[[#This Row],[Harga Satuan]]*REKAP[[#This Row],[Selisih]],0)</f>
        <v>0</v>
      </c>
    </row>
    <row r="2057" spans="1:20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>
        <f>IF(REKAP[[#This Row],[Stok Aktual]]&lt;&gt;"",REKAP[[#This Row],[Stok Aktual]]-REKAP[[#This Row],[Stok Akhir]],0)</f>
        <v>0</v>
      </c>
      <c r="S2057" s="132"/>
      <c r="T2057" s="137">
        <f>IF(REKAP[[#This Row],[Selisih]]&lt;=-1,REKAP[[#This Row],[Harga Satuan]]*REKAP[[#This Row],[Selisih]],0)</f>
        <v>0</v>
      </c>
    </row>
    <row r="2058" spans="1:20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>
        <f>IF(REKAP[[#This Row],[Stok Aktual]]&lt;&gt;"",REKAP[[#This Row],[Stok Aktual]]-REKAP[[#This Row],[Stok Akhir]],0)</f>
        <v>0</v>
      </c>
      <c r="S2058" s="132"/>
      <c r="T2058" s="137">
        <f>IF(REKAP[[#This Row],[Selisih]]&lt;=-1,REKAP[[#This Row],[Harga Satuan]]*REKAP[[#This Row],[Selisih]],0)</f>
        <v>0</v>
      </c>
    </row>
    <row r="2059" spans="1:20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>
        <f>IF(REKAP[[#This Row],[Stok Aktual]]&lt;&gt;"",REKAP[[#This Row],[Stok Aktual]]-REKAP[[#This Row],[Stok Akhir]],0)</f>
        <v>0</v>
      </c>
      <c r="S2059" s="132"/>
      <c r="T2059" s="137">
        <f>IF(REKAP[[#This Row],[Selisih]]&lt;=-1,REKAP[[#This Row],[Harga Satuan]]*REKAP[[#This Row],[Selisih]],0)</f>
        <v>0</v>
      </c>
    </row>
    <row r="2060" spans="1:20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>
        <f>IF(REKAP[[#This Row],[Stok Aktual]]&lt;&gt;"",REKAP[[#This Row],[Stok Aktual]]-REKAP[[#This Row],[Stok Akhir]],0)</f>
        <v>0</v>
      </c>
      <c r="S2060" s="132"/>
      <c r="T2060" s="137">
        <f>IF(REKAP[[#This Row],[Selisih]]&lt;=-1,REKAP[[#This Row],[Harga Satuan]]*REKAP[[#This Row],[Selisih]],0)</f>
        <v>0</v>
      </c>
    </row>
    <row r="2061" spans="1:20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>
        <f>IF(REKAP[[#This Row],[Stok Aktual]]&lt;&gt;"",REKAP[[#This Row],[Stok Aktual]]-REKAP[[#This Row],[Stok Akhir]],0)</f>
        <v>0</v>
      </c>
      <c r="S2061" s="132"/>
      <c r="T2061" s="137">
        <f>IF(REKAP[[#This Row],[Selisih]]&lt;=-1,REKAP[[#This Row],[Harga Satuan]]*REKAP[[#This Row],[Selisih]],0)</f>
        <v>0</v>
      </c>
    </row>
    <row r="2062" spans="1:20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>
        <f>IF(REKAP[[#This Row],[Stok Aktual]]&lt;&gt;"",REKAP[[#This Row],[Stok Aktual]]-REKAP[[#This Row],[Stok Akhir]],0)</f>
        <v>0</v>
      </c>
      <c r="S2062" s="132"/>
      <c r="T2062" s="137">
        <f>IF(REKAP[[#This Row],[Selisih]]&lt;=-1,REKAP[[#This Row],[Harga Satuan]]*REKAP[[#This Row],[Selisih]],0)</f>
        <v>0</v>
      </c>
    </row>
    <row r="2063" spans="1:20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>
        <f>IF(REKAP[[#This Row],[Stok Aktual]]&lt;&gt;"",REKAP[[#This Row],[Stok Aktual]]-REKAP[[#This Row],[Stok Akhir]],0)</f>
        <v>0</v>
      </c>
      <c r="S2063" s="132"/>
      <c r="T2063" s="137">
        <f>IF(REKAP[[#This Row],[Selisih]]&lt;=-1,REKAP[[#This Row],[Harga Satuan]]*REKAP[[#This Row],[Selisih]],0)</f>
        <v>0</v>
      </c>
    </row>
    <row r="2064" spans="1:20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>
        <f>IF(REKAP[[#This Row],[Stok Aktual]]&lt;&gt;"",REKAP[[#This Row],[Stok Aktual]]-REKAP[[#This Row],[Stok Akhir]],0)</f>
        <v>0</v>
      </c>
      <c r="S2064" s="132"/>
      <c r="T2064" s="137">
        <f>IF(REKAP[[#This Row],[Selisih]]&lt;=-1,REKAP[[#This Row],[Harga Satuan]]*REKAP[[#This Row],[Selisih]],0)</f>
        <v>0</v>
      </c>
    </row>
    <row r="2065" spans="1:20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>
        <f>IF(REKAP[[#This Row],[Stok Aktual]]&lt;&gt;"",REKAP[[#This Row],[Stok Aktual]]-REKAP[[#This Row],[Stok Akhir]],0)</f>
        <v>0</v>
      </c>
      <c r="S2065" s="132"/>
      <c r="T2065" s="137">
        <f>IF(REKAP[[#This Row],[Selisih]]&lt;=-1,REKAP[[#This Row],[Harga Satuan]]*REKAP[[#This Row],[Selisih]],0)</f>
        <v>0</v>
      </c>
    </row>
    <row r="2066" spans="1:20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>
        <f>IF(REKAP[[#This Row],[Stok Aktual]]&lt;&gt;"",REKAP[[#This Row],[Stok Aktual]]-REKAP[[#This Row],[Stok Akhir]],0)</f>
        <v>0</v>
      </c>
      <c r="S2066" s="132"/>
      <c r="T2066" s="137">
        <f>IF(REKAP[[#This Row],[Selisih]]&lt;=-1,REKAP[[#This Row],[Harga Satuan]]*REKAP[[#This Row],[Selisih]],0)</f>
        <v>0</v>
      </c>
    </row>
    <row r="2067" spans="1:20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>
        <f>IF(REKAP[[#This Row],[Stok Aktual]]&lt;&gt;"",REKAP[[#This Row],[Stok Aktual]]-REKAP[[#This Row],[Stok Akhir]],0)</f>
        <v>0</v>
      </c>
      <c r="S2067" s="132"/>
      <c r="T2067" s="137">
        <f>IF(REKAP[[#This Row],[Selisih]]&lt;=-1,REKAP[[#This Row],[Harga Satuan]]*REKAP[[#This Row],[Selisih]],0)</f>
        <v>0</v>
      </c>
    </row>
    <row r="2068" spans="1:20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>
        <f>IF(REKAP[[#This Row],[Stok Aktual]]&lt;&gt;"",REKAP[[#This Row],[Stok Aktual]]-REKAP[[#This Row],[Stok Akhir]],0)</f>
        <v>0</v>
      </c>
      <c r="S2068" s="132"/>
      <c r="T2068" s="137">
        <f>IF(REKAP[[#This Row],[Selisih]]&lt;=-1,REKAP[[#This Row],[Harga Satuan]]*REKAP[[#This Row],[Selisih]],0)</f>
        <v>0</v>
      </c>
    </row>
    <row r="2069" spans="1:20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>
        <f>IF(REKAP[[#This Row],[Stok Aktual]]&lt;&gt;"",REKAP[[#This Row],[Stok Aktual]]-REKAP[[#This Row],[Stok Akhir]],0)</f>
        <v>0</v>
      </c>
      <c r="S2069" s="132"/>
      <c r="T2069" s="137">
        <f>IF(REKAP[[#This Row],[Selisih]]&lt;=-1,REKAP[[#This Row],[Harga Satuan]]*REKAP[[#This Row],[Selisih]],0)</f>
        <v>0</v>
      </c>
    </row>
    <row r="2070" spans="1:20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>
        <f>IF(REKAP[[#This Row],[Stok Aktual]]&lt;&gt;"",REKAP[[#This Row],[Stok Aktual]]-REKAP[[#This Row],[Stok Akhir]],0)</f>
        <v>0</v>
      </c>
      <c r="S2070" s="132"/>
      <c r="T2070" s="137">
        <f>IF(REKAP[[#This Row],[Selisih]]&lt;=-1,REKAP[[#This Row],[Harga Satuan]]*REKAP[[#This Row],[Selisih]],0)</f>
        <v>0</v>
      </c>
    </row>
    <row r="2071" spans="1:20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>
        <f>IF(REKAP[[#This Row],[Stok Aktual]]&lt;&gt;"",REKAP[[#This Row],[Stok Aktual]]-REKAP[[#This Row],[Stok Akhir]],0)</f>
        <v>0</v>
      </c>
      <c r="S2071" s="132"/>
      <c r="T2071" s="137">
        <f>IF(REKAP[[#This Row],[Selisih]]&lt;=-1,REKAP[[#This Row],[Harga Satuan]]*REKAP[[#This Row],[Selisih]],0)</f>
        <v>0</v>
      </c>
    </row>
    <row r="2072" spans="1:20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>
        <f>IF(REKAP[[#This Row],[Stok Aktual]]&lt;&gt;"",REKAP[[#This Row],[Stok Aktual]]-REKAP[[#This Row],[Stok Akhir]],0)</f>
        <v>0</v>
      </c>
      <c r="S2072" s="132"/>
      <c r="T2072" s="137">
        <f>IF(REKAP[[#This Row],[Selisih]]&lt;=-1,REKAP[[#This Row],[Harga Satuan]]*REKAP[[#This Row],[Selisih]],0)</f>
        <v>0</v>
      </c>
    </row>
    <row r="2073" spans="1:20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>
        <f>IF(REKAP[[#This Row],[Stok Aktual]]&lt;&gt;"",REKAP[[#This Row],[Stok Aktual]]-REKAP[[#This Row],[Stok Akhir]],0)</f>
        <v>0</v>
      </c>
      <c r="S2073" s="132"/>
      <c r="T2073" s="137">
        <f>IF(REKAP[[#This Row],[Selisih]]&lt;=-1,REKAP[[#This Row],[Harga Satuan]]*REKAP[[#This Row],[Selisih]],0)</f>
        <v>0</v>
      </c>
    </row>
    <row r="2074" spans="1:20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>
        <f>IF(REKAP[[#This Row],[Stok Aktual]]&lt;&gt;"",REKAP[[#This Row],[Stok Aktual]]-REKAP[[#This Row],[Stok Akhir]],0)</f>
        <v>0</v>
      </c>
      <c r="S2074" s="132"/>
      <c r="T2074" s="137">
        <f>IF(REKAP[[#This Row],[Selisih]]&lt;=-1,REKAP[[#This Row],[Harga Satuan]]*REKAP[[#This Row],[Selisih]],0)</f>
        <v>0</v>
      </c>
    </row>
    <row r="2075" spans="1:20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>
        <f>IF(REKAP[[#This Row],[Stok Aktual]]&lt;&gt;"",REKAP[[#This Row],[Stok Aktual]]-REKAP[[#This Row],[Stok Akhir]],0)</f>
        <v>0</v>
      </c>
      <c r="S2075" s="132"/>
      <c r="T2075" s="137">
        <f>IF(REKAP[[#This Row],[Selisih]]&lt;=-1,REKAP[[#This Row],[Harga Satuan]]*REKAP[[#This Row],[Selisih]],0)</f>
        <v>0</v>
      </c>
    </row>
    <row r="2076" spans="1:20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>
        <f>IF(REKAP[[#This Row],[Stok Aktual]]&lt;&gt;"",REKAP[[#This Row],[Stok Aktual]]-REKAP[[#This Row],[Stok Akhir]],0)</f>
        <v>0</v>
      </c>
      <c r="S2076" s="132"/>
      <c r="T2076" s="137">
        <f>IF(REKAP[[#This Row],[Selisih]]&lt;=-1,REKAP[[#This Row],[Harga Satuan]]*REKAP[[#This Row],[Selisih]],0)</f>
        <v>0</v>
      </c>
    </row>
    <row r="2077" spans="1:20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>
        <f>IF(REKAP[[#This Row],[Stok Aktual]]&lt;&gt;"",REKAP[[#This Row],[Stok Aktual]]-REKAP[[#This Row],[Stok Akhir]],0)</f>
        <v>0</v>
      </c>
      <c r="S2077" s="132"/>
      <c r="T2077" s="137">
        <f>IF(REKAP[[#This Row],[Selisih]]&lt;=-1,REKAP[[#This Row],[Harga Satuan]]*REKAP[[#This Row],[Selisih]],0)</f>
        <v>0</v>
      </c>
    </row>
    <row r="2078" spans="1:20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>
        <f>IF(REKAP[[#This Row],[Stok Aktual]]&lt;&gt;"",REKAP[[#This Row],[Stok Aktual]]-REKAP[[#This Row],[Stok Akhir]],0)</f>
        <v>0</v>
      </c>
      <c r="S2078" s="132"/>
      <c r="T2078" s="137">
        <f>IF(REKAP[[#This Row],[Selisih]]&lt;=-1,REKAP[[#This Row],[Harga Satuan]]*REKAP[[#This Row],[Selisih]],0)</f>
        <v>0</v>
      </c>
    </row>
    <row r="2079" spans="1:20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>
        <f>IF(REKAP[[#This Row],[Stok Aktual]]&lt;&gt;"",REKAP[[#This Row],[Stok Aktual]]-REKAP[[#This Row],[Stok Akhir]],0)</f>
        <v>0</v>
      </c>
      <c r="S2079" s="132"/>
      <c r="T2079" s="137">
        <f>IF(REKAP[[#This Row],[Selisih]]&lt;=-1,REKAP[[#This Row],[Harga Satuan]]*REKAP[[#This Row],[Selisih]],0)</f>
        <v>0</v>
      </c>
    </row>
    <row r="2080" spans="1:20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>
        <f>IF(REKAP[[#This Row],[Stok Aktual]]&lt;&gt;"",REKAP[[#This Row],[Stok Aktual]]-REKAP[[#This Row],[Stok Akhir]],0)</f>
        <v>0</v>
      </c>
      <c r="S2080" s="132"/>
      <c r="T2080" s="137">
        <f>IF(REKAP[[#This Row],[Selisih]]&lt;=-1,REKAP[[#This Row],[Harga Satuan]]*REKAP[[#This Row],[Selisih]],0)</f>
        <v>0</v>
      </c>
    </row>
    <row r="2081" spans="1:20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>
        <f>IF(REKAP[[#This Row],[Stok Aktual]]&lt;&gt;"",REKAP[[#This Row],[Stok Aktual]]-REKAP[[#This Row],[Stok Akhir]],0)</f>
        <v>0</v>
      </c>
      <c r="S2081" s="132"/>
      <c r="T2081" s="137">
        <f>IF(REKAP[[#This Row],[Selisih]]&lt;=-1,REKAP[[#This Row],[Harga Satuan]]*REKAP[[#This Row],[Selisih]],0)</f>
        <v>0</v>
      </c>
    </row>
    <row r="2082" spans="1:20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>
        <f>IF(REKAP[[#This Row],[Stok Aktual]]&lt;&gt;"",REKAP[[#This Row],[Stok Aktual]]-REKAP[[#This Row],[Stok Akhir]],0)</f>
        <v>0</v>
      </c>
      <c r="S2082" s="132"/>
      <c r="T2082" s="137">
        <f>IF(REKAP[[#This Row],[Selisih]]&lt;=-1,REKAP[[#This Row],[Harga Satuan]]*REKAP[[#This Row],[Selisih]],0)</f>
        <v>0</v>
      </c>
    </row>
    <row r="2083" spans="1:20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>
        <f>IF(REKAP[[#This Row],[Stok Aktual]]&lt;&gt;"",REKAP[[#This Row],[Stok Aktual]]-REKAP[[#This Row],[Stok Akhir]],0)</f>
        <v>0</v>
      </c>
      <c r="S2083" s="132"/>
      <c r="T2083" s="137">
        <f>IF(REKAP[[#This Row],[Selisih]]&lt;=-1,REKAP[[#This Row],[Harga Satuan]]*REKAP[[#This Row],[Selisih]],0)</f>
        <v>0</v>
      </c>
    </row>
    <row r="2084" spans="1:20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>
        <f>IF(REKAP[[#This Row],[Stok Aktual]]&lt;&gt;"",REKAP[[#This Row],[Stok Aktual]]-REKAP[[#This Row],[Stok Akhir]],0)</f>
        <v>0</v>
      </c>
      <c r="S2084" s="132"/>
      <c r="T2084" s="137">
        <f>IF(REKAP[[#This Row],[Selisih]]&lt;=-1,REKAP[[#This Row],[Harga Satuan]]*REKAP[[#This Row],[Selisih]],0)</f>
        <v>0</v>
      </c>
    </row>
    <row r="2085" spans="1:20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>
        <f>IF(REKAP[[#This Row],[Stok Aktual]]&lt;&gt;"",REKAP[[#This Row],[Stok Aktual]]-REKAP[[#This Row],[Stok Akhir]],0)</f>
        <v>0</v>
      </c>
      <c r="S2085" s="132"/>
      <c r="T2085" s="137">
        <f>IF(REKAP[[#This Row],[Selisih]]&lt;=-1,REKAP[[#This Row],[Harga Satuan]]*REKAP[[#This Row],[Selisih]],0)</f>
        <v>0</v>
      </c>
    </row>
    <row r="2086" spans="1:20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>
        <f>IF(REKAP[[#This Row],[Stok Aktual]]&lt;&gt;"",REKAP[[#This Row],[Stok Aktual]]-REKAP[[#This Row],[Stok Akhir]],0)</f>
        <v>0</v>
      </c>
      <c r="S2086" s="132"/>
      <c r="T2086" s="137">
        <f>IF(REKAP[[#This Row],[Selisih]]&lt;=-1,REKAP[[#This Row],[Harga Satuan]]*REKAP[[#This Row],[Selisih]],0)</f>
        <v>0</v>
      </c>
    </row>
    <row r="2087" spans="1:20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>
        <f>IF(REKAP[[#This Row],[Stok Aktual]]&lt;&gt;"",REKAP[[#This Row],[Stok Aktual]]-REKAP[[#This Row],[Stok Akhir]],0)</f>
        <v>0</v>
      </c>
      <c r="S2087" s="132"/>
      <c r="T2087" s="137">
        <f>IF(REKAP[[#This Row],[Selisih]]&lt;=-1,REKAP[[#This Row],[Harga Satuan]]*REKAP[[#This Row],[Selisih]],0)</f>
        <v>0</v>
      </c>
    </row>
    <row r="2088" spans="1:20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>
        <f>IF(REKAP[[#This Row],[Stok Aktual]]&lt;&gt;"",REKAP[[#This Row],[Stok Aktual]]-REKAP[[#This Row],[Stok Akhir]],0)</f>
        <v>0</v>
      </c>
      <c r="S2088" s="132"/>
      <c r="T2088" s="137">
        <f>IF(REKAP[[#This Row],[Selisih]]&lt;=-1,REKAP[[#This Row],[Harga Satuan]]*REKAP[[#This Row],[Selisih]],0)</f>
        <v>0</v>
      </c>
    </row>
    <row r="2089" spans="1:20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>
        <f>IF(REKAP[[#This Row],[Stok Aktual]]&lt;&gt;"",REKAP[[#This Row],[Stok Aktual]]-REKAP[[#This Row],[Stok Akhir]],0)</f>
        <v>0</v>
      </c>
      <c r="S2089" s="132"/>
      <c r="T2089" s="137">
        <f>IF(REKAP[[#This Row],[Selisih]]&lt;=-1,REKAP[[#This Row],[Harga Satuan]]*REKAP[[#This Row],[Selisih]],0)</f>
        <v>0</v>
      </c>
    </row>
    <row r="2090" spans="1:20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>
        <f>IF(REKAP[[#This Row],[Stok Aktual]]&lt;&gt;"",REKAP[[#This Row],[Stok Aktual]]-REKAP[[#This Row],[Stok Akhir]],0)</f>
        <v>0</v>
      </c>
      <c r="S2090" s="132"/>
      <c r="T2090" s="137">
        <f>IF(REKAP[[#This Row],[Selisih]]&lt;=-1,REKAP[[#This Row],[Harga Satuan]]*REKAP[[#This Row],[Selisih]],0)</f>
        <v>0</v>
      </c>
    </row>
    <row r="2091" spans="1:20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>
        <f>IF(REKAP[[#This Row],[Stok Aktual]]&lt;&gt;"",REKAP[[#This Row],[Stok Aktual]]-REKAP[[#This Row],[Stok Akhir]],0)</f>
        <v>0</v>
      </c>
      <c r="S2091" s="132"/>
      <c r="T2091" s="137">
        <f>IF(REKAP[[#This Row],[Selisih]]&lt;=-1,REKAP[[#This Row],[Harga Satuan]]*REKAP[[#This Row],[Selisih]],0)</f>
        <v>0</v>
      </c>
    </row>
    <row r="2092" spans="1:20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>
        <f>IF(REKAP[[#This Row],[Stok Aktual]]&lt;&gt;"",REKAP[[#This Row],[Stok Aktual]]-REKAP[[#This Row],[Stok Akhir]],0)</f>
        <v>0</v>
      </c>
      <c r="S2092" s="132"/>
      <c r="T2092" s="137">
        <f>IF(REKAP[[#This Row],[Selisih]]&lt;=-1,REKAP[[#This Row],[Harga Satuan]]*REKAP[[#This Row],[Selisih]],0)</f>
        <v>0</v>
      </c>
    </row>
    <row r="2093" spans="1:20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>
        <f>IF(REKAP[[#This Row],[Stok Aktual]]&lt;&gt;"",REKAP[[#This Row],[Stok Aktual]]-REKAP[[#This Row],[Stok Akhir]],0)</f>
        <v>0</v>
      </c>
      <c r="S2093" s="132"/>
      <c r="T2093" s="137">
        <f>IF(REKAP[[#This Row],[Selisih]]&lt;=-1,REKAP[[#This Row],[Harga Satuan]]*REKAP[[#This Row],[Selisih]],0)</f>
        <v>0</v>
      </c>
    </row>
    <row r="2094" spans="1:20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>
        <f>IF(REKAP[[#This Row],[Stok Aktual]]&lt;&gt;"",REKAP[[#This Row],[Stok Aktual]]-REKAP[[#This Row],[Stok Akhir]],0)</f>
        <v>0</v>
      </c>
      <c r="S2094" s="132"/>
      <c r="T2094" s="137">
        <f>IF(REKAP[[#This Row],[Selisih]]&lt;=-1,REKAP[[#This Row],[Harga Satuan]]*REKAP[[#This Row],[Selisih]],0)</f>
        <v>0</v>
      </c>
    </row>
    <row r="2095" spans="1:20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>
        <f>IF(REKAP[[#This Row],[Stok Aktual]]&lt;&gt;"",REKAP[[#This Row],[Stok Aktual]]-REKAP[[#This Row],[Stok Akhir]],0)</f>
        <v>0</v>
      </c>
      <c r="S2095" s="132"/>
      <c r="T2095" s="137">
        <f>IF(REKAP[[#This Row],[Selisih]]&lt;=-1,REKAP[[#This Row],[Harga Satuan]]*REKAP[[#This Row],[Selisih]],0)</f>
        <v>0</v>
      </c>
    </row>
    <row r="2096" spans="1:20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>
        <f>IF(REKAP[[#This Row],[Stok Aktual]]&lt;&gt;"",REKAP[[#This Row],[Stok Aktual]]-REKAP[[#This Row],[Stok Akhir]],0)</f>
        <v>0</v>
      </c>
      <c r="S2096" s="132"/>
      <c r="T2096" s="137">
        <f>IF(REKAP[[#This Row],[Selisih]]&lt;=-1,REKAP[[#This Row],[Harga Satuan]]*REKAP[[#This Row],[Selisih]],0)</f>
        <v>0</v>
      </c>
    </row>
    <row r="2097" spans="1:20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>
        <f>IF(REKAP[[#This Row],[Stok Aktual]]&lt;&gt;"",REKAP[[#This Row],[Stok Aktual]]-REKAP[[#This Row],[Stok Akhir]],0)</f>
        <v>0</v>
      </c>
      <c r="S2097" s="132"/>
      <c r="T2097" s="137">
        <f>IF(REKAP[[#This Row],[Selisih]]&lt;=-1,REKAP[[#This Row],[Harga Satuan]]*REKAP[[#This Row],[Selisih]],0)</f>
        <v>0</v>
      </c>
    </row>
    <row r="2098" spans="1:20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>
        <f>IF(REKAP[[#This Row],[Stok Aktual]]&lt;&gt;"",REKAP[[#This Row],[Stok Aktual]]-REKAP[[#This Row],[Stok Akhir]],0)</f>
        <v>0</v>
      </c>
      <c r="S2098" s="132"/>
      <c r="T2098" s="137">
        <f>IF(REKAP[[#This Row],[Selisih]]&lt;=-1,REKAP[[#This Row],[Harga Satuan]]*REKAP[[#This Row],[Selisih]],0)</f>
        <v>0</v>
      </c>
    </row>
    <row r="2099" spans="1:20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>
        <f>IF(REKAP[[#This Row],[Stok Aktual]]&lt;&gt;"",REKAP[[#This Row],[Stok Aktual]]-REKAP[[#This Row],[Stok Akhir]],0)</f>
        <v>0</v>
      </c>
      <c r="S2099" s="132"/>
      <c r="T2099" s="137">
        <f>IF(REKAP[[#This Row],[Selisih]]&lt;=-1,REKAP[[#This Row],[Harga Satuan]]*REKAP[[#This Row],[Selisih]],0)</f>
        <v>0</v>
      </c>
    </row>
    <row r="2100" spans="1:20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>
        <f>IF(REKAP[[#This Row],[Stok Aktual]]&lt;&gt;"",REKAP[[#This Row],[Stok Aktual]]-REKAP[[#This Row],[Stok Akhir]],0)</f>
        <v>0</v>
      </c>
      <c r="S2100" s="132"/>
      <c r="T2100" s="137">
        <f>IF(REKAP[[#This Row],[Selisih]]&lt;=-1,REKAP[[#This Row],[Harga Satuan]]*REKAP[[#This Row],[Selisih]],0)</f>
        <v>0</v>
      </c>
    </row>
    <row r="2101" spans="1:20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>
        <f>IF(REKAP[[#This Row],[Stok Aktual]]&lt;&gt;"",REKAP[[#This Row],[Stok Aktual]]-REKAP[[#This Row],[Stok Akhir]],0)</f>
        <v>0</v>
      </c>
      <c r="S2101" s="132"/>
      <c r="T2101" s="137">
        <f>IF(REKAP[[#This Row],[Selisih]]&lt;=-1,REKAP[[#This Row],[Harga Satuan]]*REKAP[[#This Row],[Selisih]],0)</f>
        <v>0</v>
      </c>
    </row>
    <row r="2102" spans="1:20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>
        <f>IF(REKAP[[#This Row],[Stok Aktual]]&lt;&gt;"",REKAP[[#This Row],[Stok Aktual]]-REKAP[[#This Row],[Stok Akhir]],0)</f>
        <v>0</v>
      </c>
      <c r="S2102" s="132"/>
      <c r="T2102" s="137">
        <f>IF(REKAP[[#This Row],[Selisih]]&lt;=-1,REKAP[[#This Row],[Harga Satuan]]*REKAP[[#This Row],[Selisih]],0)</f>
        <v>0</v>
      </c>
    </row>
    <row r="2103" spans="1:20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>
        <f>IF(REKAP[[#This Row],[Stok Aktual]]&lt;&gt;"",REKAP[[#This Row],[Stok Aktual]]-REKAP[[#This Row],[Stok Akhir]],0)</f>
        <v>0</v>
      </c>
      <c r="S2103" s="132"/>
      <c r="T2103" s="137">
        <f>IF(REKAP[[#This Row],[Selisih]]&lt;=-1,REKAP[[#This Row],[Harga Satuan]]*REKAP[[#This Row],[Selisih]],0)</f>
        <v>0</v>
      </c>
    </row>
    <row r="2104" spans="1:20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>
        <f>IF(REKAP[[#This Row],[Stok Aktual]]&lt;&gt;"",REKAP[[#This Row],[Stok Aktual]]-REKAP[[#This Row],[Stok Akhir]],0)</f>
        <v>0</v>
      </c>
      <c r="S2104" s="132"/>
      <c r="T2104" s="137">
        <f>IF(REKAP[[#This Row],[Selisih]]&lt;=-1,REKAP[[#This Row],[Harga Satuan]]*REKAP[[#This Row],[Selisih]],0)</f>
        <v>0</v>
      </c>
    </row>
    <row r="2105" spans="1:20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>
        <f>IF(REKAP[[#This Row],[Stok Aktual]]&lt;&gt;"",REKAP[[#This Row],[Stok Aktual]]-REKAP[[#This Row],[Stok Akhir]],0)</f>
        <v>0</v>
      </c>
      <c r="S2105" s="132"/>
      <c r="T2105" s="137">
        <f>IF(REKAP[[#This Row],[Selisih]]&lt;=-1,REKAP[[#This Row],[Harga Satuan]]*REKAP[[#This Row],[Selisih]],0)</f>
        <v>0</v>
      </c>
    </row>
    <row r="2106" spans="1:20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>
        <f>IF(REKAP[[#This Row],[Stok Aktual]]&lt;&gt;"",REKAP[[#This Row],[Stok Aktual]]-REKAP[[#This Row],[Stok Akhir]],0)</f>
        <v>0</v>
      </c>
      <c r="S2106" s="132"/>
      <c r="T2106" s="137">
        <f>IF(REKAP[[#This Row],[Selisih]]&lt;=-1,REKAP[[#This Row],[Harga Satuan]]*REKAP[[#This Row],[Selisih]],0)</f>
        <v>0</v>
      </c>
    </row>
    <row r="2107" spans="1:20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>
        <f>IF(REKAP[[#This Row],[Stok Aktual]]&lt;&gt;"",REKAP[[#This Row],[Stok Aktual]]-REKAP[[#This Row],[Stok Akhir]],0)</f>
        <v>0</v>
      </c>
      <c r="S2107" s="132"/>
      <c r="T2107" s="137">
        <f>IF(REKAP[[#This Row],[Selisih]]&lt;=-1,REKAP[[#This Row],[Harga Satuan]]*REKAP[[#This Row],[Selisih]],0)</f>
        <v>0</v>
      </c>
    </row>
    <row r="2108" spans="1:20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>
        <f>IF(REKAP[[#This Row],[Stok Aktual]]&lt;&gt;"",REKAP[[#This Row],[Stok Aktual]]-REKAP[[#This Row],[Stok Akhir]],0)</f>
        <v>0</v>
      </c>
      <c r="S2108" s="132"/>
      <c r="T2108" s="137">
        <f>IF(REKAP[[#This Row],[Selisih]]&lt;=-1,REKAP[[#This Row],[Harga Satuan]]*REKAP[[#This Row],[Selisih]],0)</f>
        <v>0</v>
      </c>
    </row>
    <row r="2109" spans="1:20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>
        <f>IF(REKAP[[#This Row],[Stok Aktual]]&lt;&gt;"",REKAP[[#This Row],[Stok Aktual]]-REKAP[[#This Row],[Stok Akhir]],0)</f>
        <v>0</v>
      </c>
      <c r="S2109" s="132"/>
      <c r="T2109" s="137">
        <f>IF(REKAP[[#This Row],[Selisih]]&lt;=-1,REKAP[[#This Row],[Harga Satuan]]*REKAP[[#This Row],[Selisih]],0)</f>
        <v>0</v>
      </c>
    </row>
    <row r="2110" spans="1:20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>
        <f>IF(REKAP[[#This Row],[Stok Aktual]]&lt;&gt;"",REKAP[[#This Row],[Stok Aktual]]-REKAP[[#This Row],[Stok Akhir]],0)</f>
        <v>0</v>
      </c>
      <c r="S2110" s="132"/>
      <c r="T2110" s="137">
        <f>IF(REKAP[[#This Row],[Selisih]]&lt;=-1,REKAP[[#This Row],[Harga Satuan]]*REKAP[[#This Row],[Selisih]],0)</f>
        <v>0</v>
      </c>
    </row>
    <row r="2111" spans="1:20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>
        <f>IF(REKAP[[#This Row],[Stok Aktual]]&lt;&gt;"",REKAP[[#This Row],[Stok Aktual]]-REKAP[[#This Row],[Stok Akhir]],0)</f>
        <v>0</v>
      </c>
      <c r="S2111" s="132"/>
      <c r="T2111" s="137">
        <f>IF(REKAP[[#This Row],[Selisih]]&lt;=-1,REKAP[[#This Row],[Harga Satuan]]*REKAP[[#This Row],[Selisih]],0)</f>
        <v>0</v>
      </c>
    </row>
    <row r="2112" spans="1:20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>
        <f>IF(REKAP[[#This Row],[Stok Aktual]]&lt;&gt;"",REKAP[[#This Row],[Stok Aktual]]-REKAP[[#This Row],[Stok Akhir]],0)</f>
        <v>0</v>
      </c>
      <c r="S2112" s="132"/>
      <c r="T2112" s="137">
        <f>IF(REKAP[[#This Row],[Selisih]]&lt;=-1,REKAP[[#This Row],[Harga Satuan]]*REKAP[[#This Row],[Selisih]],0)</f>
        <v>0</v>
      </c>
    </row>
    <row r="2113" spans="1:20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>
        <f>IF(REKAP[[#This Row],[Stok Aktual]]&lt;&gt;"",REKAP[[#This Row],[Stok Aktual]]-REKAP[[#This Row],[Stok Akhir]],0)</f>
        <v>0</v>
      </c>
      <c r="S2113" s="132"/>
      <c r="T2113" s="137">
        <f>IF(REKAP[[#This Row],[Selisih]]&lt;=-1,REKAP[[#This Row],[Harga Satuan]]*REKAP[[#This Row],[Selisih]],0)</f>
        <v>0</v>
      </c>
    </row>
    <row r="2114" spans="1:20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>
        <f>IF(REKAP[[#This Row],[Stok Aktual]]&lt;&gt;"",REKAP[[#This Row],[Stok Aktual]]-REKAP[[#This Row],[Stok Akhir]],0)</f>
        <v>0</v>
      </c>
      <c r="S2114" s="132"/>
      <c r="T2114" s="137">
        <f>IF(REKAP[[#This Row],[Selisih]]&lt;=-1,REKAP[[#This Row],[Harga Satuan]]*REKAP[[#This Row],[Selisih]],0)</f>
        <v>0</v>
      </c>
    </row>
    <row r="2115" spans="1:20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>
        <f>IF(REKAP[[#This Row],[Stok Aktual]]&lt;&gt;"",REKAP[[#This Row],[Stok Aktual]]-REKAP[[#This Row],[Stok Akhir]],0)</f>
        <v>0</v>
      </c>
      <c r="S2115" s="132"/>
      <c r="T2115" s="137">
        <f>IF(REKAP[[#This Row],[Selisih]]&lt;=-1,REKAP[[#This Row],[Harga Satuan]]*REKAP[[#This Row],[Selisih]],0)</f>
        <v>0</v>
      </c>
    </row>
    <row r="2116" spans="1:20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>
        <f>IF(REKAP[[#This Row],[Stok Aktual]]&lt;&gt;"",REKAP[[#This Row],[Stok Aktual]]-REKAP[[#This Row],[Stok Akhir]],0)</f>
        <v>0</v>
      </c>
      <c r="S2116" s="132"/>
      <c r="T2116" s="137">
        <f>IF(REKAP[[#This Row],[Selisih]]&lt;=-1,REKAP[[#This Row],[Harga Satuan]]*REKAP[[#This Row],[Selisih]],0)</f>
        <v>0</v>
      </c>
    </row>
    <row r="2117" spans="1:20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>
        <f>IF(REKAP[[#This Row],[Stok Aktual]]&lt;&gt;"",REKAP[[#This Row],[Stok Aktual]]-REKAP[[#This Row],[Stok Akhir]],0)</f>
        <v>0</v>
      </c>
      <c r="S2117" s="132"/>
      <c r="T2117" s="137">
        <f>IF(REKAP[[#This Row],[Selisih]]&lt;=-1,REKAP[[#This Row],[Harga Satuan]]*REKAP[[#This Row],[Selisih]],0)</f>
        <v>0</v>
      </c>
    </row>
    <row r="2118" spans="1:20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>
        <f>IF(REKAP[[#This Row],[Stok Aktual]]&lt;&gt;"",REKAP[[#This Row],[Stok Aktual]]-REKAP[[#This Row],[Stok Akhir]],0)</f>
        <v>0</v>
      </c>
      <c r="S2118" s="132"/>
      <c r="T2118" s="137">
        <f>IF(REKAP[[#This Row],[Selisih]]&lt;=-1,REKAP[[#This Row],[Harga Satuan]]*REKAP[[#This Row],[Selisih]],0)</f>
        <v>0</v>
      </c>
    </row>
    <row r="2119" spans="1:20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>
        <f>IF(REKAP[[#This Row],[Stok Aktual]]&lt;&gt;"",REKAP[[#This Row],[Stok Aktual]]-REKAP[[#This Row],[Stok Akhir]],0)</f>
        <v>0</v>
      </c>
      <c r="S2119" s="132"/>
      <c r="T2119" s="137">
        <f>IF(REKAP[[#This Row],[Selisih]]&lt;=-1,REKAP[[#This Row],[Harga Satuan]]*REKAP[[#This Row],[Selisih]],0)</f>
        <v>0</v>
      </c>
    </row>
    <row r="2120" spans="1:20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>
        <f>IF(REKAP[[#This Row],[Stok Aktual]]&lt;&gt;"",REKAP[[#This Row],[Stok Aktual]]-REKAP[[#This Row],[Stok Akhir]],0)</f>
        <v>0</v>
      </c>
      <c r="S2120" s="132"/>
      <c r="T2120" s="137">
        <f>IF(REKAP[[#This Row],[Selisih]]&lt;=-1,REKAP[[#This Row],[Harga Satuan]]*REKAP[[#This Row],[Selisih]],0)</f>
        <v>0</v>
      </c>
    </row>
    <row r="2121" spans="1:20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>
        <f>IF(REKAP[[#This Row],[Stok Aktual]]&lt;&gt;"",REKAP[[#This Row],[Stok Aktual]]-REKAP[[#This Row],[Stok Akhir]],0)</f>
        <v>0</v>
      </c>
      <c r="S2121" s="132"/>
      <c r="T2121" s="137">
        <f>IF(REKAP[[#This Row],[Selisih]]&lt;=-1,REKAP[[#This Row],[Harga Satuan]]*REKAP[[#This Row],[Selisih]],0)</f>
        <v>0</v>
      </c>
    </row>
    <row r="2122" spans="1:20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>
        <f>IF(REKAP[[#This Row],[Stok Aktual]]&lt;&gt;"",REKAP[[#This Row],[Stok Aktual]]-REKAP[[#This Row],[Stok Akhir]],0)</f>
        <v>0</v>
      </c>
      <c r="S2122" s="132"/>
      <c r="T2122" s="137">
        <f>IF(REKAP[[#This Row],[Selisih]]&lt;=-1,REKAP[[#This Row],[Harga Satuan]]*REKAP[[#This Row],[Selisih]],0)</f>
        <v>0</v>
      </c>
    </row>
    <row r="2123" spans="1:20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>
        <f>IF(REKAP[[#This Row],[Stok Aktual]]&lt;&gt;"",REKAP[[#This Row],[Stok Aktual]]-REKAP[[#This Row],[Stok Akhir]],0)</f>
        <v>0</v>
      </c>
      <c r="S2123" s="132"/>
      <c r="T2123" s="137">
        <f>IF(REKAP[[#This Row],[Selisih]]&lt;=-1,REKAP[[#This Row],[Harga Satuan]]*REKAP[[#This Row],[Selisih]],0)</f>
        <v>0</v>
      </c>
    </row>
    <row r="2124" spans="1:20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>
        <f>IF(REKAP[[#This Row],[Stok Aktual]]&lt;&gt;"",REKAP[[#This Row],[Stok Aktual]]-REKAP[[#This Row],[Stok Akhir]],0)</f>
        <v>0</v>
      </c>
      <c r="S2124" s="132"/>
      <c r="T2124" s="137">
        <f>IF(REKAP[[#This Row],[Selisih]]&lt;=-1,REKAP[[#This Row],[Harga Satuan]]*REKAP[[#This Row],[Selisih]],0)</f>
        <v>0</v>
      </c>
    </row>
    <row r="2125" spans="1:20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>
        <f>IF(REKAP[[#This Row],[Stok Aktual]]&lt;&gt;"",REKAP[[#This Row],[Stok Aktual]]-REKAP[[#This Row],[Stok Akhir]],0)</f>
        <v>0</v>
      </c>
      <c r="S2125" s="132"/>
      <c r="T2125" s="137">
        <f>IF(REKAP[[#This Row],[Selisih]]&lt;=-1,REKAP[[#This Row],[Harga Satuan]]*REKAP[[#This Row],[Selisih]],0)</f>
        <v>0</v>
      </c>
    </row>
    <row r="2126" spans="1:20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>
        <f>IF(REKAP[[#This Row],[Stok Aktual]]&lt;&gt;"",REKAP[[#This Row],[Stok Aktual]]-REKAP[[#This Row],[Stok Akhir]],0)</f>
        <v>0</v>
      </c>
      <c r="S2126" s="132"/>
      <c r="T2126" s="137">
        <f>IF(REKAP[[#This Row],[Selisih]]&lt;=-1,REKAP[[#This Row],[Harga Satuan]]*REKAP[[#This Row],[Selisih]],0)</f>
        <v>0</v>
      </c>
    </row>
    <row r="2127" spans="1:20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>
        <f>IF(REKAP[[#This Row],[Stok Aktual]]&lt;&gt;"",REKAP[[#This Row],[Stok Aktual]]-REKAP[[#This Row],[Stok Akhir]],0)</f>
        <v>0</v>
      </c>
      <c r="S2127" s="132"/>
      <c r="T2127" s="137">
        <f>IF(REKAP[[#This Row],[Selisih]]&lt;=-1,REKAP[[#This Row],[Harga Satuan]]*REKAP[[#This Row],[Selisih]],0)</f>
        <v>0</v>
      </c>
    </row>
    <row r="2128" spans="1:20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>
        <f>IF(REKAP[[#This Row],[Stok Aktual]]&lt;&gt;"",REKAP[[#This Row],[Stok Aktual]]-REKAP[[#This Row],[Stok Akhir]],0)</f>
        <v>0</v>
      </c>
      <c r="S2128" s="132"/>
      <c r="T2128" s="137">
        <f>IF(REKAP[[#This Row],[Selisih]]&lt;=-1,REKAP[[#This Row],[Harga Satuan]]*REKAP[[#This Row],[Selisih]],0)</f>
        <v>0</v>
      </c>
    </row>
    <row r="2129" spans="1:20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>
        <f>IF(REKAP[[#This Row],[Stok Aktual]]&lt;&gt;"",REKAP[[#This Row],[Stok Aktual]]-REKAP[[#This Row],[Stok Akhir]],0)</f>
        <v>0</v>
      </c>
      <c r="S2129" s="132"/>
      <c r="T2129" s="137">
        <f>IF(REKAP[[#This Row],[Selisih]]&lt;=-1,REKAP[[#This Row],[Harga Satuan]]*REKAP[[#This Row],[Selisih]],0)</f>
        <v>0</v>
      </c>
    </row>
    <row r="2130" spans="1:20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>
        <f>IF(REKAP[[#This Row],[Stok Aktual]]&lt;&gt;"",REKAP[[#This Row],[Stok Aktual]]-REKAP[[#This Row],[Stok Akhir]],0)</f>
        <v>0</v>
      </c>
      <c r="S2130" s="132"/>
      <c r="T2130" s="137">
        <f>IF(REKAP[[#This Row],[Selisih]]&lt;=-1,REKAP[[#This Row],[Harga Satuan]]*REKAP[[#This Row],[Selisih]],0)</f>
        <v>0</v>
      </c>
    </row>
    <row r="2131" spans="1:20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>
        <f>IF(REKAP[[#This Row],[Stok Aktual]]&lt;&gt;"",REKAP[[#This Row],[Stok Aktual]]-REKAP[[#This Row],[Stok Akhir]],0)</f>
        <v>0</v>
      </c>
      <c r="S2131" s="132"/>
      <c r="T2131" s="137">
        <f>IF(REKAP[[#This Row],[Selisih]]&lt;=-1,REKAP[[#This Row],[Harga Satuan]]*REKAP[[#This Row],[Selisih]],0)</f>
        <v>0</v>
      </c>
    </row>
    <row r="2132" spans="1:20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>
        <f>IF(REKAP[[#This Row],[Stok Aktual]]&lt;&gt;"",REKAP[[#This Row],[Stok Aktual]]-REKAP[[#This Row],[Stok Akhir]],0)</f>
        <v>0</v>
      </c>
      <c r="S2132" s="132"/>
      <c r="T2132" s="137">
        <f>IF(REKAP[[#This Row],[Selisih]]&lt;=-1,REKAP[[#This Row],[Harga Satuan]]*REKAP[[#This Row],[Selisih]],0)</f>
        <v>0</v>
      </c>
    </row>
    <row r="2133" spans="1:20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>
        <f>IF(REKAP[[#This Row],[Stok Aktual]]&lt;&gt;"",REKAP[[#This Row],[Stok Aktual]]-REKAP[[#This Row],[Stok Akhir]],0)</f>
        <v>0</v>
      </c>
      <c r="S2133" s="132"/>
      <c r="T2133" s="137">
        <f>IF(REKAP[[#This Row],[Selisih]]&lt;=-1,REKAP[[#This Row],[Harga Satuan]]*REKAP[[#This Row],[Selisih]],0)</f>
        <v>0</v>
      </c>
    </row>
    <row r="2134" spans="1:20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>
        <f>IF(REKAP[[#This Row],[Stok Aktual]]&lt;&gt;"",REKAP[[#This Row],[Stok Aktual]]-REKAP[[#This Row],[Stok Akhir]],0)</f>
        <v>0</v>
      </c>
      <c r="S2134" s="132"/>
      <c r="T2134" s="137">
        <f>IF(REKAP[[#This Row],[Selisih]]&lt;=-1,REKAP[[#This Row],[Harga Satuan]]*REKAP[[#This Row],[Selisih]],0)</f>
        <v>0</v>
      </c>
    </row>
    <row r="2135" spans="1:20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>
        <f>IF(REKAP[[#This Row],[Stok Aktual]]&lt;&gt;"",REKAP[[#This Row],[Stok Aktual]]-REKAP[[#This Row],[Stok Akhir]],0)</f>
        <v>0</v>
      </c>
      <c r="S2135" s="132"/>
      <c r="T2135" s="137">
        <f>IF(REKAP[[#This Row],[Selisih]]&lt;=-1,REKAP[[#This Row],[Harga Satuan]]*REKAP[[#This Row],[Selisih]],0)</f>
        <v>0</v>
      </c>
    </row>
    <row r="2136" spans="1:20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>
        <f>IF(REKAP[[#This Row],[Stok Aktual]]&lt;&gt;"",REKAP[[#This Row],[Stok Aktual]]-REKAP[[#This Row],[Stok Akhir]],0)</f>
        <v>0</v>
      </c>
      <c r="S2136" s="132"/>
      <c r="T2136" s="137">
        <f>IF(REKAP[[#This Row],[Selisih]]&lt;=-1,REKAP[[#This Row],[Harga Satuan]]*REKAP[[#This Row],[Selisih]],0)</f>
        <v>0</v>
      </c>
    </row>
    <row r="2137" spans="1:20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>
        <f>IF(REKAP[[#This Row],[Stok Aktual]]&lt;&gt;"",REKAP[[#This Row],[Stok Aktual]]-REKAP[[#This Row],[Stok Akhir]],0)</f>
        <v>0</v>
      </c>
      <c r="S2137" s="132"/>
      <c r="T2137" s="137">
        <f>IF(REKAP[[#This Row],[Selisih]]&lt;=-1,REKAP[[#This Row],[Harga Satuan]]*REKAP[[#This Row],[Selisih]],0)</f>
        <v>0</v>
      </c>
    </row>
    <row r="2138" spans="1:20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>
        <f>IF(REKAP[[#This Row],[Stok Aktual]]&lt;&gt;"",REKAP[[#This Row],[Stok Aktual]]-REKAP[[#This Row],[Stok Akhir]],0)</f>
        <v>0</v>
      </c>
      <c r="S2138" s="132"/>
      <c r="T2138" s="137">
        <f>IF(REKAP[[#This Row],[Selisih]]&lt;=-1,REKAP[[#This Row],[Harga Satuan]]*REKAP[[#This Row],[Selisih]],0)</f>
        <v>0</v>
      </c>
    </row>
    <row r="2139" spans="1:20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>
        <f>IF(REKAP[[#This Row],[Stok Aktual]]&lt;&gt;"",REKAP[[#This Row],[Stok Aktual]]-REKAP[[#This Row],[Stok Akhir]],0)</f>
        <v>0</v>
      </c>
      <c r="S2139" s="132"/>
      <c r="T2139" s="137">
        <f>IF(REKAP[[#This Row],[Selisih]]&lt;=-1,REKAP[[#This Row],[Harga Satuan]]*REKAP[[#This Row],[Selisih]],0)</f>
        <v>0</v>
      </c>
    </row>
    <row r="2140" spans="1:20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>
        <f>IF(REKAP[[#This Row],[Stok Aktual]]&lt;&gt;"",REKAP[[#This Row],[Stok Aktual]]-REKAP[[#This Row],[Stok Akhir]],0)</f>
        <v>0</v>
      </c>
      <c r="S2140" s="132"/>
      <c r="T2140" s="137">
        <f>IF(REKAP[[#This Row],[Selisih]]&lt;=-1,REKAP[[#This Row],[Harga Satuan]]*REKAP[[#This Row],[Selisih]],0)</f>
        <v>0</v>
      </c>
    </row>
    <row r="2141" spans="1:20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>
        <f>IF(REKAP[[#This Row],[Stok Aktual]]&lt;&gt;"",REKAP[[#This Row],[Stok Aktual]]-REKAP[[#This Row],[Stok Akhir]],0)</f>
        <v>0</v>
      </c>
      <c r="S2141" s="132"/>
      <c r="T2141" s="137">
        <f>IF(REKAP[[#This Row],[Selisih]]&lt;=-1,REKAP[[#This Row],[Harga Satuan]]*REKAP[[#This Row],[Selisih]],0)</f>
        <v>0</v>
      </c>
    </row>
    <row r="2142" spans="1:20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>
        <f>IF(REKAP[[#This Row],[Stok Aktual]]&lt;&gt;"",REKAP[[#This Row],[Stok Aktual]]-REKAP[[#This Row],[Stok Akhir]],0)</f>
        <v>0</v>
      </c>
      <c r="S2142" s="132"/>
      <c r="T2142" s="137">
        <f>IF(REKAP[[#This Row],[Selisih]]&lt;=-1,REKAP[[#This Row],[Harga Satuan]]*REKAP[[#This Row],[Selisih]],0)</f>
        <v>0</v>
      </c>
    </row>
    <row r="2143" spans="1:20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>
        <f>IF(REKAP[[#This Row],[Stok Aktual]]&lt;&gt;"",REKAP[[#This Row],[Stok Aktual]]-REKAP[[#This Row],[Stok Akhir]],0)</f>
        <v>0</v>
      </c>
      <c r="S2143" s="132"/>
      <c r="T2143" s="137">
        <f>IF(REKAP[[#This Row],[Selisih]]&lt;=-1,REKAP[[#This Row],[Harga Satuan]]*REKAP[[#This Row],[Selisih]],0)</f>
        <v>0</v>
      </c>
    </row>
    <row r="2144" spans="1:20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>
        <f>IF(REKAP[[#This Row],[Stok Aktual]]&lt;&gt;"",REKAP[[#This Row],[Stok Aktual]]-REKAP[[#This Row],[Stok Akhir]],0)</f>
        <v>0</v>
      </c>
      <c r="S2144" s="132"/>
      <c r="T2144" s="137">
        <f>IF(REKAP[[#This Row],[Selisih]]&lt;=-1,REKAP[[#This Row],[Harga Satuan]]*REKAP[[#This Row],[Selisih]],0)</f>
        <v>0</v>
      </c>
    </row>
    <row r="2145" spans="1:20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>
        <f>IF(REKAP[[#This Row],[Stok Aktual]]&lt;&gt;"",REKAP[[#This Row],[Stok Aktual]]-REKAP[[#This Row],[Stok Akhir]],0)</f>
        <v>0</v>
      </c>
      <c r="S2145" s="132"/>
      <c r="T2145" s="137">
        <f>IF(REKAP[[#This Row],[Selisih]]&lt;=-1,REKAP[[#This Row],[Harga Satuan]]*REKAP[[#This Row],[Selisih]],0)</f>
        <v>0</v>
      </c>
    </row>
    <row r="2146" spans="1:20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>
        <f>IF(REKAP[[#This Row],[Stok Aktual]]&lt;&gt;"",REKAP[[#This Row],[Stok Aktual]]-REKAP[[#This Row],[Stok Akhir]],0)</f>
        <v>0</v>
      </c>
      <c r="S2146" s="132"/>
      <c r="T2146" s="137">
        <f>IF(REKAP[[#This Row],[Selisih]]&lt;=-1,REKAP[[#This Row],[Harga Satuan]]*REKAP[[#This Row],[Selisih]],0)</f>
        <v>0</v>
      </c>
    </row>
    <row r="2147" spans="1:20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>
        <f>IF(REKAP[[#This Row],[Stok Aktual]]&lt;&gt;"",REKAP[[#This Row],[Stok Aktual]]-REKAP[[#This Row],[Stok Akhir]],0)</f>
        <v>0</v>
      </c>
      <c r="S2147" s="132"/>
      <c r="T2147" s="137">
        <f>IF(REKAP[[#This Row],[Selisih]]&lt;=-1,REKAP[[#This Row],[Harga Satuan]]*REKAP[[#This Row],[Selisih]],0)</f>
        <v>0</v>
      </c>
    </row>
    <row r="2148" spans="1:20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>
        <f>IF(REKAP[[#This Row],[Stok Aktual]]&lt;&gt;"",REKAP[[#This Row],[Stok Aktual]]-REKAP[[#This Row],[Stok Akhir]],0)</f>
        <v>0</v>
      </c>
      <c r="S2148" s="132"/>
      <c r="T2148" s="137">
        <f>IF(REKAP[[#This Row],[Selisih]]&lt;=-1,REKAP[[#This Row],[Harga Satuan]]*REKAP[[#This Row],[Selisih]],0)</f>
        <v>0</v>
      </c>
    </row>
    <row r="2149" spans="1:20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>
        <f>IF(REKAP[[#This Row],[Stok Aktual]]&lt;&gt;"",REKAP[[#This Row],[Stok Aktual]]-REKAP[[#This Row],[Stok Akhir]],0)</f>
        <v>0</v>
      </c>
      <c r="S2149" s="132"/>
      <c r="T2149" s="137">
        <f>IF(REKAP[[#This Row],[Selisih]]&lt;=-1,REKAP[[#This Row],[Harga Satuan]]*REKAP[[#This Row],[Selisih]],0)</f>
        <v>0</v>
      </c>
    </row>
    <row r="2150" spans="1:20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>
        <f>IF(REKAP[[#This Row],[Stok Aktual]]&lt;&gt;"",REKAP[[#This Row],[Stok Aktual]]-REKAP[[#This Row],[Stok Akhir]],0)</f>
        <v>0</v>
      </c>
      <c r="S2150" s="132"/>
      <c r="T2150" s="137">
        <f>IF(REKAP[[#This Row],[Selisih]]&lt;=-1,REKAP[[#This Row],[Harga Satuan]]*REKAP[[#This Row],[Selisih]],0)</f>
        <v>0</v>
      </c>
    </row>
    <row r="2151" spans="1:20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>
        <f>IF(REKAP[[#This Row],[Stok Aktual]]&lt;&gt;"",REKAP[[#This Row],[Stok Aktual]]-REKAP[[#This Row],[Stok Akhir]],0)</f>
        <v>0</v>
      </c>
      <c r="S2151" s="132"/>
      <c r="T2151" s="137">
        <f>IF(REKAP[[#This Row],[Selisih]]&lt;=-1,REKAP[[#This Row],[Harga Satuan]]*REKAP[[#This Row],[Selisih]],0)</f>
        <v>0</v>
      </c>
    </row>
    <row r="2152" spans="1:20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>
        <f>IF(REKAP[[#This Row],[Stok Aktual]]&lt;&gt;"",REKAP[[#This Row],[Stok Aktual]]-REKAP[[#This Row],[Stok Akhir]],0)</f>
        <v>0</v>
      </c>
      <c r="S2152" s="132"/>
      <c r="T2152" s="137">
        <f>IF(REKAP[[#This Row],[Selisih]]&lt;=-1,REKAP[[#This Row],[Harga Satuan]]*REKAP[[#This Row],[Selisih]],0)</f>
        <v>0</v>
      </c>
    </row>
    <row r="2153" spans="1:20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>
        <f>IF(REKAP[[#This Row],[Stok Aktual]]&lt;&gt;"",REKAP[[#This Row],[Stok Aktual]]-REKAP[[#This Row],[Stok Akhir]],0)</f>
        <v>0</v>
      </c>
      <c r="S2153" s="132"/>
      <c r="T2153" s="137">
        <f>IF(REKAP[[#This Row],[Selisih]]&lt;=-1,REKAP[[#This Row],[Harga Satuan]]*REKAP[[#This Row],[Selisih]],0)</f>
        <v>0</v>
      </c>
    </row>
    <row r="2154" spans="1:20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>
        <f>IF(REKAP[[#This Row],[Stok Aktual]]&lt;&gt;"",REKAP[[#This Row],[Stok Aktual]]-REKAP[[#This Row],[Stok Akhir]],0)</f>
        <v>0</v>
      </c>
      <c r="S2154" s="132"/>
      <c r="T2154" s="137">
        <f>IF(REKAP[[#This Row],[Selisih]]&lt;=-1,REKAP[[#This Row],[Harga Satuan]]*REKAP[[#This Row],[Selisih]],0)</f>
        <v>0</v>
      </c>
    </row>
    <row r="2155" spans="1:20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>
        <f>IF(REKAP[[#This Row],[Stok Aktual]]&lt;&gt;"",REKAP[[#This Row],[Stok Aktual]]-REKAP[[#This Row],[Stok Akhir]],0)</f>
        <v>0</v>
      </c>
      <c r="S2155" s="132"/>
      <c r="T2155" s="137">
        <f>IF(REKAP[[#This Row],[Selisih]]&lt;=-1,REKAP[[#This Row],[Harga Satuan]]*REKAP[[#This Row],[Selisih]],0)</f>
        <v>0</v>
      </c>
    </row>
    <row r="2156" spans="1:20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>
        <f>IF(REKAP[[#This Row],[Stok Aktual]]&lt;&gt;"",REKAP[[#This Row],[Stok Aktual]]-REKAP[[#This Row],[Stok Akhir]],0)</f>
        <v>0</v>
      </c>
      <c r="S2156" s="132"/>
      <c r="T2156" s="137">
        <f>IF(REKAP[[#This Row],[Selisih]]&lt;=-1,REKAP[[#This Row],[Harga Satuan]]*REKAP[[#This Row],[Selisih]],0)</f>
        <v>0</v>
      </c>
    </row>
    <row r="2157" spans="1:20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>
        <f>IF(REKAP[[#This Row],[Stok Aktual]]&lt;&gt;"",REKAP[[#This Row],[Stok Aktual]]-REKAP[[#This Row],[Stok Akhir]],0)</f>
        <v>0</v>
      </c>
      <c r="S2157" s="132"/>
      <c r="T2157" s="137">
        <f>IF(REKAP[[#This Row],[Selisih]]&lt;=-1,REKAP[[#This Row],[Harga Satuan]]*REKAP[[#This Row],[Selisih]],0)</f>
        <v>0</v>
      </c>
    </row>
    <row r="2158" spans="1:20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>
        <f>IF(REKAP[[#This Row],[Stok Aktual]]&lt;&gt;"",REKAP[[#This Row],[Stok Aktual]]-REKAP[[#This Row],[Stok Akhir]],0)</f>
        <v>0</v>
      </c>
      <c r="S2158" s="132"/>
      <c r="T2158" s="137">
        <f>IF(REKAP[[#This Row],[Selisih]]&lt;=-1,REKAP[[#This Row],[Harga Satuan]]*REKAP[[#This Row],[Selisih]],0)</f>
        <v>0</v>
      </c>
    </row>
    <row r="2159" spans="1:20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>
        <f>IF(REKAP[[#This Row],[Stok Aktual]]&lt;&gt;"",REKAP[[#This Row],[Stok Aktual]]-REKAP[[#This Row],[Stok Akhir]],0)</f>
        <v>0</v>
      </c>
      <c r="S2159" s="132"/>
      <c r="T2159" s="137">
        <f>IF(REKAP[[#This Row],[Selisih]]&lt;=-1,REKAP[[#This Row],[Harga Satuan]]*REKAP[[#This Row],[Selisih]],0)</f>
        <v>0</v>
      </c>
    </row>
    <row r="2160" spans="1:20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>
        <f>IF(REKAP[[#This Row],[Stok Aktual]]&lt;&gt;"",REKAP[[#This Row],[Stok Aktual]]-REKAP[[#This Row],[Stok Akhir]],0)</f>
        <v>0</v>
      </c>
      <c r="S2160" s="132"/>
      <c r="T2160" s="137">
        <f>IF(REKAP[[#This Row],[Selisih]]&lt;=-1,REKAP[[#This Row],[Harga Satuan]]*REKAP[[#This Row],[Selisih]],0)</f>
        <v>0</v>
      </c>
    </row>
    <row r="2161" spans="1:20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>
        <f>IF(REKAP[[#This Row],[Stok Aktual]]&lt;&gt;"",REKAP[[#This Row],[Stok Aktual]]-REKAP[[#This Row],[Stok Akhir]],0)</f>
        <v>0</v>
      </c>
      <c r="S2161" s="132"/>
      <c r="T2161" s="137">
        <f>IF(REKAP[[#This Row],[Selisih]]&lt;=-1,REKAP[[#This Row],[Harga Satuan]]*REKAP[[#This Row],[Selisih]],0)</f>
        <v>0</v>
      </c>
    </row>
    <row r="2162" spans="1:20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>
        <f>IF(REKAP[[#This Row],[Stok Aktual]]&lt;&gt;"",REKAP[[#This Row],[Stok Aktual]]-REKAP[[#This Row],[Stok Akhir]],0)</f>
        <v>0</v>
      </c>
      <c r="S2162" s="132"/>
      <c r="T2162" s="137">
        <f>IF(REKAP[[#This Row],[Selisih]]&lt;=-1,REKAP[[#This Row],[Harga Satuan]]*REKAP[[#This Row],[Selisih]],0)</f>
        <v>0</v>
      </c>
    </row>
    <row r="2163" spans="1:20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>
        <f>IF(REKAP[[#This Row],[Stok Aktual]]&lt;&gt;"",REKAP[[#This Row],[Stok Aktual]]-REKAP[[#This Row],[Stok Akhir]],0)</f>
        <v>0</v>
      </c>
      <c r="S2163" s="132"/>
      <c r="T2163" s="137">
        <f>IF(REKAP[[#This Row],[Selisih]]&lt;=-1,REKAP[[#This Row],[Harga Satuan]]*REKAP[[#This Row],[Selisih]],0)</f>
        <v>0</v>
      </c>
    </row>
    <row r="2164" spans="1:20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>
        <f>IF(REKAP[[#This Row],[Stok Aktual]]&lt;&gt;"",REKAP[[#This Row],[Stok Aktual]]-REKAP[[#This Row],[Stok Akhir]],0)</f>
        <v>0</v>
      </c>
      <c r="S2164" s="132"/>
      <c r="T2164" s="137">
        <f>IF(REKAP[[#This Row],[Selisih]]&lt;=-1,REKAP[[#This Row],[Harga Satuan]]*REKAP[[#This Row],[Selisih]],0)</f>
        <v>0</v>
      </c>
    </row>
    <row r="2165" spans="1:20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>
        <f>IF(REKAP[[#This Row],[Stok Aktual]]&lt;&gt;"",REKAP[[#This Row],[Stok Aktual]]-REKAP[[#This Row],[Stok Akhir]],0)</f>
        <v>0</v>
      </c>
      <c r="S2165" s="132"/>
      <c r="T2165" s="137">
        <f>IF(REKAP[[#This Row],[Selisih]]&lt;=-1,REKAP[[#This Row],[Harga Satuan]]*REKAP[[#This Row],[Selisih]],0)</f>
        <v>0</v>
      </c>
    </row>
    <row r="2166" spans="1:20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>
        <f>IF(REKAP[[#This Row],[Stok Aktual]]&lt;&gt;"",REKAP[[#This Row],[Stok Aktual]]-REKAP[[#This Row],[Stok Akhir]],0)</f>
        <v>0</v>
      </c>
      <c r="S2166" s="132"/>
      <c r="T2166" s="137">
        <f>IF(REKAP[[#This Row],[Selisih]]&lt;=-1,REKAP[[#This Row],[Harga Satuan]]*REKAP[[#This Row],[Selisih]],0)</f>
        <v>0</v>
      </c>
    </row>
    <row r="2167" spans="1:20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>
        <f>IF(REKAP[[#This Row],[Stok Aktual]]&lt;&gt;"",REKAP[[#This Row],[Stok Aktual]]-REKAP[[#This Row],[Stok Akhir]],0)</f>
        <v>0</v>
      </c>
      <c r="S2167" s="132"/>
      <c r="T2167" s="137">
        <f>IF(REKAP[[#This Row],[Selisih]]&lt;=-1,REKAP[[#This Row],[Harga Satuan]]*REKAP[[#This Row],[Selisih]],0)</f>
        <v>0</v>
      </c>
    </row>
    <row r="2168" spans="1:20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>
        <f>IF(REKAP[[#This Row],[Stok Aktual]]&lt;&gt;"",REKAP[[#This Row],[Stok Aktual]]-REKAP[[#This Row],[Stok Akhir]],0)</f>
        <v>0</v>
      </c>
      <c r="S2168" s="132"/>
      <c r="T2168" s="137">
        <f>IF(REKAP[[#This Row],[Selisih]]&lt;=-1,REKAP[[#This Row],[Harga Satuan]]*REKAP[[#This Row],[Selisih]],0)</f>
        <v>0</v>
      </c>
    </row>
    <row r="2169" spans="1:20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>
        <f>IF(REKAP[[#This Row],[Stok Aktual]]&lt;&gt;"",REKAP[[#This Row],[Stok Aktual]]-REKAP[[#This Row],[Stok Akhir]],0)</f>
        <v>0</v>
      </c>
      <c r="S2169" s="132"/>
      <c r="T2169" s="137">
        <f>IF(REKAP[[#This Row],[Selisih]]&lt;=-1,REKAP[[#This Row],[Harga Satuan]]*REKAP[[#This Row],[Selisih]],0)</f>
        <v>0</v>
      </c>
    </row>
    <row r="2170" spans="1:20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>
        <f>IF(REKAP[[#This Row],[Stok Aktual]]&lt;&gt;"",REKAP[[#This Row],[Stok Aktual]]-REKAP[[#This Row],[Stok Akhir]],0)</f>
        <v>0</v>
      </c>
      <c r="S2170" s="132"/>
      <c r="T2170" s="137">
        <f>IF(REKAP[[#This Row],[Selisih]]&lt;=-1,REKAP[[#This Row],[Harga Satuan]]*REKAP[[#This Row],[Selisih]],0)</f>
        <v>0</v>
      </c>
    </row>
    <row r="2171" spans="1:20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>
        <f>IF(REKAP[[#This Row],[Stok Aktual]]&lt;&gt;"",REKAP[[#This Row],[Stok Aktual]]-REKAP[[#This Row],[Stok Akhir]],0)</f>
        <v>0</v>
      </c>
      <c r="S2171" s="132"/>
      <c r="T2171" s="137">
        <f>IF(REKAP[[#This Row],[Selisih]]&lt;=-1,REKAP[[#This Row],[Harga Satuan]]*REKAP[[#This Row],[Selisih]],0)</f>
        <v>0</v>
      </c>
    </row>
    <row r="2172" spans="1:20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>
        <f>IF(REKAP[[#This Row],[Stok Aktual]]&lt;&gt;"",REKAP[[#This Row],[Stok Aktual]]-REKAP[[#This Row],[Stok Akhir]],0)</f>
        <v>0</v>
      </c>
      <c r="S2172" s="132"/>
      <c r="T2172" s="137">
        <f>IF(REKAP[[#This Row],[Selisih]]&lt;=-1,REKAP[[#This Row],[Harga Satuan]]*REKAP[[#This Row],[Selisih]],0)</f>
        <v>0</v>
      </c>
    </row>
    <row r="2173" spans="1:20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>
        <f>IF(REKAP[[#This Row],[Stok Aktual]]&lt;&gt;"",REKAP[[#This Row],[Stok Aktual]]-REKAP[[#This Row],[Stok Akhir]],0)</f>
        <v>0</v>
      </c>
      <c r="S2173" s="132"/>
      <c r="T2173" s="137">
        <f>IF(REKAP[[#This Row],[Selisih]]&lt;=-1,REKAP[[#This Row],[Harga Satuan]]*REKAP[[#This Row],[Selisih]],0)</f>
        <v>0</v>
      </c>
    </row>
    <row r="2174" spans="1:20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>
        <f>IF(REKAP[[#This Row],[Stok Aktual]]&lt;&gt;"",REKAP[[#This Row],[Stok Aktual]]-REKAP[[#This Row],[Stok Akhir]],0)</f>
        <v>0</v>
      </c>
      <c r="S2174" s="132"/>
      <c r="T2174" s="137">
        <f>IF(REKAP[[#This Row],[Selisih]]&lt;=-1,REKAP[[#This Row],[Harga Satuan]]*REKAP[[#This Row],[Selisih]],0)</f>
        <v>0</v>
      </c>
    </row>
    <row r="2175" spans="1:20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>
        <f>IF(REKAP[[#This Row],[Stok Aktual]]&lt;&gt;"",REKAP[[#This Row],[Stok Aktual]]-REKAP[[#This Row],[Stok Akhir]],0)</f>
        <v>0</v>
      </c>
      <c r="S2175" s="132"/>
      <c r="T2175" s="137">
        <f>IF(REKAP[[#This Row],[Selisih]]&lt;=-1,REKAP[[#This Row],[Harga Satuan]]*REKAP[[#This Row],[Selisih]],0)</f>
        <v>0</v>
      </c>
    </row>
    <row r="2176" spans="1:20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>
        <f>IF(REKAP[[#This Row],[Stok Aktual]]&lt;&gt;"",REKAP[[#This Row],[Stok Aktual]]-REKAP[[#This Row],[Stok Akhir]],0)</f>
        <v>0</v>
      </c>
      <c r="S2176" s="132"/>
      <c r="T2176" s="137">
        <f>IF(REKAP[[#This Row],[Selisih]]&lt;=-1,REKAP[[#This Row],[Harga Satuan]]*REKAP[[#This Row],[Selisih]],0)</f>
        <v>0</v>
      </c>
    </row>
    <row r="2177" spans="1:20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>
        <f>IF(REKAP[[#This Row],[Stok Aktual]]&lt;&gt;"",REKAP[[#This Row],[Stok Aktual]]-REKAP[[#This Row],[Stok Akhir]],0)</f>
        <v>0</v>
      </c>
      <c r="S2177" s="132"/>
      <c r="T2177" s="137">
        <f>IF(REKAP[[#This Row],[Selisih]]&lt;=-1,REKAP[[#This Row],[Harga Satuan]]*REKAP[[#This Row],[Selisih]],0)</f>
        <v>0</v>
      </c>
    </row>
    <row r="2178" spans="1:20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>
        <f>IF(REKAP[[#This Row],[Stok Aktual]]&lt;&gt;"",REKAP[[#This Row],[Stok Aktual]]-REKAP[[#This Row],[Stok Akhir]],0)</f>
        <v>0</v>
      </c>
      <c r="S2178" s="132"/>
      <c r="T2178" s="137">
        <f>IF(REKAP[[#This Row],[Selisih]]&lt;=-1,REKAP[[#This Row],[Harga Satuan]]*REKAP[[#This Row],[Selisih]],0)</f>
        <v>0</v>
      </c>
    </row>
    <row r="2179" spans="1:20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>
        <f>IF(REKAP[[#This Row],[Stok Aktual]]&lt;&gt;"",REKAP[[#This Row],[Stok Aktual]]-REKAP[[#This Row],[Stok Akhir]],0)</f>
        <v>0</v>
      </c>
      <c r="S2179" s="132"/>
      <c r="T2179" s="137">
        <f>IF(REKAP[[#This Row],[Selisih]]&lt;=-1,REKAP[[#This Row],[Harga Satuan]]*REKAP[[#This Row],[Selisih]],0)</f>
        <v>0</v>
      </c>
    </row>
    <row r="2180" spans="1:20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>
        <f>IF(REKAP[[#This Row],[Stok Aktual]]&lt;&gt;"",REKAP[[#This Row],[Stok Aktual]]-REKAP[[#This Row],[Stok Akhir]],0)</f>
        <v>0</v>
      </c>
      <c r="S2180" s="132"/>
      <c r="T2180" s="137">
        <f>IF(REKAP[[#This Row],[Selisih]]&lt;=-1,REKAP[[#This Row],[Harga Satuan]]*REKAP[[#This Row],[Selisih]],0)</f>
        <v>0</v>
      </c>
    </row>
    <row r="2181" spans="1:20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>
        <f>IF(REKAP[[#This Row],[Stok Aktual]]&lt;&gt;"",REKAP[[#This Row],[Stok Aktual]]-REKAP[[#This Row],[Stok Akhir]],0)</f>
        <v>0</v>
      </c>
      <c r="S2181" s="132"/>
      <c r="T2181" s="137">
        <f>IF(REKAP[[#This Row],[Selisih]]&lt;=-1,REKAP[[#This Row],[Harga Satuan]]*REKAP[[#This Row],[Selisih]],0)</f>
        <v>0</v>
      </c>
    </row>
    <row r="2182" spans="1:20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>
        <f>IF(REKAP[[#This Row],[Stok Aktual]]&lt;&gt;"",REKAP[[#This Row],[Stok Aktual]]-REKAP[[#This Row],[Stok Akhir]],0)</f>
        <v>0</v>
      </c>
      <c r="S2182" s="132"/>
      <c r="T2182" s="137">
        <f>IF(REKAP[[#This Row],[Selisih]]&lt;=-1,REKAP[[#This Row],[Harga Satuan]]*REKAP[[#This Row],[Selisih]],0)</f>
        <v>0</v>
      </c>
    </row>
    <row r="2183" spans="1:20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>
        <f>IF(REKAP[[#This Row],[Stok Aktual]]&lt;&gt;"",REKAP[[#This Row],[Stok Aktual]]-REKAP[[#This Row],[Stok Akhir]],0)</f>
        <v>0</v>
      </c>
      <c r="S2183" s="132"/>
      <c r="T2183" s="137">
        <f>IF(REKAP[[#This Row],[Selisih]]&lt;=-1,REKAP[[#This Row],[Harga Satuan]]*REKAP[[#This Row],[Selisih]],0)</f>
        <v>0</v>
      </c>
    </row>
    <row r="2184" spans="1:20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>
        <f>IF(REKAP[[#This Row],[Stok Aktual]]&lt;&gt;"",REKAP[[#This Row],[Stok Aktual]]-REKAP[[#This Row],[Stok Akhir]],0)</f>
        <v>0</v>
      </c>
      <c r="S2184" s="132"/>
      <c r="T2184" s="137">
        <f>IF(REKAP[[#This Row],[Selisih]]&lt;=-1,REKAP[[#This Row],[Harga Satuan]]*REKAP[[#This Row],[Selisih]],0)</f>
        <v>0</v>
      </c>
    </row>
    <row r="2185" spans="1:20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>
        <f>IF(REKAP[[#This Row],[Stok Aktual]]&lt;&gt;"",REKAP[[#This Row],[Stok Aktual]]-REKAP[[#This Row],[Stok Akhir]],0)</f>
        <v>0</v>
      </c>
      <c r="S2185" s="132"/>
      <c r="T2185" s="137">
        <f>IF(REKAP[[#This Row],[Selisih]]&lt;=-1,REKAP[[#This Row],[Harga Satuan]]*REKAP[[#This Row],[Selisih]],0)</f>
        <v>0</v>
      </c>
    </row>
    <row r="2186" spans="1:20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>
        <f>IF(REKAP[[#This Row],[Stok Aktual]]&lt;&gt;"",REKAP[[#This Row],[Stok Aktual]]-REKAP[[#This Row],[Stok Akhir]],0)</f>
        <v>0</v>
      </c>
      <c r="S2186" s="132"/>
      <c r="T2186" s="137">
        <f>IF(REKAP[[#This Row],[Selisih]]&lt;=-1,REKAP[[#This Row],[Harga Satuan]]*REKAP[[#This Row],[Selisih]],0)</f>
        <v>0</v>
      </c>
    </row>
    <row r="2187" spans="1:20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>
        <f>IF(REKAP[[#This Row],[Stok Aktual]]&lt;&gt;"",REKAP[[#This Row],[Stok Aktual]]-REKAP[[#This Row],[Stok Akhir]],0)</f>
        <v>0</v>
      </c>
      <c r="S2187" s="132"/>
      <c r="T2187" s="137">
        <f>IF(REKAP[[#This Row],[Selisih]]&lt;=-1,REKAP[[#This Row],[Harga Satuan]]*REKAP[[#This Row],[Selisih]],0)</f>
        <v>0</v>
      </c>
    </row>
    <row r="2188" spans="1:20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>
        <f>IF(REKAP[[#This Row],[Stok Aktual]]&lt;&gt;"",REKAP[[#This Row],[Stok Aktual]]-REKAP[[#This Row],[Stok Akhir]],0)</f>
        <v>0</v>
      </c>
      <c r="S2188" s="132"/>
      <c r="T2188" s="137">
        <f>IF(REKAP[[#This Row],[Selisih]]&lt;=-1,REKAP[[#This Row],[Harga Satuan]]*REKAP[[#This Row],[Selisih]],0)</f>
        <v>0</v>
      </c>
    </row>
    <row r="2189" spans="1:20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>
        <f>IF(REKAP[[#This Row],[Stok Aktual]]&lt;&gt;"",REKAP[[#This Row],[Stok Aktual]]-REKAP[[#This Row],[Stok Akhir]],0)</f>
        <v>0</v>
      </c>
      <c r="S2189" s="132"/>
      <c r="T2189" s="137">
        <f>IF(REKAP[[#This Row],[Selisih]]&lt;=-1,REKAP[[#This Row],[Harga Satuan]]*REKAP[[#This Row],[Selisih]],0)</f>
        <v>0</v>
      </c>
    </row>
    <row r="2190" spans="1:20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>
        <f>IF(REKAP[[#This Row],[Stok Aktual]]&lt;&gt;"",REKAP[[#This Row],[Stok Aktual]]-REKAP[[#This Row],[Stok Akhir]],0)</f>
        <v>0</v>
      </c>
      <c r="S2190" s="132"/>
      <c r="T2190" s="137">
        <f>IF(REKAP[[#This Row],[Selisih]]&lt;=-1,REKAP[[#This Row],[Harga Satuan]]*REKAP[[#This Row],[Selisih]],0)</f>
        <v>0</v>
      </c>
    </row>
    <row r="2191" spans="1:20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>
        <f>IF(REKAP[[#This Row],[Stok Aktual]]&lt;&gt;"",REKAP[[#This Row],[Stok Aktual]]-REKAP[[#This Row],[Stok Akhir]],0)</f>
        <v>0</v>
      </c>
      <c r="S2191" s="132"/>
      <c r="T2191" s="137">
        <f>IF(REKAP[[#This Row],[Selisih]]&lt;=-1,REKAP[[#This Row],[Harga Satuan]]*REKAP[[#This Row],[Selisih]],0)</f>
        <v>0</v>
      </c>
    </row>
    <row r="2192" spans="1:20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>
        <f>IF(REKAP[[#This Row],[Stok Aktual]]&lt;&gt;"",REKAP[[#This Row],[Stok Aktual]]-REKAP[[#This Row],[Stok Akhir]],0)</f>
        <v>0</v>
      </c>
      <c r="S2192" s="132"/>
      <c r="T2192" s="137">
        <f>IF(REKAP[[#This Row],[Selisih]]&lt;=-1,REKAP[[#This Row],[Harga Satuan]]*REKAP[[#This Row],[Selisih]],0)</f>
        <v>0</v>
      </c>
    </row>
    <row r="2193" spans="1:20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>
        <f>IF(REKAP[[#This Row],[Stok Aktual]]&lt;&gt;"",REKAP[[#This Row],[Stok Aktual]]-REKAP[[#This Row],[Stok Akhir]],0)</f>
        <v>0</v>
      </c>
      <c r="S2193" s="132"/>
      <c r="T2193" s="137">
        <f>IF(REKAP[[#This Row],[Selisih]]&lt;=-1,REKAP[[#This Row],[Harga Satuan]]*REKAP[[#This Row],[Selisih]],0)</f>
        <v>0</v>
      </c>
    </row>
    <row r="2194" spans="1:20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>
        <f>IF(REKAP[[#This Row],[Stok Aktual]]&lt;&gt;"",REKAP[[#This Row],[Stok Aktual]]-REKAP[[#This Row],[Stok Akhir]],0)</f>
        <v>0</v>
      </c>
      <c r="S2194" s="132"/>
      <c r="T2194" s="137">
        <f>IF(REKAP[[#This Row],[Selisih]]&lt;=-1,REKAP[[#This Row],[Harga Satuan]]*REKAP[[#This Row],[Selisih]],0)</f>
        <v>0</v>
      </c>
    </row>
    <row r="2195" spans="1:20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>
        <f>IF(REKAP[[#This Row],[Stok Aktual]]&lt;&gt;"",REKAP[[#This Row],[Stok Aktual]]-REKAP[[#This Row],[Stok Akhir]],0)</f>
        <v>0</v>
      </c>
      <c r="S2195" s="132"/>
      <c r="T2195" s="137">
        <f>IF(REKAP[[#This Row],[Selisih]]&lt;=-1,REKAP[[#This Row],[Harga Satuan]]*REKAP[[#This Row],[Selisih]],0)</f>
        <v>0</v>
      </c>
    </row>
    <row r="2196" spans="1:20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>
        <f>IF(REKAP[[#This Row],[Stok Aktual]]&lt;&gt;"",REKAP[[#This Row],[Stok Aktual]]-REKAP[[#This Row],[Stok Akhir]],0)</f>
        <v>0</v>
      </c>
      <c r="S2196" s="132"/>
      <c r="T2196" s="137">
        <f>IF(REKAP[[#This Row],[Selisih]]&lt;=-1,REKAP[[#This Row],[Harga Satuan]]*REKAP[[#This Row],[Selisih]],0)</f>
        <v>0</v>
      </c>
    </row>
    <row r="2197" spans="1:20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>
        <f>IF(REKAP[[#This Row],[Stok Aktual]]&lt;&gt;"",REKAP[[#This Row],[Stok Aktual]]-REKAP[[#This Row],[Stok Akhir]],0)</f>
        <v>0</v>
      </c>
      <c r="S2197" s="132"/>
      <c r="T2197" s="137">
        <f>IF(REKAP[[#This Row],[Selisih]]&lt;=-1,REKAP[[#This Row],[Harga Satuan]]*REKAP[[#This Row],[Selisih]],0)</f>
        <v>0</v>
      </c>
    </row>
    <row r="2198" spans="1:20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>
        <f>IF(REKAP[[#This Row],[Stok Aktual]]&lt;&gt;"",REKAP[[#This Row],[Stok Aktual]]-REKAP[[#This Row],[Stok Akhir]],0)</f>
        <v>0</v>
      </c>
      <c r="S2198" s="132"/>
      <c r="T2198" s="137">
        <f>IF(REKAP[[#This Row],[Selisih]]&lt;=-1,REKAP[[#This Row],[Harga Satuan]]*REKAP[[#This Row],[Selisih]],0)</f>
        <v>0</v>
      </c>
    </row>
    <row r="2199" spans="1:20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>
        <f>IF(REKAP[[#This Row],[Stok Aktual]]&lt;&gt;"",REKAP[[#This Row],[Stok Aktual]]-REKAP[[#This Row],[Stok Akhir]],0)</f>
        <v>0</v>
      </c>
      <c r="S2199" s="132"/>
      <c r="T2199" s="137">
        <f>IF(REKAP[[#This Row],[Selisih]]&lt;=-1,REKAP[[#This Row],[Harga Satuan]]*REKAP[[#This Row],[Selisih]],0)</f>
        <v>0</v>
      </c>
    </row>
    <row r="2200" spans="1:20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>
        <f>IF(REKAP[[#This Row],[Stok Aktual]]&lt;&gt;"",REKAP[[#This Row],[Stok Aktual]]-REKAP[[#This Row],[Stok Akhir]],0)</f>
        <v>0</v>
      </c>
      <c r="S2200" s="132"/>
      <c r="T2200" s="137">
        <f>IF(REKAP[[#This Row],[Selisih]]&lt;=-1,REKAP[[#This Row],[Harga Satuan]]*REKAP[[#This Row],[Selisih]],0)</f>
        <v>0</v>
      </c>
    </row>
    <row r="2201" spans="1:20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>
        <f>IF(REKAP[[#This Row],[Stok Aktual]]&lt;&gt;"",REKAP[[#This Row],[Stok Aktual]]-REKAP[[#This Row],[Stok Akhir]],0)</f>
        <v>0</v>
      </c>
      <c r="S2201" s="132"/>
      <c r="T2201" s="137">
        <f>IF(REKAP[[#This Row],[Selisih]]&lt;=-1,REKAP[[#This Row],[Harga Satuan]]*REKAP[[#This Row],[Selisih]],0)</f>
        <v>0</v>
      </c>
    </row>
    <row r="2202" spans="1:20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>
        <f>IF(REKAP[[#This Row],[Stok Aktual]]&lt;&gt;"",REKAP[[#This Row],[Stok Aktual]]-REKAP[[#This Row],[Stok Akhir]],0)</f>
        <v>0</v>
      </c>
      <c r="S2202" s="132"/>
      <c r="T2202" s="137">
        <f>IF(REKAP[[#This Row],[Selisih]]&lt;=-1,REKAP[[#This Row],[Harga Satuan]]*REKAP[[#This Row],[Selisih]],0)</f>
        <v>0</v>
      </c>
    </row>
    <row r="2203" spans="1:20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>
        <f>IF(REKAP[[#This Row],[Stok Aktual]]&lt;&gt;"",REKAP[[#This Row],[Stok Aktual]]-REKAP[[#This Row],[Stok Akhir]],0)</f>
        <v>0</v>
      </c>
      <c r="S2203" s="132"/>
      <c r="T2203" s="137">
        <f>IF(REKAP[[#This Row],[Selisih]]&lt;=-1,REKAP[[#This Row],[Harga Satuan]]*REKAP[[#This Row],[Selisih]],0)</f>
        <v>0</v>
      </c>
    </row>
    <row r="2204" spans="1:20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>
        <f>IF(REKAP[[#This Row],[Stok Aktual]]&lt;&gt;"",REKAP[[#This Row],[Stok Aktual]]-REKAP[[#This Row],[Stok Akhir]],0)</f>
        <v>0</v>
      </c>
      <c r="S2204" s="132"/>
      <c r="T2204" s="137">
        <f>IF(REKAP[[#This Row],[Selisih]]&lt;=-1,REKAP[[#This Row],[Harga Satuan]]*REKAP[[#This Row],[Selisih]],0)</f>
        <v>0</v>
      </c>
    </row>
    <row r="2205" spans="1:20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>
        <f>IF(REKAP[[#This Row],[Stok Aktual]]&lt;&gt;"",REKAP[[#This Row],[Stok Aktual]]-REKAP[[#This Row],[Stok Akhir]],0)</f>
        <v>0</v>
      </c>
      <c r="S2205" s="132"/>
      <c r="T2205" s="137">
        <f>IF(REKAP[[#This Row],[Selisih]]&lt;=-1,REKAP[[#This Row],[Harga Satuan]]*REKAP[[#This Row],[Selisih]],0)</f>
        <v>0</v>
      </c>
    </row>
    <row r="2206" spans="1:20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>
        <f>IF(REKAP[[#This Row],[Stok Aktual]]&lt;&gt;"",REKAP[[#This Row],[Stok Aktual]]-REKAP[[#This Row],[Stok Akhir]],0)</f>
        <v>0</v>
      </c>
      <c r="S2206" s="132"/>
      <c r="T2206" s="137">
        <f>IF(REKAP[[#This Row],[Selisih]]&lt;=-1,REKAP[[#This Row],[Harga Satuan]]*REKAP[[#This Row],[Selisih]],0)</f>
        <v>0</v>
      </c>
    </row>
    <row r="2207" spans="1:20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>
        <f>IF(REKAP[[#This Row],[Stok Aktual]]&lt;&gt;"",REKAP[[#This Row],[Stok Aktual]]-REKAP[[#This Row],[Stok Akhir]],0)</f>
        <v>0</v>
      </c>
      <c r="S2207" s="132"/>
      <c r="T2207" s="137">
        <f>IF(REKAP[[#This Row],[Selisih]]&lt;=-1,REKAP[[#This Row],[Harga Satuan]]*REKAP[[#This Row],[Selisih]],0)</f>
        <v>0</v>
      </c>
    </row>
    <row r="2208" spans="1:20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>
        <f>IF(REKAP[[#This Row],[Stok Aktual]]&lt;&gt;"",REKAP[[#This Row],[Stok Aktual]]-REKAP[[#This Row],[Stok Akhir]],0)</f>
        <v>0</v>
      </c>
      <c r="S2208" s="132"/>
      <c r="T2208" s="137">
        <f>IF(REKAP[[#This Row],[Selisih]]&lt;=-1,REKAP[[#This Row],[Harga Satuan]]*REKAP[[#This Row],[Selisih]],0)</f>
        <v>0</v>
      </c>
    </row>
    <row r="2209" spans="1:20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>
        <f>IF(REKAP[[#This Row],[Stok Aktual]]&lt;&gt;"",REKAP[[#This Row],[Stok Aktual]]-REKAP[[#This Row],[Stok Akhir]],0)</f>
        <v>0</v>
      </c>
      <c r="S2209" s="132"/>
      <c r="T2209" s="137">
        <f>IF(REKAP[[#This Row],[Selisih]]&lt;=-1,REKAP[[#This Row],[Harga Satuan]]*REKAP[[#This Row],[Selisih]],0)</f>
        <v>0</v>
      </c>
    </row>
    <row r="2210" spans="1:20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>
        <f>IF(REKAP[[#This Row],[Stok Aktual]]&lt;&gt;"",REKAP[[#This Row],[Stok Aktual]]-REKAP[[#This Row],[Stok Akhir]],0)</f>
        <v>0</v>
      </c>
      <c r="S2210" s="132"/>
      <c r="T2210" s="137">
        <f>IF(REKAP[[#This Row],[Selisih]]&lt;=-1,REKAP[[#This Row],[Harga Satuan]]*REKAP[[#This Row],[Selisih]],0)</f>
        <v>0</v>
      </c>
    </row>
    <row r="2211" spans="1:20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>
        <f>IF(REKAP[[#This Row],[Stok Aktual]]&lt;&gt;"",REKAP[[#This Row],[Stok Aktual]]-REKAP[[#This Row],[Stok Akhir]],0)</f>
        <v>0</v>
      </c>
      <c r="S2211" s="132"/>
      <c r="T2211" s="137">
        <f>IF(REKAP[[#This Row],[Selisih]]&lt;=-1,REKAP[[#This Row],[Harga Satuan]]*REKAP[[#This Row],[Selisih]],0)</f>
        <v>0</v>
      </c>
    </row>
    <row r="2212" spans="1:20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>
        <f>IF(REKAP[[#This Row],[Stok Aktual]]&lt;&gt;"",REKAP[[#This Row],[Stok Aktual]]-REKAP[[#This Row],[Stok Akhir]],0)</f>
        <v>0</v>
      </c>
      <c r="S2212" s="132"/>
      <c r="T2212" s="137">
        <f>IF(REKAP[[#This Row],[Selisih]]&lt;=-1,REKAP[[#This Row],[Harga Satuan]]*REKAP[[#This Row],[Selisih]],0)</f>
        <v>0</v>
      </c>
    </row>
    <row r="2213" spans="1:20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>
        <f>IF(REKAP[[#This Row],[Stok Aktual]]&lt;&gt;"",REKAP[[#This Row],[Stok Aktual]]-REKAP[[#This Row],[Stok Akhir]],0)</f>
        <v>0</v>
      </c>
      <c r="S2213" s="132"/>
      <c r="T2213" s="137">
        <f>IF(REKAP[[#This Row],[Selisih]]&lt;=-1,REKAP[[#This Row],[Harga Satuan]]*REKAP[[#This Row],[Selisih]],0)</f>
        <v>0</v>
      </c>
    </row>
    <row r="2214" spans="1:20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>
        <f>IF(REKAP[[#This Row],[Stok Aktual]]&lt;&gt;"",REKAP[[#This Row],[Stok Aktual]]-REKAP[[#This Row],[Stok Akhir]],0)</f>
        <v>0</v>
      </c>
      <c r="S2214" s="132"/>
      <c r="T2214" s="137">
        <f>IF(REKAP[[#This Row],[Selisih]]&lt;=-1,REKAP[[#This Row],[Harga Satuan]]*REKAP[[#This Row],[Selisih]],0)</f>
        <v>0</v>
      </c>
    </row>
    <row r="2215" spans="1:20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>
        <f>IF(REKAP[[#This Row],[Stok Aktual]]&lt;&gt;"",REKAP[[#This Row],[Stok Aktual]]-REKAP[[#This Row],[Stok Akhir]],0)</f>
        <v>0</v>
      </c>
      <c r="S2215" s="132"/>
      <c r="T2215" s="137">
        <f>IF(REKAP[[#This Row],[Selisih]]&lt;=-1,REKAP[[#This Row],[Harga Satuan]]*REKAP[[#This Row],[Selisih]],0)</f>
        <v>0</v>
      </c>
    </row>
    <row r="2216" spans="1:20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>
        <f>IF(REKAP[[#This Row],[Stok Aktual]]&lt;&gt;"",REKAP[[#This Row],[Stok Aktual]]-REKAP[[#This Row],[Stok Akhir]],0)</f>
        <v>0</v>
      </c>
      <c r="S2216" s="132"/>
      <c r="T2216" s="137">
        <f>IF(REKAP[[#This Row],[Selisih]]&lt;=-1,REKAP[[#This Row],[Harga Satuan]]*REKAP[[#This Row],[Selisih]],0)</f>
        <v>0</v>
      </c>
    </row>
    <row r="2217" spans="1:20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>
        <f>IF(REKAP[[#This Row],[Stok Aktual]]&lt;&gt;"",REKAP[[#This Row],[Stok Aktual]]-REKAP[[#This Row],[Stok Akhir]],0)</f>
        <v>0</v>
      </c>
      <c r="S2217" s="132"/>
      <c r="T2217" s="137">
        <f>IF(REKAP[[#This Row],[Selisih]]&lt;=-1,REKAP[[#This Row],[Harga Satuan]]*REKAP[[#This Row],[Selisih]],0)</f>
        <v>0</v>
      </c>
    </row>
    <row r="2218" spans="1:20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>
        <f>IF(REKAP[[#This Row],[Stok Aktual]]&lt;&gt;"",REKAP[[#This Row],[Stok Aktual]]-REKAP[[#This Row],[Stok Akhir]],0)</f>
        <v>0</v>
      </c>
      <c r="S2218" s="132"/>
      <c r="T2218" s="137">
        <f>IF(REKAP[[#This Row],[Selisih]]&lt;=-1,REKAP[[#This Row],[Harga Satuan]]*REKAP[[#This Row],[Selisih]],0)</f>
        <v>0</v>
      </c>
    </row>
    <row r="2219" spans="1:20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>
        <f>IF(REKAP[[#This Row],[Stok Aktual]]&lt;&gt;"",REKAP[[#This Row],[Stok Aktual]]-REKAP[[#This Row],[Stok Akhir]],0)</f>
        <v>0</v>
      </c>
      <c r="S2219" s="132"/>
      <c r="T2219" s="137">
        <f>IF(REKAP[[#This Row],[Selisih]]&lt;=-1,REKAP[[#This Row],[Harga Satuan]]*REKAP[[#This Row],[Selisih]],0)</f>
        <v>0</v>
      </c>
    </row>
    <row r="2220" spans="1:20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>
        <f>IF(REKAP[[#This Row],[Stok Aktual]]&lt;&gt;"",REKAP[[#This Row],[Stok Aktual]]-REKAP[[#This Row],[Stok Akhir]],0)</f>
        <v>0</v>
      </c>
      <c r="S2220" s="132"/>
      <c r="T2220" s="137">
        <f>IF(REKAP[[#This Row],[Selisih]]&lt;=-1,REKAP[[#This Row],[Harga Satuan]]*REKAP[[#This Row],[Selisih]],0)</f>
        <v>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R184" sqref="R184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56" t="s">
        <v>3333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43"/>
    </row>
    <row r="2" spans="1:13" customFormat="1" ht="31.5" thickBot="1" x14ac:dyDescent="0.3">
      <c r="A2" s="157" t="s">
        <v>3331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3855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214</v>
      </c>
      <c r="C5" s="19" cm="1">
        <f t="array" ref="C5">SUMPRODUCT((MASUK[Kode Barang]&lt;&gt;"")+0)</f>
        <v>214</v>
      </c>
      <c r="D5" s="19" cm="1">
        <f t="array" ref="D5">SUMPRODUCT((MASUK[Nama Barang]&lt;&gt;"")+0)</f>
        <v>214</v>
      </c>
      <c r="E5" s="19" cm="1">
        <f t="array" ref="E5">SUMPRODUCT((MASUK[Spesifikasi /
Catalogue Code]&lt;&gt;"")+0)</f>
        <v>214</v>
      </c>
      <c r="F5" s="19" cm="1">
        <f t="array" ref="F5">SUMPRODUCT((MASUK[Kategori]&lt;&gt;"")+0)</f>
        <v>214</v>
      </c>
      <c r="G5" s="19" cm="1">
        <f t="array" ref="G5">SUMPRODUCT((MASUK[Harga Satuan]&lt;&gt;"")+0)</f>
        <v>213</v>
      </c>
      <c r="H5" s="19" cm="1">
        <f t="array" ref="H5">SUMPRODUCT((MASUK[Jumlah Masuk]&lt;&gt;"")+0)</f>
        <v>214</v>
      </c>
      <c r="I5" s="19" cm="1">
        <f t="array" ref="I5">SUMPRODUCT((MASUK[Pengirim]&lt;&gt;"")+0)</f>
        <v>0</v>
      </c>
      <c r="J5" s="19" cm="1">
        <f t="array" ref="J5">SUMPRODUCT((MASUK[Project]&lt;&gt;"")+0)</f>
        <v>163</v>
      </c>
      <c r="K5" s="19"/>
      <c r="L5" s="19" cm="1">
        <f t="array" ref="L5">SUMPRODUCT((MASUK[Note]&lt;&gt;"")+0)</f>
        <v>49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3848</v>
      </c>
    </row>
    <row r="7" spans="1:13" ht="15.75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3809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3809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3810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3811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3857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3857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3857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3857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3857</v>
      </c>
      <c r="K38" s="15">
        <v>45000</v>
      </c>
      <c r="L38" s="11"/>
      <c r="M38" s="49">
        <f>IFERROR(VLOOKUP(C38,REKAP[[#All],[ID]:[Stok Akhir]],15,FALSE), "")</f>
        <v>13</v>
      </c>
    </row>
    <row r="39" spans="1:13" ht="16.5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 t="shared" si="0"/>
        <v>38</v>
      </c>
      <c r="B44" s="7">
        <v>45360</v>
      </c>
      <c r="C44" s="8" t="s">
        <v>3812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 t="shared" si="0"/>
        <v>40</v>
      </c>
      <c r="B46" s="7">
        <v>45360</v>
      </c>
      <c r="C46" s="8" t="s">
        <v>3815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 t="shared" si="0"/>
        <v>42</v>
      </c>
      <c r="B48" s="7">
        <v>45360</v>
      </c>
      <c r="C48" s="8" t="s">
        <v>3817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3820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 t="shared" si="1"/>
        <v>51</v>
      </c>
      <c r="B57" s="7">
        <v>45360</v>
      </c>
      <c r="C57" s="8" t="s">
        <v>3821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 t="shared" si="1"/>
        <v>91</v>
      </c>
      <c r="B97" s="7">
        <v>45371</v>
      </c>
      <c r="C97" s="8" t="s">
        <v>3767</v>
      </c>
      <c r="D97" s="16" t="str">
        <f>IFERROR(VLOOKUP(C97,REKAP[[#All],[ID]:[Stok Akhir]],2,FALSE), "")</f>
        <v>LINEAR BUSHING</v>
      </c>
      <c r="E97" s="16" t="str">
        <f>IFERROR(VLOOKUP(C97,REKAP[[#All],[ID]:[Stok Akhir]],4,FALSE), "")</f>
        <v>ASB YL LM 30 UU-OP</v>
      </c>
      <c r="F97" s="16" t="str">
        <f>IFERROR(VLOOKUP(C97,REKAP[[#All],[ID]:[Stok Akhir]],6,FALSE),"")</f>
        <v>Accessories Mold</v>
      </c>
      <c r="G97" s="15">
        <f>IFERROR(VLOOKUP(C97,REKAP[[#All],[ID]:[Stok Akhir]],8,FALSE),"")</f>
        <v>0</v>
      </c>
      <c r="H97" s="11">
        <v>16</v>
      </c>
      <c r="I97" s="8"/>
      <c r="J97" s="8" t="s">
        <v>3762</v>
      </c>
      <c r="K97" s="15">
        <v>0</v>
      </c>
      <c r="L97" s="11"/>
      <c r="M97" s="49">
        <f>IFERROR(VLOOKUP(C97,REKAP[[#All],[ID]:[Stok Akhir]],15,FALSE), "")</f>
        <v>0</v>
      </c>
    </row>
    <row r="98" spans="1:13" ht="16.5" thickTop="1" thickBot="1" x14ac:dyDescent="0.3">
      <c r="A98" s="27">
        <f t="shared" si="1"/>
        <v>92</v>
      </c>
      <c r="B98" s="7">
        <v>45371</v>
      </c>
      <c r="C98" s="8" t="s">
        <v>3770</v>
      </c>
      <c r="D98" s="16" t="str">
        <f>IFERROR(VLOOKUP(C98,REKAP[[#All],[ID]:[Stok Akhir]],2,FALSE), "")</f>
        <v>Lock Nut</v>
      </c>
      <c r="E98" s="16" t="str">
        <f>IFERROR(VLOOKUP(C98,REKAP[[#All],[ID]:[Stok Akhir]],4,FALSE), "")</f>
        <v>AN 01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0</v>
      </c>
      <c r="H98" s="11">
        <v>8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 t="shared" si="1"/>
        <v>93</v>
      </c>
      <c r="B99" s="7">
        <v>45371</v>
      </c>
      <c r="C99" s="8" t="s">
        <v>3776</v>
      </c>
      <c r="D99" s="16" t="str">
        <f>IFERROR(VLOOKUP(C99,REKAP[[#All],[ID]:[Stok Akhir]],2,FALSE), "")</f>
        <v>Lock Washer</v>
      </c>
      <c r="E99" s="16" t="str">
        <f>IFERROR(VLOOKUP(C99,REKAP[[#All],[ID]:[Stok Akhir]],4,FALSE), "")</f>
        <v>AW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 t="shared" si="1"/>
        <v>94</v>
      </c>
      <c r="B100" s="7">
        <v>45371</v>
      </c>
      <c r="C100" s="8" t="s">
        <v>3775</v>
      </c>
      <c r="D100" s="16" t="str">
        <f>IFERROR(VLOOKUP(C100,REKAP[[#All],[ID]:[Stok Akhir]],2,FALSE), "")</f>
        <v>Lock Nut</v>
      </c>
      <c r="E100" s="16" t="str">
        <f>IFERROR(VLOOKUP(C100,REKAP[[#All],[ID]:[Stok Akhir]],4,FALSE), "")</f>
        <v>AN 04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4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1</v>
      </c>
    </row>
    <row r="101" spans="1:13" ht="16.5" thickTop="1" thickBot="1" x14ac:dyDescent="0.3">
      <c r="A101" s="27">
        <f t="shared" si="1"/>
        <v>95</v>
      </c>
      <c r="B101" s="7">
        <v>45371</v>
      </c>
      <c r="C101" s="8" t="s">
        <v>3778</v>
      </c>
      <c r="D101" s="16" t="str">
        <f>IFERROR(VLOOKUP(C101,REKAP[[#All],[ID]:[Stok Akhir]],2,FALSE), "")</f>
        <v>Lock Washer</v>
      </c>
      <c r="E101" s="16" t="str">
        <f>IFERROR(VLOOKUP(C101,REKAP[[#All],[ID]:[Stok Akhir]],4,FALSE), "")</f>
        <v>AW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 t="shared" si="1"/>
        <v>96</v>
      </c>
      <c r="B102" s="7">
        <v>45371</v>
      </c>
      <c r="C102" s="8" t="s">
        <v>3772</v>
      </c>
      <c r="D102" s="16" t="str">
        <f>IFERROR(VLOOKUP(C102,REKAP[[#All],[ID]:[Stok Akhir]],2,FALSE), "")</f>
        <v>Lock Nut</v>
      </c>
      <c r="E102" s="16" t="str">
        <f>IFERROR(VLOOKUP(C102,REKAP[[#All],[ID]:[Stok Akhir]],4,FALSE), "")</f>
        <v>AN 03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3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0</v>
      </c>
    </row>
    <row r="103" spans="1:13" ht="16.5" thickTop="1" thickBot="1" x14ac:dyDescent="0.3">
      <c r="A103" s="27">
        <f t="shared" si="1"/>
        <v>97</v>
      </c>
      <c r="B103" s="7">
        <v>45371</v>
      </c>
      <c r="C103" s="8" t="s">
        <v>333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10 X 35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2500</v>
      </c>
      <c r="H103" s="11">
        <v>38</v>
      </c>
      <c r="I103" s="8"/>
      <c r="J103" s="8" t="s">
        <v>3780</v>
      </c>
      <c r="K103" s="15">
        <v>95000</v>
      </c>
      <c r="L103" s="11"/>
      <c r="M103" s="49">
        <f>IFERROR(VLOOKUP(C103,REKAP[[#All],[ID]:[Stok Akhir]],15,FALSE), "")</f>
        <v>16</v>
      </c>
    </row>
    <row r="104" spans="1:13" ht="16.5" thickTop="1" thickBot="1" x14ac:dyDescent="0.3">
      <c r="A104" s="27">
        <f t="shared" si="1"/>
        <v>98</v>
      </c>
      <c r="B104" s="7">
        <v>45371</v>
      </c>
      <c r="C104" s="8" t="s">
        <v>310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8 X 30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2000</v>
      </c>
      <c r="H104" s="11">
        <v>24</v>
      </c>
      <c r="I104" s="8"/>
      <c r="J104" s="8" t="s">
        <v>3762</v>
      </c>
      <c r="K104" s="15">
        <v>48000</v>
      </c>
      <c r="L104" s="11"/>
      <c r="M104" s="49">
        <f>IFERROR(VLOOKUP(C104,REKAP[[#All],[ID]:[Stok Akhir]],15,FALSE), "")</f>
        <v>15</v>
      </c>
    </row>
    <row r="105" spans="1:13" ht="16.5" thickTop="1" thickBot="1" x14ac:dyDescent="0.3">
      <c r="A105" s="27">
        <f t="shared" si="1"/>
        <v>99</v>
      </c>
      <c r="B105" s="7">
        <v>45371</v>
      </c>
      <c r="C105" s="8" t="s">
        <v>334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10 X 40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3000</v>
      </c>
      <c r="H105" s="11">
        <v>12</v>
      </c>
      <c r="I105" s="8"/>
      <c r="J105" s="8" t="s">
        <v>3762</v>
      </c>
      <c r="K105" s="15">
        <v>36000</v>
      </c>
      <c r="L105" s="11"/>
      <c r="M105" s="49">
        <f>IFERROR(VLOOKUP(C105,REKAP[[#All],[ID]:[Stok Akhir]],15,FALSE), "")</f>
        <v>21</v>
      </c>
    </row>
    <row r="106" spans="1:13" ht="16.5" thickTop="1" thickBot="1" x14ac:dyDescent="0.3">
      <c r="A106" s="27">
        <f t="shared" si="1"/>
        <v>100</v>
      </c>
      <c r="B106" s="7">
        <v>45371</v>
      </c>
      <c r="C106" s="8" t="s">
        <v>265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5 X 10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450</v>
      </c>
      <c r="H106" s="11">
        <v>48</v>
      </c>
      <c r="I106" s="8"/>
      <c r="J106" s="8" t="s">
        <v>3762</v>
      </c>
      <c r="K106" s="15">
        <v>21600</v>
      </c>
      <c r="L106" s="11"/>
      <c r="M106" s="49">
        <f>IFERROR(VLOOKUP(C106,REKAP[[#All],[ID]:[Stok Akhir]],15,FALSE), "")</f>
        <v>22</v>
      </c>
    </row>
    <row r="107" spans="1:13" ht="16.5" thickTop="1" thickBot="1" x14ac:dyDescent="0.3">
      <c r="A107" s="27">
        <f t="shared" si="1"/>
        <v>101</v>
      </c>
      <c r="B107" s="7">
        <v>45371</v>
      </c>
      <c r="C107" s="8" t="s">
        <v>593</v>
      </c>
      <c r="D107" s="16" t="str">
        <f>IFERROR(VLOOKUP(C107,REKAP[[#All],[ID]:[Stok Akhir]],2,FALSE), "")</f>
        <v>Mur</v>
      </c>
      <c r="E107" s="16" t="str">
        <f>IFERROR(VLOOKUP(C107,REKAP[[#All],[ID]:[Stok Akhir]],4,FALSE), "")</f>
        <v>M10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700</v>
      </c>
      <c r="H107" s="11">
        <v>18</v>
      </c>
      <c r="I107" s="8"/>
      <c r="J107" s="8" t="s">
        <v>3762</v>
      </c>
      <c r="K107" s="15">
        <v>12600</v>
      </c>
      <c r="L107" s="11"/>
      <c r="M107" s="49">
        <f>IFERROR(VLOOKUP(C107,REKAP[[#All],[ID]:[Stok Akhir]],15,FALSE), "")</f>
        <v>21</v>
      </c>
    </row>
    <row r="108" spans="1:13" ht="16.5" thickTop="1" thickBot="1" x14ac:dyDescent="0.3">
      <c r="A108" s="27">
        <f t="shared" si="1"/>
        <v>102</v>
      </c>
      <c r="B108" s="7">
        <v>45371</v>
      </c>
      <c r="C108" s="8" t="s">
        <v>290</v>
      </c>
      <c r="D108" s="16" t="str">
        <f>IFERROR(VLOOKUP(C108,REKAP[[#All],[ID]:[Stok Akhir]],2,FALSE), "")</f>
        <v>Baut LPK</v>
      </c>
      <c r="E108" s="16" t="str">
        <f>IFERROR(VLOOKUP(C108,REKAP[[#All],[ID]:[Stok Akhir]],4,FALSE), "")</f>
        <v>M 6 X 35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850</v>
      </c>
      <c r="H108" s="11">
        <v>10</v>
      </c>
      <c r="I108" s="8"/>
      <c r="J108" s="8" t="s">
        <v>3762</v>
      </c>
      <c r="K108" s="15">
        <v>8500</v>
      </c>
      <c r="L108" s="11"/>
      <c r="M108" s="49">
        <f>IFERROR(VLOOKUP(C108,REKAP[[#All],[ID]:[Stok Akhir]],15,FALSE), "")</f>
        <v>40</v>
      </c>
    </row>
    <row r="109" spans="1:13" ht="16.5" thickTop="1" thickBot="1" x14ac:dyDescent="0.3">
      <c r="A109" s="27">
        <f t="shared" si="1"/>
        <v>103</v>
      </c>
      <c r="B109" s="7">
        <v>45371</v>
      </c>
      <c r="C109" s="8" t="s">
        <v>513</v>
      </c>
      <c r="D109" s="16" t="str">
        <f>IFERROR(VLOOKUP(C109,REKAP[[#All],[ID]:[Stok Akhir]],2,FALSE), "")</f>
        <v>Baut Tanam</v>
      </c>
      <c r="E109" s="16" t="str">
        <f>IFERROR(VLOOKUP(C109,REKAP[[#All],[ID]:[Stok Akhir]],4,FALSE), "")</f>
        <v xml:space="preserve">M 6 X 10 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600</v>
      </c>
      <c r="H109" s="11">
        <v>16</v>
      </c>
      <c r="I109" s="8"/>
      <c r="J109" s="8" t="s">
        <v>3762</v>
      </c>
      <c r="K109" s="15">
        <v>9600</v>
      </c>
      <c r="L109" s="11"/>
      <c r="M109" s="49">
        <f>IFERROR(VLOOKUP(C109,REKAP[[#All],[ID]:[Stok Akhir]],15,FALSE), "")</f>
        <v>23</v>
      </c>
    </row>
    <row r="110" spans="1:13" ht="16.5" thickTop="1" thickBot="1" x14ac:dyDescent="0.3">
      <c r="A110" s="27">
        <f t="shared" si="1"/>
        <v>104</v>
      </c>
      <c r="B110" s="7">
        <v>45371</v>
      </c>
      <c r="C110" s="8" t="s">
        <v>308</v>
      </c>
      <c r="D110" s="16" t="str">
        <f>IFERROR(VLOOKUP(C110,REKAP[[#All],[ID]:[Stok Akhir]],2,FALSE), "")</f>
        <v>Baut LPK</v>
      </c>
      <c r="E110" s="16" t="str">
        <f>IFERROR(VLOOKUP(C110,REKAP[[#All],[ID]:[Stok Akhir]],4,FALSE), "")</f>
        <v xml:space="preserve">M 8 X 20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1300</v>
      </c>
      <c r="H110" s="11">
        <v>56</v>
      </c>
      <c r="I110" s="8"/>
      <c r="J110" s="8" t="s">
        <v>3762</v>
      </c>
      <c r="K110" s="15">
        <v>72800</v>
      </c>
      <c r="L110" s="11"/>
      <c r="M110" s="49">
        <f>IFERROR(VLOOKUP(C110,REKAP[[#All],[ID]:[Stok Akhir]],15,FALSE), "")</f>
        <v>53</v>
      </c>
    </row>
    <row r="111" spans="1:13" ht="16.5" thickTop="1" thickBot="1" x14ac:dyDescent="0.3">
      <c r="A111" s="27">
        <f t="shared" si="1"/>
        <v>105</v>
      </c>
      <c r="B111" s="7">
        <v>45371</v>
      </c>
      <c r="C111" s="8" t="s">
        <v>524</v>
      </c>
      <c r="D111" s="16" t="str">
        <f>IFERROR(VLOOKUP(C111,REKAP[[#All],[ID]:[Stok Akhir]],2,FALSE), "")</f>
        <v>Baut Tanam</v>
      </c>
      <c r="E111" s="16" t="str">
        <f>IFERROR(VLOOKUP(C111,REKAP[[#All],[ID]:[Stok Akhir]],4,FALSE), "")</f>
        <v>M 10 x 30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2500</v>
      </c>
      <c r="H111" s="11">
        <v>6</v>
      </c>
      <c r="I111" s="8"/>
      <c r="J111" s="8" t="s">
        <v>3762</v>
      </c>
      <c r="K111" s="15">
        <v>15000</v>
      </c>
      <c r="L111" s="11"/>
      <c r="M111" s="49">
        <f>IFERROR(VLOOKUP(C111,REKAP[[#All],[ID]:[Stok Akhir]],15,FALSE), "")</f>
        <v>13</v>
      </c>
    </row>
    <row r="112" spans="1:13" ht="16.5" thickTop="1" thickBot="1" x14ac:dyDescent="0.3">
      <c r="A112" s="27">
        <f t="shared" si="1"/>
        <v>106</v>
      </c>
      <c r="B112" s="7">
        <v>45371</v>
      </c>
      <c r="C112" s="8" t="s">
        <v>287</v>
      </c>
      <c r="D112" s="16" t="str">
        <f>IFERROR(VLOOKUP(C112,REKAP[[#All],[ID]:[Stok Akhir]],2,FALSE), "")</f>
        <v>Baut LPK</v>
      </c>
      <c r="E112" s="16" t="str">
        <f>IFERROR(VLOOKUP(C112,REKAP[[#All],[ID]:[Stok Akhir]],4,FALSE), "")</f>
        <v>M 6 X 20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1000</v>
      </c>
      <c r="H112" s="11">
        <v>80</v>
      </c>
      <c r="I112" s="8"/>
      <c r="J112" s="8" t="s">
        <v>3780</v>
      </c>
      <c r="K112" s="15">
        <v>80000</v>
      </c>
      <c r="L112" s="11"/>
      <c r="M112" s="49">
        <f>IFERROR(VLOOKUP(C112,REKAP[[#All],[ID]:[Stok Akhir]],15,FALSE), "")</f>
        <v>63</v>
      </c>
    </row>
    <row r="113" spans="1:13" ht="16.5" thickTop="1" thickBot="1" x14ac:dyDescent="0.3">
      <c r="A113" s="27">
        <f t="shared" si="1"/>
        <v>107</v>
      </c>
      <c r="B113" s="7">
        <v>45371</v>
      </c>
      <c r="C113" s="8" t="s">
        <v>463</v>
      </c>
      <c r="D113" s="16" t="str">
        <f>IFERROR(VLOOKUP(C113,REKAP[[#All],[ID]:[Stok Akhir]],2,FALSE), "")</f>
        <v>Baut JFL</v>
      </c>
      <c r="E113" s="16" t="str">
        <f>IFERROR(VLOOKUP(C113,REKAP[[#All],[ID]:[Stok Akhir]],4,FALSE), "")</f>
        <v>M 6 X 15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19</v>
      </c>
      <c r="I113" s="8"/>
      <c r="J113" s="8" t="s">
        <v>3923</v>
      </c>
      <c r="K113" s="15">
        <v>19000</v>
      </c>
      <c r="L113" s="11"/>
      <c r="M113" s="49">
        <f>IFERROR(VLOOKUP(C113,REKAP[[#All],[ID]:[Stok Akhir]],15,FALSE), "")</f>
        <v>27</v>
      </c>
    </row>
    <row r="114" spans="1:13" ht="16.5" thickTop="1" thickBot="1" x14ac:dyDescent="0.3">
      <c r="A114" s="27">
        <f t="shared" si="1"/>
        <v>108</v>
      </c>
      <c r="B114" s="7">
        <v>45371</v>
      </c>
      <c r="C114" s="8" t="s">
        <v>514</v>
      </c>
      <c r="D114" s="16" t="str">
        <f>IFERROR(VLOOKUP(C114,REKAP[[#All],[ID]:[Stok Akhir]],2,FALSE), "")</f>
        <v>Baut Tanam</v>
      </c>
      <c r="E114" s="16" t="str">
        <f>IFERROR(VLOOKUP(C114,REKAP[[#All],[ID]:[Stok Akhir]],4,FALSE), "")</f>
        <v>M 6 X 12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0</v>
      </c>
      <c r="H114" s="11">
        <v>15</v>
      </c>
      <c r="I114" s="8"/>
      <c r="J114" s="8" t="s">
        <v>3762</v>
      </c>
      <c r="K114" s="15">
        <v>0</v>
      </c>
      <c r="L114" s="11"/>
      <c r="M114" s="49">
        <f>IFERROR(VLOOKUP(C114,REKAP[[#All],[ID]:[Stok Akhir]],15,FALSE), "")</f>
        <v>9</v>
      </c>
    </row>
    <row r="115" spans="1:13" ht="16.5" thickTop="1" thickBot="1" x14ac:dyDescent="0.3">
      <c r="A115" s="27">
        <f t="shared" si="1"/>
        <v>109</v>
      </c>
      <c r="B115" s="7">
        <v>45371</v>
      </c>
      <c r="C115" s="8" t="s">
        <v>588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M6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100</v>
      </c>
      <c r="H115" s="11">
        <v>8</v>
      </c>
      <c r="I115" s="8"/>
      <c r="J115" s="8" t="s">
        <v>3762</v>
      </c>
      <c r="K115" s="15">
        <v>800</v>
      </c>
      <c r="L115" s="11"/>
      <c r="M115" s="49">
        <f>IFERROR(VLOOKUP(C115,REKAP[[#All],[ID]:[Stok Akhir]],15,FALSE), "")</f>
        <v>26</v>
      </c>
    </row>
    <row r="116" spans="1:13" ht="16.5" thickTop="1" thickBot="1" x14ac:dyDescent="0.3">
      <c r="A116" s="27">
        <f t="shared" ref="A116:A179" si="2">ROW()-ROW($A$6)</f>
        <v>110</v>
      </c>
      <c r="B116" s="7">
        <v>45372</v>
      </c>
      <c r="C116" s="8" t="s">
        <v>797</v>
      </c>
      <c r="D116" s="16" t="str">
        <f>IFERROR(VLOOKUP(C116,REKAP[[#All],[ID]:[Stok Akhir]],2,FALSE), "")</f>
        <v>Thinner Laba - Laba</v>
      </c>
      <c r="E116" s="16">
        <f>IFERROR(VLOOKUP(C116,REKAP[[#All],[ID]:[Stok Akhir]],4,FALSE), "")</f>
        <v>0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145000</v>
      </c>
      <c r="H116" s="11">
        <v>1</v>
      </c>
      <c r="I116" s="8"/>
      <c r="J116" s="8"/>
      <c r="K116" s="15">
        <v>145000</v>
      </c>
      <c r="L116" s="11" t="s">
        <v>3758</v>
      </c>
      <c r="M116" s="49">
        <f>IFERROR(VLOOKUP(C116,REKAP[[#All],[ID]:[Stok Akhir]],15,FALSE), "")</f>
        <v>2</v>
      </c>
    </row>
    <row r="117" spans="1:13" ht="16.5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 t="shared" si="2"/>
        <v>112</v>
      </c>
      <c r="B118" s="7">
        <v>45372</v>
      </c>
      <c r="C118" s="8" t="s">
        <v>572</v>
      </c>
      <c r="D118" s="16" t="str">
        <f>IFERROR(VLOOKUP(C118,REKAP[[#All],[ID]:[Stok Akhir]],2,FALSE), "")</f>
        <v>Ring Plate</v>
      </c>
      <c r="E118" s="16" t="str">
        <f>IFERROR(VLOOKUP(C118,REKAP[[#All],[ID]:[Stok Akhir]],4,FALSE), "")</f>
        <v>M8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16</v>
      </c>
      <c r="I118" s="8"/>
      <c r="J118" s="8" t="s">
        <v>3762</v>
      </c>
      <c r="K118" s="15">
        <v>1600</v>
      </c>
      <c r="L118" s="11"/>
      <c r="M118" s="49">
        <f>IFERROR(VLOOKUP(C118,REKAP[[#All],[ID]:[Stok Akhir]],15,FALSE), "")</f>
        <v>26</v>
      </c>
    </row>
    <row r="119" spans="1:13" ht="16.5" thickTop="1" thickBot="1" x14ac:dyDescent="0.3">
      <c r="A119" s="27">
        <f t="shared" si="2"/>
        <v>113</v>
      </c>
      <c r="B119" s="7">
        <v>45372</v>
      </c>
      <c r="C119" s="8" t="s">
        <v>3281</v>
      </c>
      <c r="D119" s="16" t="str">
        <f>IFERROR(VLOOKUP(C119,REKAP[[#All],[ID]:[Stok Akhir]],2,FALSE), "")</f>
        <v>Knie 3/8" UAP</v>
      </c>
      <c r="E119" s="16">
        <f>IFERROR(VLOOKUP(C119,REKAP[[#All],[ID]:[Stok Akhir]],4,FALSE), "")</f>
        <v>0</v>
      </c>
      <c r="F119" s="16" t="str">
        <f>IFERROR(VLOOKUP(C119,REKAP[[#All],[ID]:[Stok Akhir]],6,FALSE),"")</f>
        <v>Barang Jadi</v>
      </c>
      <c r="G119" s="15">
        <f>IFERROR(VLOOKUP(C119,REKAP[[#All],[ID]:[Stok Akhir]],8,FALSE),"")</f>
        <v>13000</v>
      </c>
      <c r="H119" s="11">
        <v>2</v>
      </c>
      <c r="I119" s="8"/>
      <c r="J119" s="8" t="s">
        <v>3765</v>
      </c>
      <c r="K119" s="15">
        <v>26000</v>
      </c>
      <c r="L119" s="11"/>
      <c r="M119" s="49">
        <f>IFERROR(VLOOKUP(C119,REKAP[[#All],[ID]:[Stok Akhir]],15,FALSE), "")</f>
        <v>0</v>
      </c>
    </row>
    <row r="120" spans="1:13" ht="16.5" thickTop="1" thickBot="1" x14ac:dyDescent="0.3">
      <c r="A120" s="27">
        <f t="shared" si="2"/>
        <v>114</v>
      </c>
      <c r="B120" s="7">
        <v>45372</v>
      </c>
      <c r="C120" s="8" t="s">
        <v>3279</v>
      </c>
      <c r="D120" s="16" t="str">
        <f>IFERROR(VLOOKUP(C120,REKAP[[#All],[ID]:[Stok Akhir]],2,FALSE), "")</f>
        <v>Knie 1/2"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7000</v>
      </c>
      <c r="H120" s="11">
        <v>2</v>
      </c>
      <c r="I120" s="8"/>
      <c r="J120" s="8" t="s">
        <v>3765</v>
      </c>
      <c r="K120" s="15" t="s">
        <v>2437</v>
      </c>
      <c r="L120" s="11" t="s">
        <v>2437</v>
      </c>
      <c r="M120" s="49">
        <f>IFERROR(VLOOKUP(C120,REKAP[[#All],[ID]:[Stok Akhir]],15,FALSE), "")</f>
        <v>0</v>
      </c>
    </row>
    <row r="121" spans="1:13" ht="16.5" thickTop="1" thickBot="1" x14ac:dyDescent="0.3">
      <c r="A121" s="27">
        <f t="shared" si="2"/>
        <v>115</v>
      </c>
      <c r="B121" s="7">
        <v>45372</v>
      </c>
      <c r="C121" s="8" t="s">
        <v>2947</v>
      </c>
      <c r="D121" s="16" t="str">
        <f>IFERROR(VLOOKUP(C121,REKAP[[#All],[ID]:[Stok Akhir]],2,FALSE), "")</f>
        <v>Hand Tap NPT Yamawa, WG</v>
      </c>
      <c r="E121" s="16" t="str">
        <f>IFERROR(VLOOKUP(C121,REKAP[[#All],[ID]:[Stok Akhir]],4,FALSE), "")</f>
        <v>1/4-18</v>
      </c>
      <c r="F121" s="16" t="str">
        <f>IFERROR(VLOOKUP(C121,REKAP[[#All],[ID]:[Stok Akhir]],6,FALSE),"")</f>
        <v>Tools</v>
      </c>
      <c r="G121" s="15">
        <f>IFERROR(VLOOKUP(C121,REKAP[[#All],[ID]:[Stok Akhir]],8,FALSE),"")</f>
        <v>565000</v>
      </c>
      <c r="H121" s="11">
        <v>2</v>
      </c>
      <c r="I121" s="8"/>
      <c r="J121" s="8"/>
      <c r="K121" s="15">
        <v>1130000</v>
      </c>
      <c r="L121" s="11" t="s">
        <v>3758</v>
      </c>
      <c r="M121" s="49">
        <f>IFERROR(VLOOKUP(C121,REKAP[[#All],[ID]:[Stok Akhir]],15,FALSE), "")</f>
        <v>2</v>
      </c>
    </row>
    <row r="122" spans="1:13" ht="16.5" thickTop="1" thickBot="1" x14ac:dyDescent="0.3">
      <c r="A122" s="27">
        <f t="shared" si="2"/>
        <v>116</v>
      </c>
      <c r="B122" s="7">
        <v>45372</v>
      </c>
      <c r="C122" s="8" t="s">
        <v>984</v>
      </c>
      <c r="D122" s="16" t="str">
        <f>IFERROR(VLOOKUP(C122,REKAP[[#All],[ID]:[Stok Akhir]],2,FALSE), "")</f>
        <v>Dowel Pin</v>
      </c>
      <c r="E122" s="16" t="str">
        <f>IFERROR(VLOOKUP(C122,REKAP[[#All],[ID]:[Stok Akhir]],4,FALSE), "")</f>
        <v>DPTM / MSTP-8-15</v>
      </c>
      <c r="F122" s="16" t="str">
        <f>IFERROR(VLOOKUP(C122,REKAP[[#All],[ID]:[Stok Akhir]],6,FALSE),"")</f>
        <v>Accessories Mold</v>
      </c>
      <c r="G122" s="15">
        <f>IFERROR(VLOOKUP(C122,REKAP[[#All],[ID]:[Stok Akhir]],8,FALSE),"")</f>
        <v>8622</v>
      </c>
      <c r="H122" s="11">
        <v>8</v>
      </c>
      <c r="I122" s="8"/>
      <c r="J122" s="8" t="s">
        <v>3783</v>
      </c>
      <c r="K122" s="15">
        <v>68976</v>
      </c>
      <c r="L122" s="11"/>
      <c r="M122" s="49">
        <f>IFERROR(VLOOKUP(C122,REKAP[[#All],[ID]:[Stok Akhir]],15,FALSE), "")</f>
        <v>1</v>
      </c>
    </row>
    <row r="123" spans="1:13" ht="16.5" thickTop="1" thickBot="1" x14ac:dyDescent="0.3">
      <c r="A123" s="27">
        <f t="shared" si="2"/>
        <v>117</v>
      </c>
      <c r="B123" s="7">
        <v>45372</v>
      </c>
      <c r="C123" s="8" t="s">
        <v>957</v>
      </c>
      <c r="D123" s="16" t="str">
        <f>IFERROR(VLOOKUP(C123,REKAP[[#All],[ID]:[Stok Akhir]],2,FALSE), "")</f>
        <v>Dowel Pin</v>
      </c>
      <c r="E123" s="16" t="str">
        <f>IFERROR(VLOOKUP(C123,REKAP[[#All],[ID]:[Stok Akhir]],4,FALSE), "")</f>
        <v>DPND-6-15</v>
      </c>
      <c r="F123" s="16" t="str">
        <f>IFERROR(VLOOKUP(C123,REKAP[[#All],[ID]:[Stok Akhir]],6,FALSE),"")</f>
        <v>Accessories Mold</v>
      </c>
      <c r="G123" s="15">
        <f>IFERROR(VLOOKUP(C123,REKAP[[#All],[ID]:[Stok Akhir]],8,FALSE),"")</f>
        <v>2879</v>
      </c>
      <c r="H123" s="11">
        <v>16</v>
      </c>
      <c r="I123" s="8"/>
      <c r="J123" s="8" t="s">
        <v>3783</v>
      </c>
      <c r="K123" s="15">
        <v>46064</v>
      </c>
      <c r="L123" s="11"/>
      <c r="M123" s="49">
        <f>IFERROR(VLOOKUP(C123,REKAP[[#All],[ID]:[Stok Akhir]],15,FALSE), "")</f>
        <v>3</v>
      </c>
    </row>
    <row r="124" spans="1:13" ht="16.5" thickTop="1" thickBot="1" x14ac:dyDescent="0.3">
      <c r="A124" s="27">
        <f t="shared" si="2"/>
        <v>118</v>
      </c>
      <c r="B124" s="7">
        <v>45372</v>
      </c>
      <c r="C124" s="8" t="s">
        <v>962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DPND-8-15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3726</v>
      </c>
      <c r="H124" s="11">
        <v>16</v>
      </c>
      <c r="I124" s="8"/>
      <c r="J124" s="8" t="s">
        <v>3783</v>
      </c>
      <c r="K124" s="15">
        <v>59616</v>
      </c>
      <c r="L124" s="11"/>
      <c r="M124" s="49">
        <f>IFERROR(VLOOKUP(C124,REKAP[[#All],[ID]:[Stok Akhir]],15,FALSE), "")</f>
        <v>2</v>
      </c>
    </row>
    <row r="125" spans="1:13" ht="16.5" thickTop="1" thickBot="1" x14ac:dyDescent="0.3">
      <c r="A125" s="27">
        <f t="shared" si="2"/>
        <v>119</v>
      </c>
      <c r="B125" s="7">
        <v>45372</v>
      </c>
      <c r="C125" s="8" t="s">
        <v>963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DPND-8-20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10500</v>
      </c>
      <c r="H125" s="11">
        <v>4</v>
      </c>
      <c r="I125" s="8"/>
      <c r="J125" s="8" t="s">
        <v>3784</v>
      </c>
      <c r="K125" s="15">
        <v>42000</v>
      </c>
      <c r="L125" s="11"/>
      <c r="M125" s="49">
        <f>IFERROR(VLOOKUP(C125,REKAP[[#All],[ID]:[Stok Akhir]],15,FALSE), "")</f>
        <v>0</v>
      </c>
    </row>
    <row r="126" spans="1:13" ht="16.5" thickTop="1" thickBot="1" x14ac:dyDescent="0.3">
      <c r="A126" s="27">
        <f t="shared" si="2"/>
        <v>120</v>
      </c>
      <c r="B126" s="7">
        <v>45372</v>
      </c>
      <c r="C126" s="8" t="s">
        <v>945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DPND-3-10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2421</v>
      </c>
      <c r="H126" s="11">
        <v>4</v>
      </c>
      <c r="I126" s="8"/>
      <c r="J126" s="8" t="s">
        <v>3785</v>
      </c>
      <c r="K126" s="15">
        <v>9684</v>
      </c>
      <c r="L126" s="11"/>
      <c r="M126" s="49">
        <f>IFERROR(VLOOKUP(C126,REKAP[[#All],[ID]:[Stok Akhir]],15,FALSE), "")</f>
        <v>0</v>
      </c>
    </row>
    <row r="127" spans="1:13" ht="16.5" thickTop="1" thickBot="1" x14ac:dyDescent="0.3">
      <c r="A127" s="27">
        <f t="shared" si="2"/>
        <v>121</v>
      </c>
      <c r="B127" s="7">
        <v>45372</v>
      </c>
      <c r="C127" s="8" t="s">
        <v>958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DPND-6-20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2879</v>
      </c>
      <c r="H127" s="11">
        <v>24</v>
      </c>
      <c r="I127" s="8"/>
      <c r="J127" s="8" t="s">
        <v>3784</v>
      </c>
      <c r="K127" s="15">
        <v>69096</v>
      </c>
      <c r="L127" s="11"/>
      <c r="M127" s="49">
        <f>IFERROR(VLOOKUP(C127,REKAP[[#All],[ID]:[Stok Akhir]],15,FALSE), "")</f>
        <v>22</v>
      </c>
    </row>
    <row r="128" spans="1:13" ht="16.5" thickTop="1" thickBot="1" x14ac:dyDescent="0.3">
      <c r="A128" s="27">
        <f t="shared" si="2"/>
        <v>122</v>
      </c>
      <c r="B128" s="7">
        <v>45372</v>
      </c>
      <c r="C128" s="8" t="s">
        <v>957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DPND-6-15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2879</v>
      </c>
      <c r="H128" s="11">
        <v>8</v>
      </c>
      <c r="I128" s="8"/>
      <c r="J128" s="8" t="s">
        <v>3783</v>
      </c>
      <c r="K128" s="15">
        <v>23032</v>
      </c>
      <c r="L128" s="11"/>
      <c r="M128" s="49">
        <f>IFERROR(VLOOKUP(C128,REKAP[[#All],[ID]:[Stok Akhir]],15,FALSE), "")</f>
        <v>3</v>
      </c>
    </row>
    <row r="129" spans="1:13" ht="16.5" thickTop="1" thickBot="1" x14ac:dyDescent="0.3">
      <c r="A129" s="27">
        <f t="shared" si="2"/>
        <v>123</v>
      </c>
      <c r="B129" s="7">
        <v>45372</v>
      </c>
      <c r="C129" s="8" t="s">
        <v>3271</v>
      </c>
      <c r="D129" s="16" t="str">
        <f>IFERROR(VLOOKUP(C129,REKAP[[#All],[ID]:[Stok Akhir]],2,FALSE), "")</f>
        <v>Double Naple 3/8</v>
      </c>
      <c r="E129" s="16">
        <f>IFERROR(VLOOKUP(C129,REKAP[[#All],[ID]:[Stok Akhir]],4,FALSE), "")</f>
        <v>0</v>
      </c>
      <c r="F129" s="16" t="str">
        <f>IFERROR(VLOOKUP(C129,REKAP[[#All],[ID]:[Stok Akhir]],6,FALSE),"")</f>
        <v>Barang Jadi</v>
      </c>
      <c r="G129" s="15">
        <f>IFERROR(VLOOKUP(C129,REKAP[[#All],[ID]:[Stok Akhir]],8,FALSE),"")</f>
        <v>10000</v>
      </c>
      <c r="H129" s="11">
        <v>4</v>
      </c>
      <c r="I129" s="8"/>
      <c r="J129" s="8" t="s">
        <v>3765</v>
      </c>
      <c r="K129" s="15">
        <v>40000</v>
      </c>
      <c r="L129" s="11"/>
      <c r="M129" s="49">
        <f>IFERROR(VLOOKUP(C129,REKAP[[#All],[ID]:[Stok Akhir]],15,FALSE), "")</f>
        <v>0</v>
      </c>
    </row>
    <row r="130" spans="1:13" ht="16.5" thickTop="1" thickBot="1" x14ac:dyDescent="0.3">
      <c r="A130" s="27">
        <f t="shared" si="2"/>
        <v>124</v>
      </c>
      <c r="B130" s="7">
        <v>45372</v>
      </c>
      <c r="C130" s="8" t="s">
        <v>2671</v>
      </c>
      <c r="D130" s="16" t="str">
        <f>IFERROR(VLOOKUP(C130,REKAP[[#All],[ID]:[Stok Akhir]],2,FALSE), "")</f>
        <v>Center Drill Yamawa</v>
      </c>
      <c r="E130" s="16" t="str">
        <f>IFERROR(VLOOKUP(C130,REKAP[[#All],[ID]:[Stok Akhir]],4,FALSE), "")</f>
        <v>2.5 x 60° x 7.7</v>
      </c>
      <c r="F130" s="16" t="str">
        <f>IFERROR(VLOOKUP(C130,REKAP[[#All],[ID]:[Stok Akhir]],6,FALSE),"")</f>
        <v>Tools</v>
      </c>
      <c r="G130" s="15">
        <f>IFERROR(VLOOKUP(C130,REKAP[[#All],[ID]:[Stok Akhir]],8,FALSE),"")</f>
        <v>138000</v>
      </c>
      <c r="H130" s="11">
        <v>3</v>
      </c>
      <c r="I130" s="8"/>
      <c r="J130" s="8"/>
      <c r="K130" s="15">
        <v>414000</v>
      </c>
      <c r="L130" s="11" t="s">
        <v>3758</v>
      </c>
      <c r="M130" s="49">
        <f>IFERROR(VLOOKUP(C130,REKAP[[#All],[ID]:[Stok Akhir]],15,FALSE), "")</f>
        <v>3</v>
      </c>
    </row>
    <row r="131" spans="1:13" ht="16.5" thickTop="1" thickBot="1" x14ac:dyDescent="0.3">
      <c r="A131" s="27">
        <f t="shared" si="2"/>
        <v>125</v>
      </c>
      <c r="B131" s="7">
        <v>45372</v>
      </c>
      <c r="C131" s="8" t="s">
        <v>292</v>
      </c>
      <c r="D131" s="16" t="str">
        <f>IFERROR(VLOOKUP(C131,REKAP[[#All],[ID]:[Stok Akhir]],2,FALSE), "")</f>
        <v>Baut LPK</v>
      </c>
      <c r="E131" s="16" t="str">
        <f>IFERROR(VLOOKUP(C131,REKAP[[#All],[ID]:[Stok Akhir]],4,FALSE), "")</f>
        <v>M 6 X 45</v>
      </c>
      <c r="F131" s="16" t="str">
        <f>IFERROR(VLOOKUP(C131,REKAP[[#All],[ID]:[Stok Akhir]],6,FALSE),"")</f>
        <v>Mur &amp; Baut</v>
      </c>
      <c r="G131" s="15">
        <f>IFERROR(VLOOKUP(C131,REKAP[[#All],[ID]:[Stok Akhir]],8,FALSE),"")</f>
        <v>1000</v>
      </c>
      <c r="H131" s="11">
        <v>32</v>
      </c>
      <c r="I131" s="8"/>
      <c r="J131" s="8" t="s">
        <v>3760</v>
      </c>
      <c r="K131" s="15">
        <v>32000</v>
      </c>
      <c r="L131" s="11"/>
      <c r="M131" s="49">
        <f>IFERROR(VLOOKUP(C131,REKAP[[#All],[ID]:[Stok Akhir]],15,FALSE), "")</f>
        <v>24</v>
      </c>
    </row>
    <row r="132" spans="1:13" ht="16.5" thickTop="1" thickBot="1" x14ac:dyDescent="0.3">
      <c r="A132" s="27">
        <f t="shared" si="2"/>
        <v>126</v>
      </c>
      <c r="B132" s="7">
        <v>45372</v>
      </c>
      <c r="C132" s="8" t="s">
        <v>464</v>
      </c>
      <c r="D132" s="16" t="str">
        <f>IFERROR(VLOOKUP(C132,REKAP[[#All],[ID]:[Stok Akhir]],2,FALSE), "")</f>
        <v>Baut JFL</v>
      </c>
      <c r="E132" s="16" t="str">
        <f>IFERROR(VLOOKUP(C132,REKAP[[#All],[ID]:[Stok Akhir]],4,FALSE), "")</f>
        <v>M 6 X 20</v>
      </c>
      <c r="F132" s="16" t="str">
        <f>IFERROR(VLOOKUP(C132,REKAP[[#All],[ID]:[Stok Akhir]],6,FALSE),"")</f>
        <v>Mur &amp; Baut</v>
      </c>
      <c r="G132" s="15">
        <f>IFERROR(VLOOKUP(C132,REKAP[[#All],[ID]:[Stok Akhir]],8,FALSE),"")</f>
        <v>1000</v>
      </c>
      <c r="H132" s="11">
        <v>64</v>
      </c>
      <c r="I132" s="8"/>
      <c r="J132" s="8" t="s">
        <v>3762</v>
      </c>
      <c r="K132" s="15">
        <v>64000</v>
      </c>
      <c r="L132" s="11"/>
      <c r="M132" s="49">
        <f>IFERROR(VLOOKUP(C132,REKAP[[#All],[ID]:[Stok Akhir]],15,FALSE), "")</f>
        <v>73</v>
      </c>
    </row>
    <row r="133" spans="1:13" ht="16.5" thickTop="1" thickBot="1" x14ac:dyDescent="0.3">
      <c r="A133" s="27">
        <f t="shared" si="2"/>
        <v>127</v>
      </c>
      <c r="B133" s="7">
        <v>45372</v>
      </c>
      <c r="C133" s="8" t="s">
        <v>457</v>
      </c>
      <c r="D133" s="16" t="str">
        <f>IFERROR(VLOOKUP(C133,REKAP[[#All],[ID]:[Stok Akhir]],2,FALSE), "")</f>
        <v>Baut JFL</v>
      </c>
      <c r="E133" s="16" t="str">
        <f>IFERROR(VLOOKUP(C133,REKAP[[#All],[ID]:[Stok Akhir]],4,FALSE), "")</f>
        <v>M 5 X 16</v>
      </c>
      <c r="F133" s="16" t="str">
        <f>IFERROR(VLOOKUP(C133,REKAP[[#All],[ID]:[Stok Akhir]],6,FALSE),"")</f>
        <v>Mur &amp; Baut</v>
      </c>
      <c r="G133" s="15">
        <f>IFERROR(VLOOKUP(C133,REKAP[[#All],[ID]:[Stok Akhir]],8,FALSE),"")</f>
        <v>400</v>
      </c>
      <c r="H133" s="11">
        <v>44</v>
      </c>
      <c r="I133" s="8"/>
      <c r="J133" s="8" t="s">
        <v>3762</v>
      </c>
      <c r="K133" s="15">
        <v>17600</v>
      </c>
      <c r="L133" s="11"/>
      <c r="M133" s="49">
        <f>IFERROR(VLOOKUP(C133,REKAP[[#All],[ID]:[Stok Akhir]],15,FALSE), "")</f>
        <v>56</v>
      </c>
    </row>
    <row r="134" spans="1:13" ht="16.5" thickTop="1" thickBot="1" x14ac:dyDescent="0.3">
      <c r="A134" s="27">
        <f t="shared" si="2"/>
        <v>128</v>
      </c>
      <c r="B134" s="7">
        <v>45372</v>
      </c>
      <c r="C134" s="8" t="s">
        <v>692</v>
      </c>
      <c r="D134" s="16" t="str">
        <f>IFERROR(VLOOKUP(C134,REKAP[[#All],[ID]:[Stok Akhir]],2,FALSE), "")</f>
        <v>Alteco / Lem Korea</v>
      </c>
      <c r="E134" s="16" t="str">
        <f>IFERROR(VLOOKUP(C134,REKAP[[#All],[ID]:[Stok Akhir]],4,FALSE), "")</f>
        <v>Alteco 110</v>
      </c>
      <c r="F134" s="16" t="str">
        <f>IFERROR(VLOOKUP(C134,REKAP[[#All],[ID]:[Stok Akhir]],6,FALSE),"")</f>
        <v>Bahan Pembantu</v>
      </c>
      <c r="G134" s="15">
        <f>IFERROR(VLOOKUP(C134,REKAP[[#All],[ID]:[Stok Akhir]],8,FALSE),"")</f>
        <v>5000</v>
      </c>
      <c r="H134" s="11">
        <v>12</v>
      </c>
      <c r="I134" s="8"/>
      <c r="J134" s="8"/>
      <c r="K134" s="15">
        <v>60000</v>
      </c>
      <c r="L134" s="11" t="s">
        <v>3758</v>
      </c>
      <c r="M134" s="49">
        <f>IFERROR(VLOOKUP(C134,REKAP[[#All],[ID]:[Stok Akhir]],15,FALSE), "")</f>
        <v>4</v>
      </c>
    </row>
    <row r="135" spans="1:13" ht="16.5" thickTop="1" thickBot="1" x14ac:dyDescent="0.3">
      <c r="A135" s="27">
        <f t="shared" si="2"/>
        <v>129</v>
      </c>
      <c r="B135" s="7">
        <v>45372</v>
      </c>
      <c r="C135" s="8" t="s">
        <v>266</v>
      </c>
      <c r="D135" s="16" t="str">
        <f>IFERROR(VLOOKUP(C135,REKAP[[#All],[ID]:[Stok Akhir]],2,FALSE), "")</f>
        <v>Baut LPK</v>
      </c>
      <c r="E135" s="16" t="str">
        <f>IFERROR(VLOOKUP(C135,REKAP[[#All],[ID]:[Stok Akhir]],4,FALSE), "")</f>
        <v xml:space="preserve">M 5 X 12  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500</v>
      </c>
      <c r="H135" s="11">
        <v>12</v>
      </c>
      <c r="I135" s="8"/>
      <c r="J135" s="8" t="s">
        <v>3882</v>
      </c>
      <c r="K135" s="15">
        <v>1130000</v>
      </c>
      <c r="L135" s="11"/>
      <c r="M135" s="49">
        <f>IFERROR(VLOOKUP(C135,REKAP[[#All],[ID]:[Stok Akhir]],15,FALSE), "")</f>
        <v>18</v>
      </c>
    </row>
    <row r="136" spans="1:13" ht="16.5" thickTop="1" thickBot="1" x14ac:dyDescent="0.3">
      <c r="A136" s="27">
        <f t="shared" si="2"/>
        <v>130</v>
      </c>
      <c r="B136" s="7">
        <v>45373</v>
      </c>
      <c r="C136" s="8" t="s">
        <v>970</v>
      </c>
      <c r="D136" s="16" t="str">
        <f>IFERROR(VLOOKUP(C136,REKAP[[#All],[ID]:[Stok Akhir]],2,FALSE), "")</f>
        <v>Dowel Pin</v>
      </c>
      <c r="E136" s="16" t="str">
        <f>IFERROR(VLOOKUP(C136,REKAP[[#All],[ID]:[Stok Akhir]],4,FALSE), "")</f>
        <v>DPND-10-25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5398</v>
      </c>
      <c r="H136" s="11">
        <v>4</v>
      </c>
      <c r="I136" s="8"/>
      <c r="J136" s="8" t="s">
        <v>3786</v>
      </c>
      <c r="K136" s="15">
        <v>21592</v>
      </c>
      <c r="L136" s="11"/>
      <c r="M136" s="49">
        <f>IFERROR(VLOOKUP(C136,REKAP[[#All],[ID]:[Stok Akhir]],15,FALSE), "")</f>
        <v>1</v>
      </c>
    </row>
    <row r="137" spans="1:13" ht="16.5" thickTop="1" thickBot="1" x14ac:dyDescent="0.3">
      <c r="A137" s="27">
        <f t="shared" si="2"/>
        <v>131</v>
      </c>
      <c r="B137" s="7">
        <v>45373</v>
      </c>
      <c r="C137" s="8" t="s">
        <v>969</v>
      </c>
      <c r="D137" s="16" t="str">
        <f>IFERROR(VLOOKUP(C137,REKAP[[#All],[ID]:[Stok Akhir]],2,FALSE), "")</f>
        <v>Dowel Pin</v>
      </c>
      <c r="E137" s="16" t="str">
        <f>IFERROR(VLOOKUP(C137,REKAP[[#All],[ID]:[Stok Akhir]],4,FALSE), "")</f>
        <v>DPND-10-20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5096</v>
      </c>
      <c r="H137" s="11">
        <v>4</v>
      </c>
      <c r="I137" s="8"/>
      <c r="J137" s="8" t="s">
        <v>3786</v>
      </c>
      <c r="K137" s="15">
        <v>20384</v>
      </c>
      <c r="L137" s="11"/>
      <c r="M137" s="49">
        <f>IFERROR(VLOOKUP(C137,REKAP[[#All],[ID]:[Stok Akhir]],15,FALSE), "")</f>
        <v>4</v>
      </c>
    </row>
    <row r="138" spans="1:13" ht="16.5" thickTop="1" thickBot="1" x14ac:dyDescent="0.3">
      <c r="A138" s="27">
        <f t="shared" si="2"/>
        <v>132</v>
      </c>
      <c r="B138" s="7">
        <v>45373</v>
      </c>
      <c r="C138" s="8" t="s">
        <v>962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DPND-8-15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3726</v>
      </c>
      <c r="H138" s="11">
        <v>2</v>
      </c>
      <c r="I138" s="8"/>
      <c r="J138" s="8" t="s">
        <v>3787</v>
      </c>
      <c r="K138" s="15">
        <v>7452</v>
      </c>
      <c r="L138" s="11"/>
      <c r="M138" s="49">
        <f>IFERROR(VLOOKUP(C138,REKAP[[#All],[ID]:[Stok Akhir]],15,FALSE), "")</f>
        <v>2</v>
      </c>
    </row>
    <row r="139" spans="1:13" ht="16.5" thickTop="1" thickBot="1" x14ac:dyDescent="0.3">
      <c r="A139" s="27">
        <f t="shared" si="2"/>
        <v>133</v>
      </c>
      <c r="B139" s="7">
        <v>45373</v>
      </c>
      <c r="C139" s="8" t="s">
        <v>964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DPND-8-25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14904</v>
      </c>
      <c r="H139" s="11">
        <v>24</v>
      </c>
      <c r="I139" s="8"/>
      <c r="J139" s="8" t="s">
        <v>3786</v>
      </c>
      <c r="K139" s="15">
        <v>357696</v>
      </c>
      <c r="L139" s="11"/>
      <c r="M139" s="49">
        <f>IFERROR(VLOOKUP(C139,REKAP[[#All],[ID]:[Stok Akhir]],15,FALSE), "")</f>
        <v>6</v>
      </c>
    </row>
    <row r="140" spans="1:13" ht="16.5" thickTop="1" thickBot="1" x14ac:dyDescent="0.3">
      <c r="A140" s="27">
        <f t="shared" si="2"/>
        <v>134</v>
      </c>
      <c r="B140" s="7">
        <v>45373</v>
      </c>
      <c r="C140" s="8" t="s">
        <v>958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DPND-6-20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2879</v>
      </c>
      <c r="H140" s="11">
        <v>88</v>
      </c>
      <c r="I140" s="8"/>
      <c r="J140" s="8" t="s">
        <v>3786</v>
      </c>
      <c r="K140" s="15">
        <v>253352</v>
      </c>
      <c r="L140" s="11"/>
      <c r="M140" s="49">
        <f>IFERROR(VLOOKUP(C140,REKAP[[#All],[ID]:[Stok Akhir]],15,FALSE), "")</f>
        <v>22</v>
      </c>
    </row>
    <row r="141" spans="1:13" ht="16.5" thickTop="1" thickBot="1" x14ac:dyDescent="0.3">
      <c r="A141" s="27">
        <f t="shared" si="2"/>
        <v>135</v>
      </c>
      <c r="B141" s="7">
        <v>45373</v>
      </c>
      <c r="C141" s="8" t="s">
        <v>957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DPND-6-15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2879</v>
      </c>
      <c r="H141" s="11">
        <v>8</v>
      </c>
      <c r="I141" s="8"/>
      <c r="J141" s="8" t="s">
        <v>3783</v>
      </c>
      <c r="K141" s="15">
        <v>23032</v>
      </c>
      <c r="L141" s="11"/>
      <c r="M141" s="49">
        <f>IFERROR(VLOOKUP(C141,REKAP[[#All],[ID]:[Stok Akhir]],15,FALSE), "")</f>
        <v>3</v>
      </c>
    </row>
    <row r="142" spans="1:13" ht="16.5" thickTop="1" thickBot="1" x14ac:dyDescent="0.3">
      <c r="A142" s="27">
        <f t="shared" si="2"/>
        <v>136</v>
      </c>
      <c r="B142" s="7">
        <v>45373</v>
      </c>
      <c r="C142" s="8" t="s">
        <v>1294</v>
      </c>
      <c r="D142" s="16" t="str">
        <f>IFERROR(VLOOKUP(C142,REKAP[[#All],[ID]:[Stok Akhir]],2,FALSE), "")</f>
        <v>Po-Lock</v>
      </c>
      <c r="E142" s="16" t="str">
        <f>IFERROR(VLOOKUP(C142,REKAP[[#All],[ID]:[Stok Akhir]],4,FALSE), "")</f>
        <v>PN-16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18240</v>
      </c>
      <c r="H142" s="11">
        <v>4</v>
      </c>
      <c r="I142" s="8"/>
      <c r="J142" s="8" t="s">
        <v>3787</v>
      </c>
      <c r="K142" s="15">
        <v>72960</v>
      </c>
      <c r="L142" s="11"/>
      <c r="M142" s="49">
        <f>IFERROR(VLOOKUP(C142,REKAP[[#All],[ID]:[Stok Akhir]],15,FALSE), "")</f>
        <v>0</v>
      </c>
    </row>
    <row r="143" spans="1:13" ht="16.5" thickTop="1" thickBot="1" x14ac:dyDescent="0.3">
      <c r="A143" s="27">
        <f t="shared" si="2"/>
        <v>137</v>
      </c>
      <c r="B143" s="7">
        <v>45373</v>
      </c>
      <c r="C143" s="8" t="s">
        <v>3788</v>
      </c>
      <c r="D143" s="16" t="str">
        <f>IFERROR(VLOOKUP(C143,REKAP[[#All],[ID]:[Stok Akhir]],2,FALSE), "")</f>
        <v>NIPLLE</v>
      </c>
      <c r="E143" s="16" t="str">
        <f>IFERROR(VLOOKUP(C143,REKAP[[#All],[ID]:[Stok Akhir]],4,FALSE), "")</f>
        <v>QTA 020-100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0</v>
      </c>
      <c r="H143" s="11">
        <v>4</v>
      </c>
      <c r="I143" s="8"/>
      <c r="J143" s="8" t="s">
        <v>3787</v>
      </c>
      <c r="K143" s="15">
        <v>0</v>
      </c>
      <c r="L143" s="11"/>
      <c r="M143" s="49">
        <f>IFERROR(VLOOKUP(C143,REKAP[[#All],[ID]:[Stok Akhir]],15,FALSE), "")</f>
        <v>0</v>
      </c>
    </row>
    <row r="144" spans="1:13" ht="16.5" thickTop="1" thickBot="1" x14ac:dyDescent="0.3">
      <c r="A144" s="27">
        <f t="shared" si="2"/>
        <v>138</v>
      </c>
      <c r="B144" s="7">
        <v>45373</v>
      </c>
      <c r="C144" s="8" t="s">
        <v>3791</v>
      </c>
      <c r="D144" s="16" t="str">
        <f>IFERROR(VLOOKUP(C144,REKAP[[#All],[ID]:[Stok Akhir]],2,FALSE), "")</f>
        <v>Lock Washer</v>
      </c>
      <c r="E144" s="16" t="str">
        <f>IFERROR(VLOOKUP(C144,REKAP[[#All],[ID]:[Stok Akhir]],4,FALSE), "")</f>
        <v>AW 03</v>
      </c>
      <c r="F144" s="16" t="str">
        <f>IFERROR(VLOOKUP(C144,REKAP[[#All],[ID]:[Stok Akhir]],6,FALSE),"")</f>
        <v>Mur &amp; Baut</v>
      </c>
      <c r="G144" s="15">
        <f>IFERROR(VLOOKUP(C144,REKAP[[#All],[ID]:[Stok Akhir]],8,FALSE),"")</f>
        <v>0</v>
      </c>
      <c r="H144" s="11">
        <v>8</v>
      </c>
      <c r="I144" s="8"/>
      <c r="J144" s="8" t="s">
        <v>3762</v>
      </c>
      <c r="K144" s="15">
        <v>0</v>
      </c>
      <c r="L144" s="11"/>
      <c r="M144" s="49">
        <f>IFERROR(VLOOKUP(C144,REKAP[[#All],[ID]:[Stok Akhir]],15,FALSE), "")</f>
        <v>5</v>
      </c>
    </row>
    <row r="145" spans="1:13" ht="16.5" thickTop="1" thickBot="1" x14ac:dyDescent="0.3">
      <c r="A145" s="27">
        <f t="shared" si="2"/>
        <v>139</v>
      </c>
      <c r="B145" s="7">
        <v>45373</v>
      </c>
      <c r="C145" s="8" t="s">
        <v>930</v>
      </c>
      <c r="D145" s="16" t="str">
        <f>IFERROR(VLOOKUP(C145,REKAP[[#All],[ID]:[Stok Akhir]],2,FALSE), "")</f>
        <v>Coupler</v>
      </c>
      <c r="E145" s="16" t="str">
        <f>IFERROR(VLOOKUP(C145,REKAP[[#All],[ID]:[Stok Akhir]],4,FALSE), "")</f>
        <v>F120-TPM4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382800</v>
      </c>
      <c r="H145" s="11">
        <v>2</v>
      </c>
      <c r="I145" s="8"/>
      <c r="J145" s="8" t="s">
        <v>3765</v>
      </c>
      <c r="K145" s="15">
        <v>765600</v>
      </c>
      <c r="L145" s="11"/>
      <c r="M145" s="49">
        <f>IFERROR(VLOOKUP(C145,REKAP[[#All],[ID]:[Stok Akhir]],15,FALSE), "")</f>
        <v>0</v>
      </c>
    </row>
    <row r="146" spans="1:13" ht="16.5" thickTop="1" thickBot="1" x14ac:dyDescent="0.3">
      <c r="A146" s="27">
        <f t="shared" si="2"/>
        <v>140</v>
      </c>
      <c r="B146" s="7">
        <v>45373</v>
      </c>
      <c r="C146" s="8" t="s">
        <v>2939</v>
      </c>
      <c r="D146" s="16" t="str">
        <f>IFERROR(VLOOKUP(C146,REKAP[[#All],[ID]:[Stok Akhir]],2,FALSE), "")</f>
        <v>Hand Tap Yamawa,YG1</v>
      </c>
      <c r="E146" s="16" t="str">
        <f>IFERROR(VLOOKUP(C146,REKAP[[#All],[ID]:[Stok Akhir]],4,FALSE), "")</f>
        <v>M14 x 2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286000</v>
      </c>
      <c r="H146" s="11">
        <v>1</v>
      </c>
      <c r="I146" s="8"/>
      <c r="J146" s="8"/>
      <c r="K146" s="15">
        <v>286000</v>
      </c>
      <c r="L146" s="11" t="s">
        <v>3758</v>
      </c>
      <c r="M146" s="49">
        <f>IFERROR(VLOOKUP(C146,REKAP[[#All],[ID]:[Stok Akhir]],15,FALSE), "")</f>
        <v>1</v>
      </c>
    </row>
    <row r="147" spans="1:13" ht="16.5" thickTop="1" thickBot="1" x14ac:dyDescent="0.3">
      <c r="A147" s="27">
        <f t="shared" si="2"/>
        <v>141</v>
      </c>
      <c r="B147" s="7">
        <v>45377</v>
      </c>
      <c r="C147" s="8" t="s">
        <v>1196</v>
      </c>
      <c r="D147" s="16" t="str">
        <f>IFERROR(VLOOKUP(C147,REKAP[[#All],[ID]:[Stok Akhir]],2,FALSE), "")</f>
        <v>Eye Bolt</v>
      </c>
      <c r="E147" s="16" t="str">
        <f>IFERROR(VLOOKUP(C147,REKAP[[#All],[ID]:[Stok Akhir]],4,FALSE), "")</f>
        <v>BLE-20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65000</v>
      </c>
      <c r="H147" s="11">
        <v>18</v>
      </c>
      <c r="I147" s="8"/>
      <c r="J147" s="8" t="s">
        <v>3786</v>
      </c>
      <c r="K147" s="15">
        <v>1170000</v>
      </c>
      <c r="L147" s="11"/>
      <c r="M147" s="49">
        <f>IFERROR(VLOOKUP(C147,REKAP[[#All],[ID]:[Stok Akhir]],15,FALSE), "")</f>
        <v>1</v>
      </c>
    </row>
    <row r="148" spans="1:13" ht="16.5" thickTop="1" thickBot="1" x14ac:dyDescent="0.3">
      <c r="A148" s="27">
        <f t="shared" si="2"/>
        <v>142</v>
      </c>
      <c r="B148" s="7">
        <v>45377</v>
      </c>
      <c r="C148" s="8" t="s">
        <v>1140</v>
      </c>
      <c r="D148" s="16" t="str">
        <f>IFERROR(VLOOKUP(C148,REKAP[[#All],[ID]:[Stok Akhir]],2,FALSE), "")</f>
        <v>Ejector Pin</v>
      </c>
      <c r="E148" s="16" t="str">
        <f>IFERROR(VLOOKUP(C148,REKAP[[#All],[ID]:[Stok Akhir]],4,FALSE), "")</f>
        <v>EPD-6-100</v>
      </c>
      <c r="F148" s="16" t="str">
        <f>IFERROR(VLOOKUP(C148,REKAP[[#All],[ID]:[Stok Akhir]],6,FALSE),"")</f>
        <v>Accessories Mold</v>
      </c>
      <c r="G148" s="15">
        <f>IFERROR(VLOOKUP(C148,REKAP[[#All],[ID]:[Stok Akhir]],8,FALSE),"")</f>
        <v>21500</v>
      </c>
      <c r="H148" s="11">
        <v>4</v>
      </c>
      <c r="I148" s="8"/>
      <c r="J148" s="8" t="s">
        <v>3787</v>
      </c>
      <c r="K148" s="15">
        <v>86000</v>
      </c>
      <c r="L148" s="11"/>
      <c r="M148" s="49">
        <f>IFERROR(VLOOKUP(C148,REKAP[[#All],[ID]:[Stok Akhir]],15,FALSE), "")</f>
        <v>0</v>
      </c>
    </row>
    <row r="149" spans="1:13" ht="16.5" thickTop="1" thickBot="1" x14ac:dyDescent="0.3">
      <c r="A149" s="27">
        <f t="shared" si="2"/>
        <v>143</v>
      </c>
      <c r="B149" s="7">
        <v>45377</v>
      </c>
      <c r="C149" s="8" t="s">
        <v>3793</v>
      </c>
      <c r="D149" s="16" t="str">
        <f>IFERROR(VLOOKUP(C149,REKAP[[#All],[ID]:[Stok Akhir]],2,FALSE), "")</f>
        <v xml:space="preserve">SPRING </v>
      </c>
      <c r="E149" s="16" t="str">
        <f>IFERROR(VLOOKUP(C149,REKAP[[#All],[ID]:[Stok Akhir]],4,FALSE), "")</f>
        <v>CSF 22-80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6</v>
      </c>
      <c r="I149" s="8"/>
      <c r="J149" s="8" t="s">
        <v>3787</v>
      </c>
      <c r="K149" s="15">
        <v>0</v>
      </c>
      <c r="L149" s="11"/>
      <c r="M149" s="49">
        <f>IFERROR(VLOOKUP(C149,REKAP[[#All],[ID]:[Stok Akhir]],15,FALSE), "")</f>
        <v>0</v>
      </c>
    </row>
    <row r="150" spans="1:13" ht="16.5" thickTop="1" thickBot="1" x14ac:dyDescent="0.3">
      <c r="A150" s="27">
        <f t="shared" si="2"/>
        <v>144</v>
      </c>
      <c r="B150" s="7">
        <v>45377</v>
      </c>
      <c r="C150" s="8" t="s">
        <v>1327</v>
      </c>
      <c r="D150" s="16" t="str">
        <f>IFERROR(VLOOKUP(C150,REKAP[[#All],[ID]:[Stok Akhir]],2,FALSE), "")</f>
        <v>Spring</v>
      </c>
      <c r="E150" s="16" t="str">
        <f>IFERROR(VLOOKUP(C150,REKAP[[#All],[ID]:[Stok Akhir]],4,FALSE), "")</f>
        <v>CSF 14-40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29000</v>
      </c>
      <c r="H150" s="11">
        <v>2</v>
      </c>
      <c r="I150" s="8"/>
      <c r="J150" s="8" t="s">
        <v>3787</v>
      </c>
      <c r="K150" s="15">
        <v>58000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 t="shared" si="2"/>
        <v>145</v>
      </c>
      <c r="B151" s="7">
        <v>45377</v>
      </c>
      <c r="C151" s="8" t="s">
        <v>1302</v>
      </c>
      <c r="D151" s="16" t="str">
        <f>IFERROR(VLOOKUP(C151,REKAP[[#All],[ID]:[Stok Akhir]],2,FALSE), "")</f>
        <v>Quick Fitting</v>
      </c>
      <c r="E151" s="16" t="str">
        <f>IFERROR(VLOOKUP(C151,REKAP[[#All],[ID]:[Stok Akhir]],4,FALSE), "")</f>
        <v>QFT 02-10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25000</v>
      </c>
      <c r="H151" s="11">
        <v>8</v>
      </c>
      <c r="I151" s="8"/>
      <c r="J151" s="8" t="s">
        <v>3787</v>
      </c>
      <c r="K151" s="15">
        <v>200000</v>
      </c>
      <c r="L151" s="11"/>
      <c r="M151" s="49">
        <f>IFERROR(VLOOKUP(C151,REKAP[[#All],[ID]:[Stok Akhir]],15,FALSE), "")</f>
        <v>0</v>
      </c>
    </row>
    <row r="152" spans="1:13" ht="16.5" thickTop="1" thickBot="1" x14ac:dyDescent="0.3">
      <c r="A152" s="27">
        <f t="shared" si="2"/>
        <v>146</v>
      </c>
      <c r="B152" s="7">
        <v>45377</v>
      </c>
      <c r="C152" s="8" t="s">
        <v>3821</v>
      </c>
      <c r="D152" s="16" t="str">
        <f>IFERROR(VLOOKUP(C152,REKAP[[#All],[ID]:[Stok Akhir]],2,FALSE), "")</f>
        <v>BNC STS</v>
      </c>
      <c r="E152" s="16" t="str">
        <f>IFERROR(VLOOKUP(C152,REKAP[[#All],[ID]:[Stok Akhir]],4,FALSE), "")</f>
        <v>OT-BLN R0.5X10</v>
      </c>
      <c r="F152" s="16" t="str">
        <f>IFERROR(VLOOKUP(C152,REKAP[[#All],[ID]:[Stok Akhir]],6,FALSE),"")</f>
        <v>Tools</v>
      </c>
      <c r="G152" s="15">
        <f>IFERROR(VLOOKUP(C152,REKAP[[#All],[ID]:[Stok Akhir]],8,FALSE),"")</f>
        <v>0</v>
      </c>
      <c r="H152" s="11">
        <v>2</v>
      </c>
      <c r="I152" s="8"/>
      <c r="J152" s="8"/>
      <c r="K152" s="15">
        <v>0</v>
      </c>
      <c r="L152" s="11" t="s">
        <v>3758</v>
      </c>
      <c r="M152" s="49">
        <f>IFERROR(VLOOKUP(C152,REKAP[[#All],[ID]:[Stok Akhir]],15,FALSE), "")</f>
        <v>3</v>
      </c>
    </row>
    <row r="153" spans="1:13" ht="16.5" thickTop="1" thickBot="1" x14ac:dyDescent="0.3">
      <c r="A153" s="27">
        <f t="shared" si="2"/>
        <v>147</v>
      </c>
      <c r="B153" s="7">
        <v>45377</v>
      </c>
      <c r="C153" s="8" t="s">
        <v>2917</v>
      </c>
      <c r="D153" s="16" t="str">
        <f>IFERROR(VLOOKUP(C153,REKAP[[#All],[ID]:[Stok Akhir]],2,FALSE), "")</f>
        <v>End Mill STS</v>
      </c>
      <c r="E153" s="16" t="str">
        <f>IFERROR(VLOOKUP(C153,REKAP[[#All],[ID]:[Stok Akhir]],4,FALSE), "")</f>
        <v>Ø20 OT-4EMM20</v>
      </c>
      <c r="F153" s="16" t="str">
        <f>IFERROR(VLOOKUP(C153,REKAP[[#All],[ID]:[Stok Akhir]],6,FALSE),"")</f>
        <v>Tools</v>
      </c>
      <c r="G153" s="15">
        <f>IFERROR(VLOOKUP(C153,REKAP[[#All],[ID]:[Stok Akhir]],8,FALSE),"")</f>
        <v>2370000</v>
      </c>
      <c r="H153" s="11">
        <v>1</v>
      </c>
      <c r="I153" s="8"/>
      <c r="J153" s="8"/>
      <c r="K153" s="15">
        <v>2370000</v>
      </c>
      <c r="L153" s="11" t="s">
        <v>3758</v>
      </c>
      <c r="M153" s="49">
        <f>IFERROR(VLOOKUP(C153,REKAP[[#All],[ID]:[Stok Akhir]],15,FALSE), "")</f>
        <v>1</v>
      </c>
    </row>
    <row r="154" spans="1:13" ht="16.5" thickTop="1" thickBot="1" x14ac:dyDescent="0.3">
      <c r="A154" s="27">
        <f t="shared" si="2"/>
        <v>148</v>
      </c>
      <c r="B154" s="7">
        <v>45377</v>
      </c>
      <c r="C154" s="8" t="s">
        <v>2898</v>
      </c>
      <c r="D154" s="16" t="str">
        <f>IFERROR(VLOOKUP(C154,REKAP[[#All],[ID]:[Stok Akhir]],2,FALSE), "")</f>
        <v>End Mill STS</v>
      </c>
      <c r="E154" s="16" t="str">
        <f>IFERROR(VLOOKUP(C154,REKAP[[#All],[ID]:[Stok Akhir]],4,FALSE), "")</f>
        <v>Ø10 OT-4RHFR-10XR1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984000</v>
      </c>
      <c r="H154" s="11">
        <v>1</v>
      </c>
      <c r="I154" s="8"/>
      <c r="J154" s="8"/>
      <c r="K154" s="15">
        <v>984000</v>
      </c>
      <c r="L154" s="11" t="s">
        <v>3758</v>
      </c>
      <c r="M154" s="49">
        <f>IFERROR(VLOOKUP(C154,REKAP[[#All],[ID]:[Stok Akhir]],15,FALSE), "")</f>
        <v>1</v>
      </c>
    </row>
    <row r="155" spans="1:13" ht="16.5" thickTop="1" thickBot="1" x14ac:dyDescent="0.3">
      <c r="A155" s="27">
        <f t="shared" si="2"/>
        <v>149</v>
      </c>
      <c r="B155" s="7">
        <v>45377</v>
      </c>
      <c r="C155" s="8" t="s">
        <v>2916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Ø6 OT-4HFR6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475800</v>
      </c>
      <c r="H155" s="11">
        <v>2</v>
      </c>
      <c r="I155" s="8"/>
      <c r="J155" s="8"/>
      <c r="K155" s="15">
        <v>951600</v>
      </c>
      <c r="L155" s="11" t="s">
        <v>3758</v>
      </c>
      <c r="M155" s="49">
        <f>IFERROR(VLOOKUP(C155,REKAP[[#All],[ID]:[Stok Akhir]],15,FALSE), "")</f>
        <v>4</v>
      </c>
    </row>
    <row r="156" spans="1:13" ht="16.5" thickTop="1" thickBot="1" x14ac:dyDescent="0.3">
      <c r="A156" s="27">
        <f t="shared" si="2"/>
        <v>150</v>
      </c>
      <c r="B156" s="7">
        <v>45377</v>
      </c>
      <c r="C156" s="8" t="s">
        <v>2831</v>
      </c>
      <c r="D156" s="16" t="str">
        <f>IFERROR(VLOOKUP(C156,REKAP[[#All],[ID]:[Stok Akhir]],2,FALSE), "")</f>
        <v xml:space="preserve">End Mill Moldino </v>
      </c>
      <c r="E156" s="16" t="str">
        <f>IFERROR(VLOOKUP(C156,REKAP[[#All],[ID]:[Stok Akhir]],4,FALSE), "")</f>
        <v>ETRP4030-30-0908-TH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1348000</v>
      </c>
      <c r="H156" s="11">
        <v>1</v>
      </c>
      <c r="I156" s="8"/>
      <c r="J156" s="8"/>
      <c r="K156" s="15">
        <v>1348000</v>
      </c>
      <c r="L156" s="11" t="s">
        <v>3758</v>
      </c>
      <c r="M156" s="49">
        <f>IFERROR(VLOOKUP(C156,REKAP[[#All],[ID]:[Stok Akhir]],15,FALSE), "")</f>
        <v>2</v>
      </c>
    </row>
    <row r="157" spans="1:13" ht="16.5" thickTop="1" thickBot="1" x14ac:dyDescent="0.3">
      <c r="A157" s="27">
        <f t="shared" si="2"/>
        <v>151</v>
      </c>
      <c r="B157" s="7">
        <v>45377</v>
      </c>
      <c r="C157" s="8" t="s">
        <v>2827</v>
      </c>
      <c r="D157" s="16" t="str">
        <f>IFERROR(VLOOKUP(C157,REKAP[[#All],[ID]:[Stok Akhir]],2,FALSE), "")</f>
        <v xml:space="preserve">End Mill Moldino </v>
      </c>
      <c r="E157" s="16" t="str">
        <f>IFERROR(VLOOKUP(C157,REKAP[[#All],[ID]:[Stok Akhir]],4,FALSE), "")</f>
        <v>ETRP4020-15-0905-TH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961000</v>
      </c>
      <c r="H157" s="11">
        <v>2</v>
      </c>
      <c r="I157" s="8"/>
      <c r="J157" s="8"/>
      <c r="K157" s="15">
        <v>1922000</v>
      </c>
      <c r="L157" s="11" t="s">
        <v>3758</v>
      </c>
      <c r="M157" s="49">
        <f>IFERROR(VLOOKUP(C157,REKAP[[#All],[ID]:[Stok Akhir]],15,FALSE), "")</f>
        <v>2</v>
      </c>
    </row>
    <row r="158" spans="1:13" ht="16.5" thickTop="1" thickBot="1" x14ac:dyDescent="0.3">
      <c r="A158" s="27">
        <f t="shared" si="2"/>
        <v>152</v>
      </c>
      <c r="B158" s="7">
        <v>45377</v>
      </c>
      <c r="C158" s="8" t="s">
        <v>2602</v>
      </c>
      <c r="D158" s="16" t="str">
        <f>IFERROR(VLOOKUP(C158,REKAP[[#All],[ID]:[Stok Akhir]],2,FALSE), "")</f>
        <v>BNC Moldino (R1x16)</v>
      </c>
      <c r="E158" s="16" t="str">
        <f>IFERROR(VLOOKUP(C158,REKAP[[#All],[ID]:[Stok Akhir]],4,FALSE), "")</f>
        <v>EPDBE2020-16-ATH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423000</v>
      </c>
      <c r="H158" s="11">
        <v>2</v>
      </c>
      <c r="I158" s="8"/>
      <c r="J158" s="8"/>
      <c r="K158" s="15">
        <v>846000</v>
      </c>
      <c r="L158" s="11" t="s">
        <v>3758</v>
      </c>
      <c r="M158" s="49">
        <f>IFERROR(VLOOKUP(C158,REKAP[[#All],[ID]:[Stok Akhir]],15,FALSE), "")</f>
        <v>2</v>
      </c>
    </row>
    <row r="159" spans="1:13" ht="16.5" thickTop="1" thickBot="1" x14ac:dyDescent="0.3">
      <c r="A159" s="27">
        <f t="shared" si="2"/>
        <v>153</v>
      </c>
      <c r="B159" s="7">
        <v>45377</v>
      </c>
      <c r="C159" s="8" t="s">
        <v>2598</v>
      </c>
      <c r="D159" s="16" t="str">
        <f>IFERROR(VLOOKUP(C159,REKAP[[#All],[ID]:[Stok Akhir]],2,FALSE), "")</f>
        <v>BNC Moldino (R0.5x10)</v>
      </c>
      <c r="E159" s="16" t="str">
        <f>IFERROR(VLOOKUP(C159,REKAP[[#All],[ID]:[Stok Akhir]],4,FALSE), "")</f>
        <v>EPDBE2010-10-ATH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423000</v>
      </c>
      <c r="H159" s="11">
        <v>2</v>
      </c>
      <c r="I159" s="8"/>
      <c r="J159" s="8"/>
      <c r="K159" s="15">
        <v>846000</v>
      </c>
      <c r="L159" s="11" t="s">
        <v>3758</v>
      </c>
      <c r="M159" s="49">
        <f>IFERROR(VLOOKUP(C159,REKAP[[#All],[ID]:[Stok Akhir]],15,FALSE), "")</f>
        <v>2</v>
      </c>
    </row>
    <row r="160" spans="1:13" ht="16.5" thickTop="1" thickBot="1" x14ac:dyDescent="0.3">
      <c r="A160" s="27">
        <f t="shared" si="2"/>
        <v>154</v>
      </c>
      <c r="B160" s="7">
        <v>45377</v>
      </c>
      <c r="C160" s="8" t="s">
        <v>2608</v>
      </c>
      <c r="D160" s="16" t="str">
        <f>IFERROR(VLOOKUP(C160,REKAP[[#All],[ID]:[Stok Akhir]],2,FALSE), "")</f>
        <v>BNC Moldino (R1.5x25)</v>
      </c>
      <c r="E160" s="16" t="str">
        <f>IFERROR(VLOOKUP(C160,REKAP[[#All],[ID]:[Stok Akhir]],4,FALSE), "")</f>
        <v xml:space="preserve">Ø3 EPDBE2030-25-ATH 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513000</v>
      </c>
      <c r="H160" s="11">
        <v>2</v>
      </c>
      <c r="I160" s="8"/>
      <c r="J160" s="8"/>
      <c r="K160" s="15">
        <v>1026000</v>
      </c>
      <c r="L160" s="11" t="s">
        <v>3758</v>
      </c>
      <c r="M160" s="49">
        <f>IFERROR(VLOOKUP(C160,REKAP[[#All],[ID]:[Stok Akhir]],15,FALSE), "")</f>
        <v>2</v>
      </c>
    </row>
    <row r="161" spans="1:13" ht="16.5" thickTop="1" thickBot="1" x14ac:dyDescent="0.3">
      <c r="A161" s="27">
        <f t="shared" si="2"/>
        <v>155</v>
      </c>
      <c r="B161" s="7">
        <v>45378</v>
      </c>
      <c r="C161" s="8" t="s">
        <v>316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8 X 60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2350</v>
      </c>
      <c r="H161" s="11">
        <v>34</v>
      </c>
      <c r="I161" s="8"/>
      <c r="J161" s="8" t="s">
        <v>3762</v>
      </c>
      <c r="K161" s="15">
        <v>79900</v>
      </c>
      <c r="L161" s="11"/>
      <c r="M161" s="49">
        <f>IFERROR(VLOOKUP(C161,REKAP[[#All],[ID]:[Stok Akhir]],15,FALSE), "")</f>
        <v>39</v>
      </c>
    </row>
    <row r="162" spans="1:13" ht="16.5" thickTop="1" thickBot="1" x14ac:dyDescent="0.3">
      <c r="A162" s="27">
        <f t="shared" si="2"/>
        <v>156</v>
      </c>
      <c r="B162" s="7">
        <v>45378</v>
      </c>
      <c r="C162" s="8" t="s">
        <v>329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10 X 15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1800</v>
      </c>
      <c r="H162" s="11">
        <v>16</v>
      </c>
      <c r="I162" s="8"/>
      <c r="J162" s="8" t="s">
        <v>3762</v>
      </c>
      <c r="K162" s="15">
        <v>28800</v>
      </c>
      <c r="L162" s="11"/>
      <c r="M162" s="49">
        <f>IFERROR(VLOOKUP(C162,REKAP[[#All],[ID]:[Stok Akhir]],15,FALSE), "")</f>
        <v>29</v>
      </c>
    </row>
    <row r="163" spans="1:13" ht="16.5" thickTop="1" thickBot="1" x14ac:dyDescent="0.3">
      <c r="A163" s="27">
        <f t="shared" si="2"/>
        <v>157</v>
      </c>
      <c r="B163" s="7">
        <v>45378</v>
      </c>
      <c r="C163" s="8" t="s">
        <v>332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10 X 30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2200</v>
      </c>
      <c r="H163" s="11">
        <v>22</v>
      </c>
      <c r="I163" s="8"/>
      <c r="J163" s="8" t="s">
        <v>3780</v>
      </c>
      <c r="K163" s="15">
        <v>48400</v>
      </c>
      <c r="L163" s="11"/>
      <c r="M163" s="49">
        <f>IFERROR(VLOOKUP(C163,REKAP[[#All],[ID]:[Stok Akhir]],15,FALSE), "")</f>
        <v>21</v>
      </c>
    </row>
    <row r="164" spans="1:13" ht="16.5" thickTop="1" thickBot="1" x14ac:dyDescent="0.3">
      <c r="A164" s="27">
        <f t="shared" si="2"/>
        <v>158</v>
      </c>
      <c r="B164" s="7">
        <v>45378</v>
      </c>
      <c r="C164" s="8" t="s">
        <v>331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25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2000</v>
      </c>
      <c r="H164" s="11">
        <v>24</v>
      </c>
      <c r="I164" s="8"/>
      <c r="J164" s="8" t="s">
        <v>3762</v>
      </c>
      <c r="K164" s="15">
        <v>48000</v>
      </c>
      <c r="L164" s="11"/>
      <c r="M164" s="49">
        <f>IFERROR(VLOOKUP(C164,REKAP[[#All],[ID]:[Stok Akhir]],15,FALSE), "")</f>
        <v>44</v>
      </c>
    </row>
    <row r="165" spans="1:13" ht="16.5" thickTop="1" thickBot="1" x14ac:dyDescent="0.3">
      <c r="A165" s="27">
        <f t="shared" si="2"/>
        <v>159</v>
      </c>
      <c r="B165" s="7">
        <v>45378</v>
      </c>
      <c r="C165" s="8" t="s">
        <v>286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15/16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600</v>
      </c>
      <c r="H165" s="11">
        <v>30</v>
      </c>
      <c r="I165" s="8"/>
      <c r="J165" s="8" t="s">
        <v>3780</v>
      </c>
      <c r="K165" s="15">
        <v>18000</v>
      </c>
      <c r="L165" s="11"/>
      <c r="M165" s="49">
        <f>IFERROR(VLOOKUP(C165,REKAP[[#All],[ID]:[Stok Akhir]],15,FALSE), "")</f>
        <v>61</v>
      </c>
    </row>
    <row r="166" spans="1:13" ht="16.5" thickTop="1" thickBot="1" x14ac:dyDescent="0.3">
      <c r="A166" s="27">
        <f t="shared" si="2"/>
        <v>160</v>
      </c>
      <c r="B166" s="7">
        <v>45378</v>
      </c>
      <c r="C166" s="8" t="s">
        <v>267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5 X 15/16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500</v>
      </c>
      <c r="H166" s="11">
        <v>36</v>
      </c>
      <c r="I166" s="8"/>
      <c r="J166" s="8" t="s">
        <v>3762</v>
      </c>
      <c r="K166" s="15">
        <v>18000</v>
      </c>
      <c r="L166" s="11"/>
      <c r="M166" s="49">
        <f>IFERROR(VLOOKUP(C166,REKAP[[#All],[ID]:[Stok Akhir]],15,FALSE), "")</f>
        <v>68</v>
      </c>
    </row>
    <row r="167" spans="1:13" ht="16.5" thickTop="1" thickBot="1" x14ac:dyDescent="0.3">
      <c r="A167" s="27">
        <f t="shared" si="2"/>
        <v>161</v>
      </c>
      <c r="B167" s="7">
        <v>45378</v>
      </c>
      <c r="C167" s="8" t="s">
        <v>736</v>
      </c>
      <c r="D167" s="16" t="str">
        <f>IFERROR(VLOOKUP(C167,REKAP[[#All],[ID]:[Stok Akhir]],2,FALSE), "")</f>
        <v>Gergaji  Tangan</v>
      </c>
      <c r="E167" s="16">
        <f>IFERROR(VLOOKUP(C167,REKAP[[#All],[ID]:[Stok Akhir]],4,FALSE), "")</f>
        <v>0</v>
      </c>
      <c r="F167" s="16" t="str">
        <f>IFERROR(VLOOKUP(C167,REKAP[[#All],[ID]:[Stok Akhir]],6,FALSE),"")</f>
        <v>Bahan Pembantu</v>
      </c>
      <c r="G167" s="15">
        <f>IFERROR(VLOOKUP(C167,REKAP[[#All],[ID]:[Stok Akhir]],8,FALSE),"")</f>
        <v>25000</v>
      </c>
      <c r="H167" s="11">
        <v>3</v>
      </c>
      <c r="I167" s="8"/>
      <c r="J167" s="8"/>
      <c r="K167" s="15">
        <v>75000</v>
      </c>
      <c r="L167" s="11" t="s">
        <v>3758</v>
      </c>
      <c r="M167" s="49">
        <f>IFERROR(VLOOKUP(C167,REKAP[[#All],[ID]:[Stok Akhir]],15,FALSE), "")</f>
        <v>5</v>
      </c>
    </row>
    <row r="168" spans="1:13" ht="16.5" thickTop="1" thickBot="1" x14ac:dyDescent="0.3">
      <c r="A168" s="27">
        <f t="shared" si="2"/>
        <v>162</v>
      </c>
      <c r="B168" s="7">
        <v>45379</v>
      </c>
      <c r="C168" s="8" t="s">
        <v>3274</v>
      </c>
      <c r="D168" s="16" t="str">
        <f>IFERROR(VLOOKUP(C168,REKAP[[#All],[ID]:[Stok Akhir]],2,FALSE), "")</f>
        <v>Jaket Alumunium Ø10</v>
      </c>
      <c r="E168" s="16">
        <f>IFERROR(VLOOKUP(C168,REKAP[[#All],[ID]:[Stok Akhir]],4,FALSE), "")</f>
        <v>0</v>
      </c>
      <c r="F168" s="16" t="str">
        <f>IFERROR(VLOOKUP(C168,REKAP[[#All],[ID]:[Stok Akhir]],6,FALSE),"")</f>
        <v>Barang Jadi</v>
      </c>
      <c r="G168" s="15">
        <f>IFERROR(VLOOKUP(C168,REKAP[[#All],[ID]:[Stok Akhir]],8,FALSE),"")</f>
        <v>3412500</v>
      </c>
      <c r="H168" s="11">
        <v>5</v>
      </c>
      <c r="I168" s="8"/>
      <c r="J168" s="8"/>
      <c r="K168" s="15">
        <v>17062500</v>
      </c>
      <c r="L168" s="11" t="s">
        <v>3758</v>
      </c>
      <c r="M168" s="49">
        <f>IFERROR(VLOOKUP(C168,REKAP[[#All],[ID]:[Stok Akhir]],15,FALSE), "")</f>
        <v>15</v>
      </c>
    </row>
    <row r="169" spans="1:13" ht="16.5" thickTop="1" thickBot="1" x14ac:dyDescent="0.3">
      <c r="A169" s="27">
        <f t="shared" si="2"/>
        <v>163</v>
      </c>
      <c r="B169" s="7">
        <v>45379</v>
      </c>
      <c r="C169" s="8" t="s">
        <v>570</v>
      </c>
      <c r="D169" s="16" t="str">
        <f>IFERROR(VLOOKUP(C169,REKAP[[#All],[ID]:[Stok Akhir]],2,FALSE), "")</f>
        <v>Ring Plate</v>
      </c>
      <c r="E169" s="16" t="str">
        <f>IFERROR(VLOOKUP(C169,REKAP[[#All],[ID]:[Stok Akhir]],4,FALSE), "")</f>
        <v>M5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</v>
      </c>
      <c r="H169" s="11">
        <v>26</v>
      </c>
      <c r="I169" s="8"/>
      <c r="J169" s="8" t="s">
        <v>3762</v>
      </c>
      <c r="K169" s="15">
        <v>2600</v>
      </c>
      <c r="L169" s="11"/>
      <c r="M169" s="49">
        <f>IFERROR(VLOOKUP(C169,REKAP[[#All],[ID]:[Stok Akhir]],15,FALSE), "")</f>
        <v>41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529</v>
      </c>
      <c r="D170" s="16" t="str">
        <f>IFERROR(VLOOKUP(C170,REKAP[[#All],[ID]:[Stok Akhir]],2,FALSE), "")</f>
        <v>Baut Tanam</v>
      </c>
      <c r="E170" s="16" t="str">
        <f>IFERROR(VLOOKUP(C170,REKAP[[#All],[ID]:[Stok Akhir]],4,FALSE), "")</f>
        <v xml:space="preserve">M 10 x 20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10</v>
      </c>
      <c r="I170" s="8"/>
      <c r="J170" s="8" t="s">
        <v>3762</v>
      </c>
      <c r="K170" s="15">
        <v>15000</v>
      </c>
      <c r="L170" s="11"/>
      <c r="M170" s="49">
        <f>IFERROR(VLOOKUP(C170,REKAP[[#All],[ID]:[Stok Akhir]],15,FALSE), "")</f>
        <v>10</v>
      </c>
    </row>
    <row r="171" spans="1:13" ht="16.5" thickTop="1" thickBot="1" x14ac:dyDescent="0.3">
      <c r="A171" s="27">
        <f t="shared" si="2"/>
        <v>165</v>
      </c>
      <c r="B171" s="7">
        <v>45379</v>
      </c>
      <c r="C171" s="8" t="s">
        <v>455</v>
      </c>
      <c r="D171" s="16" t="str">
        <f>IFERROR(VLOOKUP(C171,REKAP[[#All],[ID]:[Stok Akhir]],2,FALSE), "")</f>
        <v>Baut JFL</v>
      </c>
      <c r="E171" s="16" t="str">
        <f>IFERROR(VLOOKUP(C171,REKAP[[#All],[ID]:[Stok Akhir]],4,FALSE), "")</f>
        <v>M 5 X 10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500</v>
      </c>
      <c r="H171" s="11">
        <v>54</v>
      </c>
      <c r="I171" s="8"/>
      <c r="J171" s="8" t="s">
        <v>3762</v>
      </c>
      <c r="K171" s="15">
        <v>27000</v>
      </c>
      <c r="L171" s="11"/>
      <c r="M171" s="49">
        <f>IFERROR(VLOOKUP(C171,REKAP[[#All],[ID]:[Stok Akhir]],15,FALSE), "")</f>
        <v>69</v>
      </c>
    </row>
    <row r="172" spans="1:13" ht="16.5" thickTop="1" thickBot="1" x14ac:dyDescent="0.3">
      <c r="A172" s="27">
        <f t="shared" si="2"/>
        <v>166</v>
      </c>
      <c r="B172" s="7">
        <v>45379</v>
      </c>
      <c r="C172" s="8" t="s">
        <v>451</v>
      </c>
      <c r="D172" s="16" t="str">
        <f>IFERROR(VLOOKUP(C172,REKAP[[#All],[ID]:[Stok Akhir]],2,FALSE), "")</f>
        <v>Baut JFL</v>
      </c>
      <c r="E172" s="16" t="str">
        <f>IFERROR(VLOOKUP(C172,REKAP[[#All],[ID]:[Stok Akhir]],4,FALSE), "")</f>
        <v>M 4 x 10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6</v>
      </c>
      <c r="I172" s="8"/>
      <c r="J172" s="8" t="s">
        <v>3762</v>
      </c>
      <c r="K172" s="15">
        <v>3600</v>
      </c>
      <c r="L172" s="11"/>
      <c r="M172" s="49">
        <f>IFERROR(VLOOKUP(C172,REKAP[[#All],[ID]:[Stok Akhir]],15,FALSE), "")</f>
        <v>19</v>
      </c>
    </row>
    <row r="173" spans="1:13" ht="16.5" thickTop="1" thickBot="1" x14ac:dyDescent="0.3">
      <c r="A173" s="27">
        <f t="shared" si="2"/>
        <v>167</v>
      </c>
      <c r="B173" s="7">
        <v>45379</v>
      </c>
      <c r="C173" s="8" t="s">
        <v>507</v>
      </c>
      <c r="D173" s="16" t="str">
        <f>IFERROR(VLOOKUP(C173,REKAP[[#All],[ID]:[Stok Akhir]],2,FALSE), "")</f>
        <v>Baut Tanam</v>
      </c>
      <c r="E173" s="16" t="str">
        <f>IFERROR(VLOOKUP(C173,REKAP[[#All],[ID]:[Stok Akhir]],4,FALSE), "")</f>
        <v xml:space="preserve">M 5 X 6 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600</v>
      </c>
      <c r="H173" s="11">
        <v>10</v>
      </c>
      <c r="I173" s="8"/>
      <c r="J173" s="8" t="s">
        <v>3762</v>
      </c>
      <c r="K173" s="15">
        <v>6000</v>
      </c>
      <c r="L173" s="11"/>
      <c r="M173" s="49">
        <f>IFERROR(VLOOKUP(C173,REKAP[[#All],[ID]:[Stok Akhir]],15,FALSE), "")</f>
        <v>33</v>
      </c>
    </row>
    <row r="174" spans="1:13" ht="16.5" thickTop="1" thickBot="1" x14ac:dyDescent="0.3">
      <c r="A174" s="27">
        <f t="shared" si="2"/>
        <v>168</v>
      </c>
      <c r="B174" s="7">
        <v>45379</v>
      </c>
      <c r="C174" s="8" t="s">
        <v>284</v>
      </c>
      <c r="D174" s="16" t="str">
        <f>IFERROR(VLOOKUP(C174,REKAP[[#All],[ID]:[Stok Akhir]],2,FALSE), "")</f>
        <v>Baut LPK</v>
      </c>
      <c r="E174" s="16" t="str">
        <f>IFERROR(VLOOKUP(C174,REKAP[[#All],[ID]:[Stok Akhir]],4,FALSE), "")</f>
        <v>M 6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550</v>
      </c>
      <c r="H174" s="11">
        <v>6</v>
      </c>
      <c r="I174" s="8"/>
      <c r="J174" s="8" t="s">
        <v>3762</v>
      </c>
      <c r="K174" s="15">
        <v>3300</v>
      </c>
      <c r="L174" s="11"/>
      <c r="M174" s="49">
        <f>IFERROR(VLOOKUP(C174,REKAP[[#All],[ID]:[Stok Akhir]],15,FALSE), "")</f>
        <v>15</v>
      </c>
    </row>
    <row r="175" spans="1:13" ht="16.5" thickTop="1" thickBot="1" x14ac:dyDescent="0.3">
      <c r="A175" s="27">
        <f t="shared" si="2"/>
        <v>169</v>
      </c>
      <c r="B175" s="7">
        <v>45379</v>
      </c>
      <c r="C175" s="8" t="s">
        <v>286</v>
      </c>
      <c r="D175" s="16" t="str">
        <f>IFERROR(VLOOKUP(C175,REKAP[[#All],[ID]:[Stok Akhir]],2,FALSE), "")</f>
        <v>Baut LPK</v>
      </c>
      <c r="E175" s="16" t="str">
        <f>IFERROR(VLOOKUP(C175,REKAP[[#All],[ID]:[Stok Akhir]],4,FALSE), "")</f>
        <v>M 6 X 15/16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20</v>
      </c>
      <c r="I175" s="8"/>
      <c r="J175" s="8" t="s">
        <v>3783</v>
      </c>
      <c r="K175" s="15">
        <v>12000</v>
      </c>
      <c r="L175" s="11"/>
      <c r="M175" s="49">
        <f>IFERROR(VLOOKUP(C175,REKAP[[#All],[ID]:[Stok Akhir]],15,FALSE), "")</f>
        <v>61</v>
      </c>
    </row>
    <row r="176" spans="1:13" ht="16.5" thickTop="1" thickBot="1" x14ac:dyDescent="0.3">
      <c r="A176" s="27">
        <f t="shared" si="2"/>
        <v>170</v>
      </c>
      <c r="B176" s="7">
        <v>45379</v>
      </c>
      <c r="C176" s="8" t="s">
        <v>308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 xml:space="preserve">M 8 X 20 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1300</v>
      </c>
      <c r="H176" s="11">
        <v>40</v>
      </c>
      <c r="I176" s="8"/>
      <c r="J176" s="8" t="s">
        <v>3796</v>
      </c>
      <c r="K176" s="15">
        <v>52000</v>
      </c>
      <c r="L176" s="11"/>
      <c r="M176" s="49">
        <f>IFERROR(VLOOKUP(C176,REKAP[[#All],[ID]:[Stok Akhir]],15,FALSE), "")</f>
        <v>53</v>
      </c>
    </row>
    <row r="177" spans="1:13" ht="16.5" thickTop="1" thickBot="1" x14ac:dyDescent="0.3">
      <c r="A177" s="27">
        <f t="shared" si="2"/>
        <v>171</v>
      </c>
      <c r="B177" s="7">
        <v>45379</v>
      </c>
      <c r="C177" s="8" t="s">
        <v>588</v>
      </c>
      <c r="D177" s="16" t="str">
        <f>IFERROR(VLOOKUP(C177,REKAP[[#All],[ID]:[Stok Akhir]],2,FALSE), "")</f>
        <v>Mur</v>
      </c>
      <c r="E177" s="16" t="str">
        <f>IFERROR(VLOOKUP(C177,REKAP[[#All],[ID]:[Stok Akhir]],4,FALSE), "")</f>
        <v>M6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100</v>
      </c>
      <c r="H177" s="11">
        <v>4</v>
      </c>
      <c r="I177" s="8"/>
      <c r="J177" s="8" t="s">
        <v>3762</v>
      </c>
      <c r="K177" s="15">
        <v>400</v>
      </c>
      <c r="L177" s="11"/>
      <c r="M177" s="49">
        <f>IFERROR(VLOOKUP(C177,REKAP[[#All],[ID]:[Stok Akhir]],15,FALSE), "")</f>
        <v>26</v>
      </c>
    </row>
    <row r="178" spans="1:13" ht="16.5" thickTop="1" thickBot="1" x14ac:dyDescent="0.3">
      <c r="A178" s="27">
        <f t="shared" si="2"/>
        <v>172</v>
      </c>
      <c r="B178" s="7">
        <v>45379</v>
      </c>
      <c r="C178" s="8" t="s">
        <v>252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3 X 15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1000</v>
      </c>
      <c r="H178" s="11">
        <v>2</v>
      </c>
      <c r="I178" s="8"/>
      <c r="J178" s="8"/>
      <c r="K178" s="15">
        <v>2000</v>
      </c>
      <c r="L178" s="11" t="s">
        <v>3758</v>
      </c>
      <c r="M178" s="49">
        <f>IFERROR(VLOOKUP(C178,REKAP[[#All],[ID]:[Stok Akhir]],15,FALSE), "")</f>
        <v>7</v>
      </c>
    </row>
    <row r="179" spans="1:13" ht="16.5" thickTop="1" thickBot="1" x14ac:dyDescent="0.3">
      <c r="A179" s="27">
        <f t="shared" si="2"/>
        <v>173</v>
      </c>
      <c r="B179" s="7">
        <v>45379</v>
      </c>
      <c r="C179" s="8" t="s">
        <v>286</v>
      </c>
      <c r="D179" s="16" t="str">
        <f>IFERROR(VLOOKUP(C179,REKAP[[#All],[ID]:[Stok Akhir]],2,FALSE), "")</f>
        <v>Baut LPK</v>
      </c>
      <c r="E179" s="16" t="str">
        <f>IFERROR(VLOOKUP(C179,REKAP[[#All],[ID]:[Stok Akhir]],4,FALSE), "")</f>
        <v>M 6 X 15/16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600</v>
      </c>
      <c r="H179" s="11">
        <v>6</v>
      </c>
      <c r="I179" s="8"/>
      <c r="J179" s="8" t="s">
        <v>3797</v>
      </c>
      <c r="K179" s="15">
        <v>3600</v>
      </c>
      <c r="L179" s="11"/>
      <c r="M179" s="49">
        <f>IFERROR(VLOOKUP(C179,REKAP[[#All],[ID]:[Stok Akhir]],15,FALSE), "")</f>
        <v>61</v>
      </c>
    </row>
    <row r="180" spans="1:13" ht="16.5" thickTop="1" thickBot="1" x14ac:dyDescent="0.3">
      <c r="A180" s="27">
        <f t="shared" ref="A180:A243" si="3">ROW()-ROW($A$6)</f>
        <v>174</v>
      </c>
      <c r="B180" s="7">
        <v>45379</v>
      </c>
      <c r="C180" s="8" t="s">
        <v>290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>M 6 X 35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850</v>
      </c>
      <c r="H180" s="11">
        <v>24</v>
      </c>
      <c r="I180" s="8"/>
      <c r="J180" s="8" t="s">
        <v>3798</v>
      </c>
      <c r="K180" s="15">
        <v>20400</v>
      </c>
      <c r="L180" s="11"/>
      <c r="M180" s="49">
        <f>IFERROR(VLOOKUP(C180,REKAP[[#All],[ID]:[Stok Akhir]],15,FALSE), "")</f>
        <v>40</v>
      </c>
    </row>
    <row r="181" spans="1:13" ht="16.5" thickTop="1" thickBot="1" x14ac:dyDescent="0.3">
      <c r="A181" s="27">
        <f t="shared" si="3"/>
        <v>175</v>
      </c>
      <c r="B181" s="7">
        <v>45379</v>
      </c>
      <c r="C181" s="8" t="s">
        <v>291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40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1000</v>
      </c>
      <c r="H181" s="11">
        <v>8</v>
      </c>
      <c r="I181" s="8"/>
      <c r="J181" s="8" t="s">
        <v>3798</v>
      </c>
      <c r="K181" s="15">
        <v>8000</v>
      </c>
      <c r="L181" s="11"/>
      <c r="M181" s="49">
        <f>IFERROR(VLOOKUP(C181,REKAP[[#All],[ID]:[Stok Akhir]],15,FALSE), "")</f>
        <v>23</v>
      </c>
    </row>
    <row r="182" spans="1:13" ht="16.5" thickTop="1" thickBot="1" x14ac:dyDescent="0.3">
      <c r="A182" s="27">
        <f t="shared" si="3"/>
        <v>176</v>
      </c>
      <c r="B182" s="7">
        <v>45379</v>
      </c>
      <c r="C182" s="8" t="s">
        <v>289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30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800</v>
      </c>
      <c r="H182" s="11">
        <v>4</v>
      </c>
      <c r="I182" s="8"/>
      <c r="J182" s="8" t="s">
        <v>3797</v>
      </c>
      <c r="K182" s="15">
        <v>3200</v>
      </c>
      <c r="L182" s="11"/>
      <c r="M182" s="49">
        <f>IFERROR(VLOOKUP(C182,REKAP[[#All],[ID]:[Stok Akhir]],15,FALSE), "")</f>
        <v>7</v>
      </c>
    </row>
    <row r="183" spans="1:13" ht="16.5" thickTop="1" thickBot="1" x14ac:dyDescent="0.3">
      <c r="A183" s="27">
        <f t="shared" si="3"/>
        <v>177</v>
      </c>
      <c r="B183" s="7">
        <v>45379</v>
      </c>
      <c r="C183" s="8" t="s">
        <v>288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25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750</v>
      </c>
      <c r="H183" s="11">
        <v>15</v>
      </c>
      <c r="I183" s="8"/>
      <c r="J183" s="8" t="s">
        <v>3925</v>
      </c>
      <c r="K183" s="15">
        <v>11250</v>
      </c>
      <c r="L183" s="11"/>
      <c r="M183" s="49">
        <f>IFERROR(VLOOKUP(C183,REKAP[[#All],[ID]:[Stok Akhir]],15,FALSE), "")</f>
        <v>24</v>
      </c>
    </row>
    <row r="184" spans="1:13" ht="16.5" thickTop="1" thickBot="1" x14ac:dyDescent="0.3">
      <c r="A184" s="27">
        <f t="shared" si="3"/>
        <v>178</v>
      </c>
      <c r="B184" s="7">
        <v>45379</v>
      </c>
      <c r="C184" s="8" t="s">
        <v>310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8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2000</v>
      </c>
      <c r="H184" s="11">
        <v>4</v>
      </c>
      <c r="I184" s="8"/>
      <c r="J184" s="8" t="s">
        <v>3798</v>
      </c>
      <c r="K184" s="15">
        <v>8000</v>
      </c>
      <c r="L184" s="11"/>
      <c r="M184" s="49">
        <f>IFERROR(VLOOKUP(C184,REKAP[[#All],[ID]:[Stok Akhir]],15,FALSE), "")</f>
        <v>15</v>
      </c>
    </row>
    <row r="185" spans="1:13" ht="16.5" thickTop="1" thickBot="1" x14ac:dyDescent="0.3">
      <c r="A185" s="27">
        <f t="shared" si="3"/>
        <v>179</v>
      </c>
      <c r="B185" s="7">
        <v>45379</v>
      </c>
      <c r="C185" s="8" t="s">
        <v>309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8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1500</v>
      </c>
      <c r="H185" s="11">
        <v>4</v>
      </c>
      <c r="I185" s="8"/>
      <c r="J185" s="8" t="s">
        <v>3797</v>
      </c>
      <c r="K185" s="15">
        <v>6000</v>
      </c>
      <c r="L185" s="11"/>
      <c r="M185" s="49">
        <f>IFERROR(VLOOKUP(C185,REKAP[[#All],[ID]:[Stok Akhir]],15,FALSE), "")</f>
        <v>15</v>
      </c>
    </row>
    <row r="186" spans="1:13" ht="16.5" thickTop="1" thickBot="1" x14ac:dyDescent="0.3">
      <c r="A186" s="27">
        <f t="shared" si="3"/>
        <v>180</v>
      </c>
      <c r="B186" s="7">
        <v>45379</v>
      </c>
      <c r="C186" s="8" t="s">
        <v>266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 xml:space="preserve">M 5 X 12  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500</v>
      </c>
      <c r="H186" s="11">
        <v>4</v>
      </c>
      <c r="I186" s="8"/>
      <c r="J186" s="8" t="s">
        <v>3799</v>
      </c>
      <c r="K186" s="15">
        <v>2000</v>
      </c>
      <c r="L186" s="11"/>
      <c r="M186" s="49">
        <f>IFERROR(VLOOKUP(C186,REKAP[[#All],[ID]:[Stok Akhir]],15,FALSE), "")</f>
        <v>18</v>
      </c>
    </row>
    <row r="187" spans="1:13" ht="16.5" thickTop="1" thickBot="1" x14ac:dyDescent="0.3">
      <c r="A187" s="27">
        <f t="shared" si="3"/>
        <v>181</v>
      </c>
      <c r="B187" s="7">
        <v>45379</v>
      </c>
      <c r="C187" s="8" t="s">
        <v>463</v>
      </c>
      <c r="D187" s="16" t="str">
        <f>IFERROR(VLOOKUP(C187,REKAP[[#All],[ID]:[Stok Akhir]],2,FALSE), "")</f>
        <v>Baut JFL</v>
      </c>
      <c r="E187" s="16" t="str">
        <f>IFERROR(VLOOKUP(C187,REKAP[[#All],[ID]:[Stok Akhir]],4,FALSE), "")</f>
        <v>M 6 X 15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1000</v>
      </c>
      <c r="H187" s="11">
        <v>16</v>
      </c>
      <c r="I187" s="8"/>
      <c r="J187" s="8" t="s">
        <v>3799</v>
      </c>
      <c r="K187" s="15">
        <v>16000</v>
      </c>
      <c r="L187" s="11"/>
      <c r="M187" s="49">
        <f>IFERROR(VLOOKUP(C187,REKAP[[#All],[ID]:[Stok Akhir]],15,FALSE), "")</f>
        <v>27</v>
      </c>
    </row>
    <row r="188" spans="1:13" ht="16.5" thickTop="1" thickBot="1" x14ac:dyDescent="0.3">
      <c r="A188" s="27">
        <f t="shared" si="3"/>
        <v>182</v>
      </c>
      <c r="B188" s="7">
        <v>45379</v>
      </c>
      <c r="C188" s="8" t="s">
        <v>1272</v>
      </c>
      <c r="D188" s="16" t="str">
        <f>IFERROR(VLOOKUP(C188,REKAP[[#All],[ID]:[Stok Akhir]],2,FALSE), "")</f>
        <v>Limit Switch</v>
      </c>
      <c r="E188" s="16">
        <f>IFERROR(VLOOKUP(C188,REKAP[[#All],[ID]:[Stok Akhir]],4,FALSE), "")</f>
        <v>0</v>
      </c>
      <c r="F188" s="16" t="str">
        <f>IFERROR(VLOOKUP(C188,REKAP[[#All],[ID]:[Stok Akhir]],6,FALSE),"")</f>
        <v>Accessories Mold</v>
      </c>
      <c r="G188" s="15">
        <f>IFERROR(VLOOKUP(C188,REKAP[[#All],[ID]:[Stok Akhir]],8,FALSE),"")</f>
        <v>20000</v>
      </c>
      <c r="H188" s="11">
        <v>1</v>
      </c>
      <c r="I188" s="8"/>
      <c r="J188" s="8"/>
      <c r="K188" s="15">
        <v>20000</v>
      </c>
      <c r="L188" s="11" t="s">
        <v>3758</v>
      </c>
      <c r="M188" s="49">
        <f>IFERROR(VLOOKUP(C188,REKAP[[#All],[ID]:[Stok Akhir]],15,FALSE), "")</f>
        <v>1</v>
      </c>
    </row>
    <row r="189" spans="1:13" ht="16.5" thickTop="1" thickBot="1" x14ac:dyDescent="0.3">
      <c r="A189" s="27">
        <f t="shared" si="3"/>
        <v>183</v>
      </c>
      <c r="B189" s="7">
        <v>45380</v>
      </c>
      <c r="C189" s="8" t="s">
        <v>331</v>
      </c>
      <c r="D189" s="16" t="str">
        <f>IFERROR(VLOOKUP(C189,REKAP[[#All],[ID]:[Stok Akhir]],2,FALSE), "")</f>
        <v>Baut LPK</v>
      </c>
      <c r="E189" s="16" t="str">
        <f>IFERROR(VLOOKUP(C189,REKAP[[#All],[ID]:[Stok Akhir]],4,FALSE), "")</f>
        <v>M 10 X 25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2000</v>
      </c>
      <c r="H189" s="11">
        <v>80</v>
      </c>
      <c r="I189" s="8"/>
      <c r="J189" s="8" t="s">
        <v>3800</v>
      </c>
      <c r="K189" s="15">
        <v>160000</v>
      </c>
      <c r="L189" s="11"/>
      <c r="M189" s="49">
        <f>IFERROR(VLOOKUP(C189,REKAP[[#All],[ID]:[Stok Akhir]],15,FALSE), "")</f>
        <v>44</v>
      </c>
    </row>
    <row r="190" spans="1:13" ht="16.5" thickTop="1" thickBot="1" x14ac:dyDescent="0.3">
      <c r="A190" s="27">
        <f t="shared" si="3"/>
        <v>184</v>
      </c>
      <c r="B190" s="7">
        <v>45380</v>
      </c>
      <c r="C190" s="8" t="s">
        <v>294</v>
      </c>
      <c r="D190" s="16" t="str">
        <f>IFERROR(VLOOKUP(C190,REKAP[[#All],[ID]:[Stok Akhir]],2,FALSE), "")</f>
        <v>Baut LPK</v>
      </c>
      <c r="E190" s="16" t="str">
        <f>IFERROR(VLOOKUP(C190,REKAP[[#All],[ID]:[Stok Akhir]],4,FALSE), "")</f>
        <v>M 6 X 55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1250</v>
      </c>
      <c r="H190" s="11">
        <v>20</v>
      </c>
      <c r="I190" s="8"/>
      <c r="J190" s="8" t="s">
        <v>3895</v>
      </c>
      <c r="K190" s="15">
        <v>25000</v>
      </c>
      <c r="L190" s="11"/>
      <c r="M190" s="49">
        <f>IFERROR(VLOOKUP(C190,REKAP[[#All],[ID]:[Stok Akhir]],15,FALSE), "")</f>
        <v>25</v>
      </c>
    </row>
    <row r="191" spans="1:13" ht="16.5" thickTop="1" thickBot="1" x14ac:dyDescent="0.3">
      <c r="A191" s="27">
        <f t="shared" si="3"/>
        <v>185</v>
      </c>
      <c r="B191" s="7">
        <v>45380</v>
      </c>
      <c r="C191" s="8" t="s">
        <v>291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40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1000</v>
      </c>
      <c r="H191" s="11">
        <v>44</v>
      </c>
      <c r="I191" s="8"/>
      <c r="J191" s="8" t="s">
        <v>3800</v>
      </c>
      <c r="K191" s="15">
        <v>44000</v>
      </c>
      <c r="L191" s="11"/>
      <c r="M191" s="49">
        <f>IFERROR(VLOOKUP(C191,REKAP[[#All],[ID]:[Stok Akhir]],15,FALSE), "")</f>
        <v>23</v>
      </c>
    </row>
    <row r="192" spans="1:13" ht="16.5" thickTop="1" thickBot="1" x14ac:dyDescent="0.3">
      <c r="A192" s="27">
        <f t="shared" si="3"/>
        <v>186</v>
      </c>
      <c r="B192" s="7">
        <v>45380</v>
      </c>
      <c r="C192" s="8" t="s">
        <v>286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15/16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600</v>
      </c>
      <c r="H192" s="11">
        <v>96</v>
      </c>
      <c r="I192" s="8"/>
      <c r="J192" s="8" t="s">
        <v>3800</v>
      </c>
      <c r="K192" s="15">
        <v>57600</v>
      </c>
      <c r="L192" s="11"/>
      <c r="M192" s="49">
        <f>IFERROR(VLOOKUP(C192,REKAP[[#All],[ID]:[Stok Akhir]],15,FALSE), "")</f>
        <v>61</v>
      </c>
    </row>
    <row r="193" spans="1:13" ht="16.5" thickTop="1" thickBot="1" x14ac:dyDescent="0.3">
      <c r="A193" s="27">
        <f t="shared" si="3"/>
        <v>187</v>
      </c>
      <c r="B193" s="7">
        <v>45380</v>
      </c>
      <c r="C193" s="8" t="s">
        <v>259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4 X 25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600</v>
      </c>
      <c r="H193" s="11">
        <v>64</v>
      </c>
      <c r="I193" s="8"/>
      <c r="J193" s="8" t="s">
        <v>3800</v>
      </c>
      <c r="K193" s="15">
        <v>38400</v>
      </c>
      <c r="L193" s="11"/>
      <c r="M193" s="49">
        <f>IFERROR(VLOOKUP(C193,REKAP[[#All],[ID]:[Stok Akhir]],15,FALSE), "")</f>
        <v>28</v>
      </c>
    </row>
    <row r="194" spans="1:13" ht="16.5" thickTop="1" thickBot="1" x14ac:dyDescent="0.3">
      <c r="A194" s="27">
        <f t="shared" si="3"/>
        <v>188</v>
      </c>
      <c r="B194" s="7">
        <v>45380</v>
      </c>
      <c r="C194" s="8" t="s">
        <v>455</v>
      </c>
      <c r="D194" s="16" t="str">
        <f>IFERROR(VLOOKUP(C194,REKAP[[#All],[ID]:[Stok Akhir]],2,FALSE), "")</f>
        <v>Baut JFL</v>
      </c>
      <c r="E194" s="16" t="str">
        <f>IFERROR(VLOOKUP(C194,REKAP[[#All],[ID]:[Stok Akhir]],4,FALSE), "")</f>
        <v>M 5 X 10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500</v>
      </c>
      <c r="H194" s="11">
        <v>80</v>
      </c>
      <c r="I194" s="8"/>
      <c r="J194" s="8" t="s">
        <v>3922</v>
      </c>
      <c r="K194" s="15">
        <v>40000</v>
      </c>
      <c r="L194" s="11"/>
      <c r="M194" s="49">
        <f>IFERROR(VLOOKUP(C194,REKAP[[#All],[ID]:[Stok Akhir]],15,FALSE), "")</f>
        <v>69</v>
      </c>
    </row>
    <row r="195" spans="1:13" ht="16.5" thickTop="1" thickBot="1" x14ac:dyDescent="0.3">
      <c r="A195" s="27">
        <f t="shared" si="3"/>
        <v>189</v>
      </c>
      <c r="B195" s="7">
        <v>45380</v>
      </c>
      <c r="C195" s="8" t="s">
        <v>457</v>
      </c>
      <c r="D195" s="16" t="str">
        <f>IFERROR(VLOOKUP(C195,REKAP[[#All],[ID]:[Stok Akhir]],2,FALSE), "")</f>
        <v>Baut JFL</v>
      </c>
      <c r="E195" s="16" t="str">
        <f>IFERROR(VLOOKUP(C195,REKAP[[#All],[ID]:[Stok Akhir]],4,FALSE), "")</f>
        <v>M 5 X 16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400</v>
      </c>
      <c r="H195" s="11">
        <v>16</v>
      </c>
      <c r="I195" s="8"/>
      <c r="J195" s="8" t="s">
        <v>3801</v>
      </c>
      <c r="K195" s="15">
        <v>6400</v>
      </c>
      <c r="L195" s="11"/>
      <c r="M195" s="49">
        <f>IFERROR(VLOOKUP(C195,REKAP[[#All],[ID]:[Stok Akhir]],15,FALSE), "")</f>
        <v>56</v>
      </c>
    </row>
    <row r="196" spans="1:13" ht="16.5" thickTop="1" thickBot="1" x14ac:dyDescent="0.3">
      <c r="A196" s="27">
        <f t="shared" si="3"/>
        <v>190</v>
      </c>
      <c r="B196" s="7">
        <v>45380</v>
      </c>
      <c r="C196" s="8" t="s">
        <v>456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 xml:space="preserve">M 5 X 12 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12</v>
      </c>
      <c r="I196" s="8"/>
      <c r="J196" s="8" t="s">
        <v>3922</v>
      </c>
      <c r="K196" s="15">
        <v>6000</v>
      </c>
      <c r="L196" s="11"/>
      <c r="M196" s="49">
        <f>IFERROR(VLOOKUP(C196,REKAP[[#All],[ID]:[Stok Akhir]],15,FALSE), "")</f>
        <v>31</v>
      </c>
    </row>
    <row r="197" spans="1:13" ht="16.5" thickTop="1" thickBot="1" x14ac:dyDescent="0.3">
      <c r="A197" s="27">
        <f t="shared" si="3"/>
        <v>191</v>
      </c>
      <c r="B197" s="7">
        <v>45380</v>
      </c>
      <c r="C197" s="8" t="s">
        <v>360</v>
      </c>
      <c r="D197" s="16" t="str">
        <f>IFERROR(VLOOKUP(C197,REKAP[[#All],[ID]:[Stok Akhir]],2,FALSE), "")</f>
        <v>Baut LPK</v>
      </c>
      <c r="E197" s="16" t="str">
        <f>IFERROR(VLOOKUP(C197,REKAP[[#All],[ID]:[Stok Akhir]],4,FALSE), "")</f>
        <v>M 12 X 40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3750</v>
      </c>
      <c r="H197" s="11">
        <v>10</v>
      </c>
      <c r="I197" s="8"/>
      <c r="J197" s="8" t="s">
        <v>3787</v>
      </c>
      <c r="K197" s="15">
        <v>37500</v>
      </c>
      <c r="L197" s="11"/>
      <c r="M197" s="49">
        <f>IFERROR(VLOOKUP(C197,REKAP[[#All],[ID]:[Stok Akhir]],15,FALSE), "")</f>
        <v>7</v>
      </c>
    </row>
    <row r="198" spans="1:13" ht="16.5" thickTop="1" thickBot="1" x14ac:dyDescent="0.3">
      <c r="A198" s="27">
        <f t="shared" si="3"/>
        <v>192</v>
      </c>
      <c r="B198" s="7">
        <v>45380</v>
      </c>
      <c r="C198" s="8" t="s">
        <v>312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8 X 40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2000</v>
      </c>
      <c r="H198" s="11">
        <v>8</v>
      </c>
      <c r="I198" s="8"/>
      <c r="J198" s="8" t="s">
        <v>3787</v>
      </c>
      <c r="K198" s="15">
        <v>16000</v>
      </c>
      <c r="L198" s="11"/>
      <c r="M198" s="49">
        <f>IFERROR(VLOOKUP(C198,REKAP[[#All],[ID]:[Stok Akhir]],15,FALSE), "")</f>
        <v>12</v>
      </c>
    </row>
    <row r="199" spans="1:13" ht="16.5" thickTop="1" thickBot="1" x14ac:dyDescent="0.3">
      <c r="A199" s="27">
        <f t="shared" si="3"/>
        <v>193</v>
      </c>
      <c r="B199" s="7">
        <v>45380</v>
      </c>
      <c r="C199" s="8" t="s">
        <v>310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8 X 30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2000</v>
      </c>
      <c r="H199" s="11">
        <v>6</v>
      </c>
      <c r="I199" s="8"/>
      <c r="J199" s="8" t="s">
        <v>3787</v>
      </c>
      <c r="K199" s="15">
        <v>12000</v>
      </c>
      <c r="L199" s="11"/>
      <c r="M199" s="49">
        <f>IFERROR(VLOOKUP(C199,REKAP[[#All],[ID]:[Stok Akhir]],15,FALSE), "")</f>
        <v>15</v>
      </c>
    </row>
    <row r="200" spans="1:13" ht="16.5" thickTop="1" thickBot="1" x14ac:dyDescent="0.3">
      <c r="A200" s="27">
        <f t="shared" si="3"/>
        <v>194</v>
      </c>
      <c r="B200" s="7">
        <v>45380</v>
      </c>
      <c r="C200" s="8" t="s">
        <v>316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60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2350</v>
      </c>
      <c r="H200" s="11">
        <v>24</v>
      </c>
      <c r="I200" s="8"/>
      <c r="J200" s="8" t="s">
        <v>3802</v>
      </c>
      <c r="K200" s="15">
        <v>56400</v>
      </c>
      <c r="L200" s="11"/>
      <c r="M200" s="49">
        <f>IFERROR(VLOOKUP(C200,REKAP[[#All],[ID]:[Stok Akhir]],15,FALSE), "")</f>
        <v>39</v>
      </c>
    </row>
    <row r="201" spans="1:13" ht="16.5" thickTop="1" thickBot="1" x14ac:dyDescent="0.3">
      <c r="A201" s="27">
        <f t="shared" si="3"/>
        <v>195</v>
      </c>
      <c r="B201" s="7">
        <v>45380</v>
      </c>
      <c r="C201" s="8" t="s">
        <v>308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 xml:space="preserve">M 8 X 20 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1300</v>
      </c>
      <c r="H201" s="11">
        <v>24</v>
      </c>
      <c r="I201" s="8"/>
      <c r="J201" s="8" t="s">
        <v>3803</v>
      </c>
      <c r="K201" s="15">
        <v>31200</v>
      </c>
      <c r="L201" s="11"/>
      <c r="M201" s="49">
        <f>IFERROR(VLOOKUP(C201,REKAP[[#All],[ID]:[Stok Akhir]],15,FALSE), "")</f>
        <v>53</v>
      </c>
    </row>
    <row r="202" spans="1:13" ht="16.5" thickTop="1" thickBot="1" x14ac:dyDescent="0.3">
      <c r="A202" s="27">
        <f t="shared" si="3"/>
        <v>196</v>
      </c>
      <c r="B202" s="7">
        <v>45380</v>
      </c>
      <c r="C202" s="8" t="s">
        <v>295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6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1400</v>
      </c>
      <c r="H202" s="11">
        <v>16</v>
      </c>
      <c r="I202" s="8"/>
      <c r="J202" s="8" t="s">
        <v>3802</v>
      </c>
      <c r="K202" s="15">
        <v>22400</v>
      </c>
      <c r="L202" s="11"/>
      <c r="M202" s="49">
        <f>IFERROR(VLOOKUP(C202,REKAP[[#All],[ID]:[Stok Akhir]],15,FALSE), "")</f>
        <v>17</v>
      </c>
    </row>
    <row r="203" spans="1:13" ht="16.5" thickTop="1" thickBot="1" x14ac:dyDescent="0.3">
      <c r="A203" s="27">
        <f t="shared" si="3"/>
        <v>197</v>
      </c>
      <c r="B203" s="7">
        <v>45380</v>
      </c>
      <c r="C203" s="8" t="s">
        <v>333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>M 10 X 35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2500</v>
      </c>
      <c r="H203" s="11">
        <v>4</v>
      </c>
      <c r="I203" s="8"/>
      <c r="J203" s="8" t="s">
        <v>3787</v>
      </c>
      <c r="K203" s="15">
        <v>10000</v>
      </c>
      <c r="L203" s="11"/>
      <c r="M203" s="49">
        <f>IFERROR(VLOOKUP(C203,REKAP[[#All],[ID]:[Stok Akhir]],15,FALSE), "")</f>
        <v>16</v>
      </c>
    </row>
    <row r="204" spans="1:13" ht="16.5" thickTop="1" thickBot="1" x14ac:dyDescent="0.3">
      <c r="A204" s="27">
        <f t="shared" si="3"/>
        <v>198</v>
      </c>
      <c r="B204" s="7">
        <v>45380</v>
      </c>
      <c r="C204" s="8" t="s">
        <v>472</v>
      </c>
      <c r="D204" s="16" t="str">
        <f>IFERROR(VLOOKUP(C204,REKAP[[#All],[ID]:[Stok Akhir]],2,FALSE), "")</f>
        <v>Baut JFL</v>
      </c>
      <c r="E204" s="16" t="str">
        <f>IFERROR(VLOOKUP(C204,REKAP[[#All],[ID]:[Stok Akhir]],4,FALSE), "")</f>
        <v xml:space="preserve">M 8 X 20  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1350</v>
      </c>
      <c r="H204" s="11">
        <v>16</v>
      </c>
      <c r="I204" s="8"/>
      <c r="J204" s="8" t="s">
        <v>3787</v>
      </c>
      <c r="K204" s="15">
        <v>21600</v>
      </c>
      <c r="L204" s="11"/>
      <c r="M204" s="49">
        <f>IFERROR(VLOOKUP(C204,REKAP[[#All],[ID]:[Stok Akhir]],15,FALSE), "")</f>
        <v>25</v>
      </c>
    </row>
    <row r="205" spans="1:13" ht="16.5" thickTop="1" thickBot="1" x14ac:dyDescent="0.3">
      <c r="A205" s="27">
        <f t="shared" si="3"/>
        <v>199</v>
      </c>
      <c r="B205" s="7">
        <v>45380</v>
      </c>
      <c r="C205" s="8" t="s">
        <v>523</v>
      </c>
      <c r="D205" s="16" t="str">
        <f>IFERROR(VLOOKUP(C205,REKAP[[#All],[ID]:[Stok Akhir]],2,FALSE), "")</f>
        <v>Baut Tanam</v>
      </c>
      <c r="E205" s="16" t="str">
        <f>IFERROR(VLOOKUP(C205,REKAP[[#All],[ID]:[Stok Akhir]],4,FALSE), "")</f>
        <v xml:space="preserve">M 10 x 10 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1500</v>
      </c>
      <c r="H205" s="11">
        <v>14</v>
      </c>
      <c r="I205" s="8"/>
      <c r="J205" s="8" t="s">
        <v>3787</v>
      </c>
      <c r="K205" s="15">
        <v>21000</v>
      </c>
      <c r="L205" s="11"/>
      <c r="M205" s="49">
        <f>IFERROR(VLOOKUP(C205,REKAP[[#All],[ID]:[Stok Akhir]],15,FALSE), "")</f>
        <v>13</v>
      </c>
    </row>
    <row r="206" spans="1:13" ht="16.5" thickTop="1" thickBot="1" x14ac:dyDescent="0.3">
      <c r="A206" s="27">
        <f t="shared" si="3"/>
        <v>200</v>
      </c>
      <c r="B206" s="7">
        <v>45381</v>
      </c>
      <c r="C206" s="8" t="s">
        <v>737</v>
      </c>
      <c r="D206" s="16" t="str">
        <f>IFERROR(VLOOKUP(C206,REKAP[[#All],[ID]:[Stok Akhir]],2,FALSE), "")</f>
        <v>Gerinda Ampelas 4"</v>
      </c>
      <c r="E206" s="16" t="str">
        <f>IFERROR(VLOOKUP(C206,REKAP[[#All],[ID]:[Stok Akhir]],4,FALSE), "")</f>
        <v>#240</v>
      </c>
      <c r="F206" s="16" t="str">
        <f>IFERROR(VLOOKUP(C206,REKAP[[#All],[ID]:[Stok Akhir]],6,FALSE),"")</f>
        <v>Bahan Pembantu</v>
      </c>
      <c r="G206" s="15">
        <f>IFERROR(VLOOKUP(C206,REKAP[[#All],[ID]:[Stok Akhir]],8,FALSE),"")</f>
        <v>15000</v>
      </c>
      <c r="H206" s="11">
        <v>5</v>
      </c>
      <c r="I206" s="8"/>
      <c r="J206" s="8"/>
      <c r="K206" s="15">
        <v>75000</v>
      </c>
      <c r="L206" s="11" t="s">
        <v>3758</v>
      </c>
      <c r="M206" s="49">
        <f>IFERROR(VLOOKUP(C206,REKAP[[#All],[ID]:[Stok Akhir]],15,FALSE), "")</f>
        <v>6</v>
      </c>
    </row>
    <row r="207" spans="1:13" ht="16.5" thickTop="1" thickBot="1" x14ac:dyDescent="0.3">
      <c r="A207" s="27">
        <f t="shared" si="3"/>
        <v>201</v>
      </c>
      <c r="B207" s="7">
        <v>45381</v>
      </c>
      <c r="C207" s="8" t="s">
        <v>530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12 x 12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3000</v>
      </c>
      <c r="H207" s="11">
        <v>10</v>
      </c>
      <c r="I207" s="8"/>
      <c r="J207" s="8" t="s">
        <v>3787</v>
      </c>
      <c r="K207" s="15">
        <v>30000</v>
      </c>
      <c r="L207" s="11"/>
      <c r="M207" s="49">
        <f>IFERROR(VLOOKUP(C207,REKAP[[#All],[ID]:[Stok Akhir]],15,FALSE), "")</f>
        <v>12</v>
      </c>
    </row>
    <row r="208" spans="1:13" ht="16.5" thickTop="1" thickBot="1" x14ac:dyDescent="0.3">
      <c r="A208" s="27">
        <f t="shared" si="3"/>
        <v>202</v>
      </c>
      <c r="B208" s="7">
        <v>45381</v>
      </c>
      <c r="C208" s="8" t="s">
        <v>309</v>
      </c>
      <c r="D208" s="16" t="str">
        <f>IFERROR(VLOOKUP(C208,REKAP[[#All],[ID]:[Stok Akhir]],2,FALSE), "")</f>
        <v>Baut LPK</v>
      </c>
      <c r="E208" s="16" t="str">
        <f>IFERROR(VLOOKUP(C208,REKAP[[#All],[ID]:[Stok Akhir]],4,FALSE), "")</f>
        <v>M 8 X 25</v>
      </c>
      <c r="F208" s="16" t="str">
        <f>IFERROR(VLOOKUP(C208,REKAP[[#All],[ID]:[Stok Akhir]],6,FALSE),"")</f>
        <v>Mur &amp; Baut</v>
      </c>
      <c r="G208" s="15">
        <f>IFERROR(VLOOKUP(C208,REKAP[[#All],[ID]:[Stok Akhir]],8,FALSE),"")</f>
        <v>1500</v>
      </c>
      <c r="H208" s="11">
        <v>16</v>
      </c>
      <c r="I208" s="8"/>
      <c r="J208" s="8" t="s">
        <v>3802</v>
      </c>
      <c r="K208" s="15">
        <v>24000</v>
      </c>
      <c r="L208" s="11"/>
      <c r="M208" s="49">
        <f>IFERROR(VLOOKUP(C208,REKAP[[#All],[ID]:[Stok Akhir]],15,FALSE), "")</f>
        <v>15</v>
      </c>
    </row>
    <row r="209" spans="1:13" ht="16.5" thickTop="1" thickBot="1" x14ac:dyDescent="0.3">
      <c r="A209" s="27">
        <f t="shared" si="3"/>
        <v>203</v>
      </c>
      <c r="B209" s="7">
        <v>45381</v>
      </c>
      <c r="C209" s="8" t="s">
        <v>463</v>
      </c>
      <c r="D209" s="16" t="str">
        <f>IFERROR(VLOOKUP(C209,REKAP[[#All],[ID]:[Stok Akhir]],2,FALSE), "")</f>
        <v>Baut JFL</v>
      </c>
      <c r="E209" s="16" t="str">
        <f>IFERROR(VLOOKUP(C209,REKAP[[#All],[ID]:[Stok Akhir]],4,FALSE), "")</f>
        <v>M 6 X 15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1000</v>
      </c>
      <c r="H209" s="11">
        <v>4</v>
      </c>
      <c r="I209" s="8"/>
      <c r="J209" s="8" t="s">
        <v>3797</v>
      </c>
      <c r="K209" s="15">
        <v>4000</v>
      </c>
      <c r="L209" s="11"/>
      <c r="M209" s="49">
        <f>IFERROR(VLOOKUP(C209,REKAP[[#All],[ID]:[Stok Akhir]],15,FALSE), "")</f>
        <v>27</v>
      </c>
    </row>
    <row r="210" spans="1:13" ht="16.5" thickTop="1" thickBot="1" x14ac:dyDescent="0.3">
      <c r="A210" s="27">
        <f t="shared" si="3"/>
        <v>204</v>
      </c>
      <c r="B210" s="7">
        <v>45381</v>
      </c>
      <c r="C210" s="8" t="s">
        <v>267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5 X 15/16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500</v>
      </c>
      <c r="H210" s="11">
        <v>10</v>
      </c>
      <c r="I210" s="8"/>
      <c r="J210" s="8" t="s">
        <v>3802</v>
      </c>
      <c r="K210" s="15">
        <v>5000</v>
      </c>
      <c r="L210" s="11"/>
      <c r="M210" s="49">
        <f>IFERROR(VLOOKUP(C210,REKAP[[#All],[ID]:[Stok Akhir]],15,FALSE), "")</f>
        <v>68</v>
      </c>
    </row>
    <row r="211" spans="1:13" ht="16.5" thickTop="1" thickBot="1" x14ac:dyDescent="0.3">
      <c r="A211" s="27">
        <f t="shared" si="3"/>
        <v>205</v>
      </c>
      <c r="B211" s="7">
        <v>45381</v>
      </c>
      <c r="C211" s="8" t="s">
        <v>1033</v>
      </c>
      <c r="D211" s="16" t="str">
        <f>IFERROR(VLOOKUP(C211,REKAP[[#All],[ID]:[Stok Akhir]],2,FALSE), "")</f>
        <v>Ejector Pin</v>
      </c>
      <c r="E211" s="16" t="str">
        <f>IFERROR(VLOOKUP(C211,REKAP[[#All],[ID]:[Stok Akhir]],4,FALSE), "")</f>
        <v>EPC-4-100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5015</v>
      </c>
      <c r="H211" s="11">
        <v>3</v>
      </c>
      <c r="I211" s="8"/>
      <c r="J211" s="8" t="s">
        <v>3799</v>
      </c>
      <c r="K211" s="15">
        <v>15045</v>
      </c>
      <c r="L211" s="11"/>
      <c r="M211" s="49">
        <f>IFERROR(VLOOKUP(C211,REKAP[[#All],[ID]:[Stok Akhir]],15,FALSE), "")</f>
        <v>0</v>
      </c>
    </row>
    <row r="212" spans="1:13" ht="16.5" thickTop="1" thickBot="1" x14ac:dyDescent="0.3">
      <c r="A212" s="27">
        <f t="shared" si="3"/>
        <v>206</v>
      </c>
      <c r="B212" s="7">
        <v>45381</v>
      </c>
      <c r="C212" s="8" t="s">
        <v>1045</v>
      </c>
      <c r="D212" s="16" t="str">
        <f>IFERROR(VLOOKUP(C212,REKAP[[#All],[ID]:[Stok Akhir]],2,FALSE), "")</f>
        <v>Ejector Pin</v>
      </c>
      <c r="E212" s="16" t="str">
        <f>IFERROR(VLOOKUP(C212,REKAP[[#All],[ID]:[Stok Akhir]],4,FALSE), "")</f>
        <v>EPC-6-100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8331</v>
      </c>
      <c r="H212" s="11">
        <v>2</v>
      </c>
      <c r="I212" s="8"/>
      <c r="J212" s="8" t="s">
        <v>3799</v>
      </c>
      <c r="K212" s="15">
        <v>16662</v>
      </c>
      <c r="L212" s="11"/>
      <c r="M212" s="49">
        <f>IFERROR(VLOOKUP(C212,REKAP[[#All],[ID]:[Stok Akhir]],15,FALSE), "")</f>
        <v>0</v>
      </c>
    </row>
    <row r="213" spans="1:13" ht="16.5" thickTop="1" thickBot="1" x14ac:dyDescent="0.3">
      <c r="A213" s="27">
        <f t="shared" si="3"/>
        <v>207</v>
      </c>
      <c r="B213" s="7">
        <v>45381</v>
      </c>
      <c r="C213" s="8" t="s">
        <v>1016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EPC-2-100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1961</v>
      </c>
      <c r="H213" s="11">
        <v>15</v>
      </c>
      <c r="I213" s="8"/>
      <c r="J213" s="8" t="s">
        <v>3799</v>
      </c>
      <c r="K213" s="15">
        <v>29415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 t="shared" si="3"/>
        <v>208</v>
      </c>
      <c r="B214" s="7">
        <v>45381</v>
      </c>
      <c r="C214" s="8" t="s">
        <v>1132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EPD-5-100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19000</v>
      </c>
      <c r="H214" s="11">
        <v>8</v>
      </c>
      <c r="I214" s="8"/>
      <c r="J214" s="8" t="s">
        <v>3759</v>
      </c>
      <c r="K214" s="15">
        <v>152000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 t="shared" si="3"/>
        <v>209</v>
      </c>
      <c r="B215" s="7">
        <v>45381</v>
      </c>
      <c r="C215" s="8" t="s">
        <v>3804</v>
      </c>
      <c r="D215" s="16" t="str">
        <f>IFERROR(VLOOKUP(C215,REKAP[[#All],[ID]:[Stok Akhir]],2,FALSE), "")</f>
        <v>Guide Bush</v>
      </c>
      <c r="E215" s="16" t="str">
        <f>IFERROR(VLOOKUP(C215,REKAP[[#All],[ID]:[Stok Akhir]],4,FALSE), "")</f>
        <v>SPWS 16-95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0</v>
      </c>
      <c r="H215" s="11">
        <v>2</v>
      </c>
      <c r="I215" s="8"/>
      <c r="J215" s="8" t="s">
        <v>3799</v>
      </c>
      <c r="K215" s="15">
        <v>0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 t="shared" si="3"/>
        <v>210</v>
      </c>
      <c r="B216" s="7">
        <v>45381</v>
      </c>
      <c r="C216" s="8" t="s">
        <v>1194</v>
      </c>
      <c r="D216" s="16" t="str">
        <f>IFERROR(VLOOKUP(C216,REKAP[[#All],[ID]:[Stok Akhir]],2,FALSE), "")</f>
        <v>Eye Bolt</v>
      </c>
      <c r="E216" s="16" t="str">
        <f>IFERROR(VLOOKUP(C216,REKAP[[#All],[ID]:[Stok Akhir]],4,FALSE), "")</f>
        <v>BLE-12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40000</v>
      </c>
      <c r="H216" s="11">
        <v>2</v>
      </c>
      <c r="I216" s="8"/>
      <c r="J216" s="8" t="s">
        <v>3799</v>
      </c>
      <c r="K216" s="15">
        <v>80000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 t="shared" si="3"/>
        <v>211</v>
      </c>
      <c r="B217" s="7">
        <v>45381</v>
      </c>
      <c r="C217" s="8" t="s">
        <v>1204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GBET 16-15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110000</v>
      </c>
      <c r="H217" s="11">
        <v>2</v>
      </c>
      <c r="I217" s="8"/>
      <c r="J217" s="8" t="s">
        <v>3799</v>
      </c>
      <c r="K217" s="15">
        <v>220000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 t="shared" si="3"/>
        <v>212</v>
      </c>
      <c r="B218" s="7">
        <v>45381</v>
      </c>
      <c r="C218" s="8" t="s">
        <v>1302</v>
      </c>
      <c r="D218" s="16" t="str">
        <f>IFERROR(VLOOKUP(C218,REKAP[[#All],[ID]:[Stok Akhir]],2,FALSE), "")</f>
        <v>Quick Fitting</v>
      </c>
      <c r="E218" s="16" t="str">
        <f>IFERROR(VLOOKUP(C218,REKAP[[#All],[ID]:[Stok Akhir]],4,FALSE), "")</f>
        <v>QFT 02-10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25000</v>
      </c>
      <c r="H218" s="11">
        <v>8</v>
      </c>
      <c r="I218" s="8"/>
      <c r="J218" s="8" t="s">
        <v>3799</v>
      </c>
      <c r="K218" s="15">
        <v>200000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 t="shared" si="3"/>
        <v>213</v>
      </c>
      <c r="B219" s="7">
        <v>45381</v>
      </c>
      <c r="C219" s="8" t="s">
        <v>1335</v>
      </c>
      <c r="D219" s="16" t="str">
        <f>IFERROR(VLOOKUP(C219,REKAP[[#All],[ID]:[Stok Akhir]],2,FALSE), "")</f>
        <v>Spring</v>
      </c>
      <c r="E219" s="16" t="str">
        <f>IFERROR(VLOOKUP(C219,REKAP[[#All],[ID]:[Stok Akhir]],4,FALSE), "")</f>
        <v>CSF 25-60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38000</v>
      </c>
      <c r="H219" s="11">
        <v>4</v>
      </c>
      <c r="I219" s="8"/>
      <c r="J219" s="8" t="s">
        <v>3799</v>
      </c>
      <c r="K219" s="15">
        <v>152000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 t="shared" si="3"/>
        <v>214</v>
      </c>
      <c r="B220" s="7">
        <v>45381</v>
      </c>
      <c r="C220" s="8" t="s">
        <v>3806</v>
      </c>
      <c r="D220" s="16" t="str">
        <f>IFERROR(VLOOKUP(C220,REKAP[[#All],[ID]:[Stok Akhir]],2,FALSE), "")</f>
        <v>HANDLE RODA LEVELING</v>
      </c>
      <c r="E220" s="16" t="str">
        <f>IFERROR(VLOOKUP(C220,REKAP[[#All],[ID]:[Stok Akhir]],4,FALSE), "")</f>
        <v>HANDLE WA-100</v>
      </c>
      <c r="F220" s="16" t="str">
        <f>IFERROR(VLOOKUP(C220,REKAP[[#All],[ID]:[Stok Akhir]],6,FALSE),"")</f>
        <v>Barang Jadi</v>
      </c>
      <c r="G220" s="15">
        <f>IFERROR(VLOOKUP(C220,REKAP[[#All],[ID]:[Stok Akhir]],8,FALSE),"")</f>
        <v>0</v>
      </c>
      <c r="H220" s="11">
        <v>3</v>
      </c>
      <c r="I220" s="8"/>
      <c r="J220" s="8" t="s">
        <v>3762</v>
      </c>
      <c r="K220" s="15">
        <v>0</v>
      </c>
      <c r="L220" s="11"/>
      <c r="M220" s="49">
        <f>IFERROR(VLOOKUP(C220,REKAP[[#All],[ID]:[Stok Akhir]],15,FALSE), "")</f>
        <v>0</v>
      </c>
    </row>
    <row r="221" spans="1:13" ht="16.5" thickTop="1" thickBot="1" x14ac:dyDescent="0.3">
      <c r="A221" s="27">
        <f t="shared" si="3"/>
        <v>215</v>
      </c>
      <c r="B221" s="7"/>
      <c r="C221" s="8"/>
      <c r="D221" s="16" t="str">
        <f>IFERROR(VLOOKUP(C221,REKAP[[#All],[ID]:[Stok Akhir]],2,FALSE), "")</f>
        <v/>
      </c>
      <c r="E221" s="16" t="str">
        <f>IFERROR(VLOOKUP(C221,REKAP[[#All],[ID]:[Stok Akhir]],4,FALSE), "")</f>
        <v/>
      </c>
      <c r="F221" s="16" t="str">
        <f>IFERROR(VLOOKUP(C221,REKAP[[#All],[ID]:[Stok Akhir]],6,FALSE),"")</f>
        <v/>
      </c>
      <c r="G221" s="15" t="str">
        <f>IFERROR(VLOOKUP(C221,REKAP[[#All],[ID]:[Stok Akhir]],8,FALSE),"")</f>
        <v/>
      </c>
      <c r="H221" s="11"/>
      <c r="I221" s="8"/>
      <c r="J221" s="8"/>
      <c r="K221" s="15">
        <v>414000</v>
      </c>
      <c r="L221" s="11"/>
      <c r="M221" s="49" t="str">
        <f>IFERROR(VLOOKUP(C221,REKAP[[#All],[ID]:[Stok Akhir]],15,FALSE), "")</f>
        <v/>
      </c>
    </row>
    <row r="222" spans="1:13" ht="16.5" thickTop="1" thickBot="1" x14ac:dyDescent="0.3">
      <c r="A222" s="27">
        <f t="shared" si="3"/>
        <v>216</v>
      </c>
      <c r="B222" s="7"/>
      <c r="C222" s="8"/>
      <c r="D222" s="16" t="str">
        <f>IFERROR(VLOOKUP(C222,REKAP[[#All],[ID]:[Stok Akhir]],2,FALSE), "")</f>
        <v/>
      </c>
      <c r="E222" s="16" t="str">
        <f>IFERROR(VLOOKUP(C222,REKAP[[#All],[ID]:[Stok Akhir]],4,FALSE), "")</f>
        <v/>
      </c>
      <c r="F222" s="16" t="str">
        <f>IFERROR(VLOOKUP(C222,REKAP[[#All],[ID]:[Stok Akhir]],6,FALSE),"")</f>
        <v/>
      </c>
      <c r="G222" s="15" t="str">
        <f>IFERROR(VLOOKUP(C222,REKAP[[#All],[ID]:[Stok Akhir]],8,FALSE),"")</f>
        <v/>
      </c>
      <c r="H222" s="11"/>
      <c r="I222" s="8"/>
      <c r="J222" s="8"/>
      <c r="K222" s="15">
        <v>95000</v>
      </c>
      <c r="L222" s="11"/>
      <c r="M222" s="49" t="str">
        <f>IFERROR(VLOOKUP(C222,REKAP[[#All],[ID]:[Stok Akhir]],15,FALSE), "")</f>
        <v/>
      </c>
    </row>
    <row r="223" spans="1:13" ht="16.5" thickTop="1" thickBot="1" x14ac:dyDescent="0.3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 t="shared" si="3"/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 t="shared" si="3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 t="shared" ref="A244:A307" si="4">ROW()-ROW($A$6)</f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 t="shared" si="4"/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 t="shared" si="4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 t="shared" ref="A308:A371" si="5">ROW()-ROW($A$6)</f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 t="shared" si="5"/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 t="shared" si="5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 t="shared" ref="A372:A435" si="6">ROW()-ROW($A$6)</f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 t="shared" ref="A436:A499" si="7"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 t="shared" ref="A500:A563" si="8"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 t="shared" ref="A564:A627" si="9"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 t="shared" ref="A628:A691" si="10"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 t="shared" ref="A692:A755" si="11"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 t="shared" ref="A756:A819" si="12"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 t="shared" ref="A820:A883" si="13"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 t="shared" ref="A884:A947" si="14"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 t="shared" ref="A948:A1011" si="15"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 t="shared" ref="A1012:A1075" si="16"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 t="shared" ref="A1076:A1139" si="17"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 t="shared" ref="A1140:A1204" si="18"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D454" sqref="D454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56" t="s">
        <v>3908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</row>
    <row r="2" spans="1:16" ht="31.5" thickBot="1" x14ac:dyDescent="0.3">
      <c r="A2" s="157" t="s">
        <v>3331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3855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428</v>
      </c>
      <c r="C5" s="19" cm="1">
        <f t="array" ref="C5">SUMPRODUCT((MASUK8[Kode Barang]&lt;&gt;"")+0)</f>
        <v>428</v>
      </c>
      <c r="D5" s="19" cm="1">
        <f t="array" ref="D5">SUMPRODUCT((MASUK8[Nama Barang]&lt;&gt;"")+0)</f>
        <v>428</v>
      </c>
      <c r="E5" s="19" cm="1">
        <f t="array" ref="E5">SUMPRODUCT((MASUK8[Spesifikasi /
Catalogue Code]&lt;&gt;"")+0)</f>
        <v>428</v>
      </c>
      <c r="F5" s="19" cm="1">
        <f t="array" ref="F5">SUMPRODUCT((MASUK8[Kategori]&lt;&gt;"")+0)</f>
        <v>428</v>
      </c>
      <c r="G5" s="19" cm="1">
        <f t="array" ref="G5">SUMPRODUCT((MASUK8[Harga Satuan]&lt;&gt;"")+0)</f>
        <v>428</v>
      </c>
      <c r="H5" s="19" cm="1">
        <f t="array" ref="H5">SUMPRODUCT((MASUK8[Jumlah Keluar]&lt;&gt;"")+0)</f>
        <v>428</v>
      </c>
      <c r="I5" s="19" cm="1">
        <f t="array" ref="I5">SUMPRODUCT((MASUK8[Pengambil]&lt;&gt;"")+0)</f>
        <v>420</v>
      </c>
      <c r="J5" s="19" cm="1">
        <f t="array" ref="J5">SUMPRODUCT((MASUK8[Project]&lt;&gt;"")+0)</f>
        <v>403</v>
      </c>
      <c r="K5" s="19"/>
      <c r="L5" s="19"/>
      <c r="M5" s="19" cm="1">
        <f t="array" ref="M5">SUMPRODUCT((MASUK8[Sisa Stok]&lt;&gt;"")+0)</f>
        <v>428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3848</v>
      </c>
    </row>
    <row r="7" spans="1:16" ht="16.5" customHeight="1" thickBot="1" x14ac:dyDescent="0.3">
      <c r="A7" s="26">
        <f t="shared" ref="A7:A70" si="0">ROW()-ROW($A$6)</f>
        <v>1</v>
      </c>
      <c r="B7" s="13">
        <v>45351</v>
      </c>
      <c r="C7" s="9" t="s">
        <v>463</v>
      </c>
      <c r="D7" s="39" t="str">
        <f>IFERROR(VLOOKUP(C7,REKAP[[#All],[ID]:[Stok Akhir]],2,FALSE), "")</f>
        <v>Baut JFL</v>
      </c>
      <c r="E7" s="39" t="str">
        <f>IFERROR(VLOOKUP(C7,REKAP[[#All],[ID]:[Stok Akhir]],4,FALSE), "")</f>
        <v>M 6 X 15</v>
      </c>
      <c r="F7" s="39" t="str">
        <f>IFERROR(VLOOKUP(C7,REKAP[[#All],[ID]:[Stok Akhir]],6,FALSE),"")</f>
        <v>Mur &amp; Baut</v>
      </c>
      <c r="G7" s="17">
        <f>IFERROR(VLOOKUP(C7,REKAP[[#All],[ID]:[Stok Akhir]],8,FALSE),"")</f>
        <v>1000</v>
      </c>
      <c r="H7" s="14">
        <v>8</v>
      </c>
      <c r="I7" s="9" t="s">
        <v>3825</v>
      </c>
      <c r="J7" s="9" t="s">
        <v>3892</v>
      </c>
      <c r="K7" s="15">
        <f>IFERROR(MASUK8[[#This Row],[Harga Satuan]]*MASUK8[[#This Row],[Jumlah Keluar]], "")</f>
        <v>8000</v>
      </c>
      <c r="L7" s="14"/>
      <c r="M7" s="46">
        <f>IFERROR(VLOOKUP(C7,REKAP[[#All],[ID]:[Stok Akhir]],15,FALSE),"")</f>
        <v>27</v>
      </c>
    </row>
    <row r="8" spans="1:16" ht="16.5" customHeight="1" thickTop="1" thickBot="1" x14ac:dyDescent="0.3">
      <c r="A8" s="27">
        <f t="shared" si="0"/>
        <v>2</v>
      </c>
      <c r="B8" s="7">
        <v>45351</v>
      </c>
      <c r="C8" s="8" t="s">
        <v>464</v>
      </c>
      <c r="D8" s="16" t="str">
        <f>IFERROR(VLOOKUP(C8,REKAP[[#All],[ID]:[Stok Akhir]],2,FALSE), "")</f>
        <v>Baut JFL</v>
      </c>
      <c r="E8" s="16" t="str">
        <f>IFERROR(VLOOKUP(C8,REKAP[[#All],[ID]:[Stok Akhir]],4,FALSE), "")</f>
        <v>M 6 X 20</v>
      </c>
      <c r="F8" s="16" t="str">
        <f>IFERROR(VLOOKUP(C8,REKAP[[#All],[ID]:[Stok Akhir]],6,FALSE),"")</f>
        <v>Mur &amp; Baut</v>
      </c>
      <c r="G8" s="15">
        <f>IFERROR(VLOOKUP(C8,REKAP[[#All],[ID]:[Stok Akhir]],8,FALSE),"")</f>
        <v>1000</v>
      </c>
      <c r="H8" s="11">
        <v>12</v>
      </c>
      <c r="I8" s="11"/>
      <c r="J8" s="11" t="s">
        <v>3924</v>
      </c>
      <c r="K8" s="15">
        <f>IFERROR(MASUK8[[#This Row],[Harga Satuan]]*MASUK8[[#This Row],[Jumlah Keluar]], "")</f>
        <v>12000</v>
      </c>
      <c r="L8" s="11"/>
      <c r="M8" s="47">
        <f>IFERROR(VLOOKUP(C8,REKAP[[#All],[ID]:[Stok Akhir]],15,FALSE),"")</f>
        <v>73</v>
      </c>
    </row>
    <row r="9" spans="1:16" ht="16.5" customHeight="1" thickTop="1" thickBot="1" x14ac:dyDescent="0.3">
      <c r="A9" s="27">
        <f t="shared" si="0"/>
        <v>3</v>
      </c>
      <c r="B9" s="7">
        <v>45351</v>
      </c>
      <c r="C9" s="8" t="s">
        <v>465</v>
      </c>
      <c r="D9" s="16" t="str">
        <f>IFERROR(VLOOKUP(C9,REKAP[[#All],[ID]:[Stok Akhir]],2,FALSE), "")</f>
        <v>Baut JFL</v>
      </c>
      <c r="E9" s="16" t="str">
        <f>IFERROR(VLOOKUP(C9,REKAP[[#All],[ID]:[Stok Akhir]],4,FALSE), "")</f>
        <v>M 6 X 25</v>
      </c>
      <c r="F9" s="16" t="str">
        <f>IFERROR(VLOOKUP(C9,REKAP[[#All],[ID]:[Stok Akhir]],6,FALSE),"")</f>
        <v>Mur &amp; Baut</v>
      </c>
      <c r="G9" s="15">
        <f>IFERROR(VLOOKUP(C9,REKAP[[#All],[ID]:[Stok Akhir]],8,FALSE),"")</f>
        <v>1000</v>
      </c>
      <c r="H9" s="11">
        <v>2</v>
      </c>
      <c r="I9" s="11"/>
      <c r="J9" s="11" t="s">
        <v>3924</v>
      </c>
      <c r="K9" s="15">
        <f>IFERROR(MASUK8[[#This Row],[Harga Satuan]]*MASUK8[[#This Row],[Jumlah Keluar]], "")</f>
        <v>2000</v>
      </c>
      <c r="L9" s="11"/>
      <c r="M9" s="47">
        <f>IFERROR(VLOOKUP(C9,REKAP[[#All],[ID]:[Stok Akhir]],15,FALSE),"")</f>
        <v>31</v>
      </c>
    </row>
    <row r="10" spans="1:16" ht="16.5" customHeight="1" thickTop="1" thickBot="1" x14ac:dyDescent="0.3">
      <c r="A10" s="27">
        <f t="shared" si="0"/>
        <v>4</v>
      </c>
      <c r="B10" s="7">
        <v>45351</v>
      </c>
      <c r="C10" s="8" t="s">
        <v>332</v>
      </c>
      <c r="D10" s="16" t="str">
        <f>IFERROR(VLOOKUP(C10,REKAP[[#All],[ID]:[Stok Akhir]],2,FALSE), "")</f>
        <v>Baut LPK</v>
      </c>
      <c r="E10" s="16" t="str">
        <f>IFERROR(VLOOKUP(C10,REKAP[[#All],[ID]:[Stok Akhir]],4,FALSE), "")</f>
        <v>M 10 X 30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2200</v>
      </c>
      <c r="H10" s="11">
        <v>4</v>
      </c>
      <c r="I10" s="11"/>
      <c r="J10" s="11"/>
      <c r="K10" s="15">
        <f>IFERROR(MASUK8[[#This Row],[Harga Satuan]]*MASUK8[[#This Row],[Jumlah Keluar]], "")</f>
        <v>8800</v>
      </c>
      <c r="L10" s="11"/>
      <c r="M10" s="47">
        <f>IFERROR(VLOOKUP(C10,REKAP[[#All],[ID]:[Stok Akhir]],15,FALSE),"")</f>
        <v>21</v>
      </c>
    </row>
    <row r="11" spans="1:16" ht="16.5" customHeight="1" thickTop="1" thickBot="1" x14ac:dyDescent="0.3">
      <c r="A11" s="27">
        <f t="shared" si="0"/>
        <v>5</v>
      </c>
      <c r="B11" s="7">
        <v>45352</v>
      </c>
      <c r="C11" s="8" t="s">
        <v>743</v>
      </c>
      <c r="D11" s="16" t="str">
        <f>IFERROR(VLOOKUP(C11,REKAP[[#All],[ID]:[Stok Akhir]],2,FALSE), "")</f>
        <v>Gerinda Potong 4" 1X25"</v>
      </c>
      <c r="E11" s="16" t="str">
        <f>IFERROR(VLOOKUP(C11,REKAP[[#All],[ID]:[Stok Akhir]],4,FALSE), "")</f>
        <v>4x1,25</v>
      </c>
      <c r="F11" s="16" t="str">
        <f>IFERROR(VLOOKUP(C11,REKAP[[#All],[ID]:[Stok Akhir]],6,FALSE),"")</f>
        <v>Bahan Pembantu</v>
      </c>
      <c r="G11" s="15">
        <f>IFERROR(VLOOKUP(C11,REKAP[[#All],[ID]:[Stok Akhir]],8,FALSE),"")</f>
        <v>4000</v>
      </c>
      <c r="H11" s="11">
        <v>1</v>
      </c>
      <c r="I11" s="11" t="s">
        <v>3674</v>
      </c>
      <c r="J11" s="11" t="s">
        <v>3675</v>
      </c>
      <c r="K11" s="15"/>
      <c r="L11" s="11" t="s">
        <v>3676</v>
      </c>
      <c r="M11" s="47">
        <f>IFERROR(VLOOKUP(C11,REKAP[[#All],[ID]:[Stok Akhir]],15,FALSE),"")</f>
        <v>3</v>
      </c>
    </row>
    <row r="12" spans="1:16" ht="16.5" customHeight="1" thickTop="1" thickBot="1" x14ac:dyDescent="0.3">
      <c r="A12" s="27">
        <f t="shared" si="0"/>
        <v>6</v>
      </c>
      <c r="B12" s="7">
        <v>45352</v>
      </c>
      <c r="C12" s="8" t="s">
        <v>788</v>
      </c>
      <c r="D12" s="16" t="str">
        <f>IFERROR(VLOOKUP(C12,REKAP[[#All],[ID]:[Stok Akhir]],2,FALSE), "")</f>
        <v>Sarung Tangan kain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2000</v>
      </c>
      <c r="H12" s="11">
        <v>1</v>
      </c>
      <c r="I12" s="11" t="s">
        <v>3674</v>
      </c>
      <c r="J12" s="11" t="s">
        <v>3675</v>
      </c>
      <c r="K12" s="15"/>
      <c r="L12" s="11" t="s">
        <v>3663</v>
      </c>
      <c r="M12" s="47">
        <f>IFERROR(VLOOKUP(C12,REKAP[[#All],[ID]:[Stok Akhir]],15,FALSE),"")</f>
        <v>0</v>
      </c>
    </row>
    <row r="13" spans="1:16" ht="16.5" customHeight="1" thickTop="1" thickBot="1" x14ac:dyDescent="0.3">
      <c r="A13" s="27">
        <f t="shared" si="0"/>
        <v>7</v>
      </c>
      <c r="B13" s="7">
        <v>45352</v>
      </c>
      <c r="C13" s="8" t="s">
        <v>791</v>
      </c>
      <c r="D13" s="16" t="str">
        <f>IFERROR(VLOOKUP(C13,REKAP[[#All],[ID]:[Stok Akhir]],2,FALSE), "")</f>
        <v>Seal tape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5000</v>
      </c>
      <c r="H13" s="11">
        <v>2</v>
      </c>
      <c r="I13" s="11" t="s">
        <v>3677</v>
      </c>
      <c r="J13" s="11" t="s">
        <v>3678</v>
      </c>
      <c r="K13" s="15"/>
      <c r="L13" s="11"/>
      <c r="M13" s="47">
        <f>IFERROR(VLOOKUP(C13,REKAP[[#All],[ID]:[Stok Akhir]],15,FALSE),"")</f>
        <v>10</v>
      </c>
    </row>
    <row r="14" spans="1:16" ht="16.5" customHeight="1" thickTop="1" thickBot="1" x14ac:dyDescent="0.3">
      <c r="A14" s="27">
        <f t="shared" si="0"/>
        <v>8</v>
      </c>
      <c r="B14" s="7">
        <v>45352</v>
      </c>
      <c r="C14" s="8" t="s">
        <v>506</v>
      </c>
      <c r="D14" s="16" t="str">
        <f>IFERROR(VLOOKUP(C14,REKAP[[#All],[ID]:[Stok Akhir]],2,FALSE), "")</f>
        <v>Baut Tanam</v>
      </c>
      <c r="E14" s="16" t="str">
        <f>IFERROR(VLOOKUP(C14,REKAP[[#All],[ID]:[Stok Akhir]],4,FALSE), "")</f>
        <v xml:space="preserve">M 4 x 10 </v>
      </c>
      <c r="F14" s="16" t="str">
        <f>IFERROR(VLOOKUP(C14,REKAP[[#All],[ID]:[Stok Akhir]],6,FALSE),"")</f>
        <v>Mur &amp; Baut</v>
      </c>
      <c r="G14" s="15">
        <f>IFERROR(VLOOKUP(C14,REKAP[[#All],[ID]:[Stok Akhir]],8,FALSE),"")</f>
        <v>600</v>
      </c>
      <c r="H14" s="11">
        <v>3</v>
      </c>
      <c r="I14" s="11" t="s">
        <v>3714</v>
      </c>
      <c r="J14" s="11" t="s">
        <v>3823</v>
      </c>
      <c r="K14" s="15"/>
      <c r="L14" s="11"/>
      <c r="M14" s="47">
        <f>IFERROR(VLOOKUP(C14,REKAP[[#All],[ID]:[Stok Akhir]],15,FALSE),"")</f>
        <v>29</v>
      </c>
    </row>
    <row r="15" spans="1:16" ht="16.5" customHeight="1" thickTop="1" thickBot="1" x14ac:dyDescent="0.3">
      <c r="A15" s="27">
        <f t="shared" si="0"/>
        <v>9</v>
      </c>
      <c r="B15" s="7">
        <v>45352</v>
      </c>
      <c r="C15" s="8" t="s">
        <v>264</v>
      </c>
      <c r="D15" s="16" t="str">
        <f>IFERROR(VLOOKUP(C15,REKAP[[#All],[ID]:[Stok Akhir]],2,FALSE), "")</f>
        <v>Baut LPK</v>
      </c>
      <c r="E15" s="16" t="str">
        <f>IFERROR(VLOOKUP(C15,REKAP[[#All],[ID]:[Stok Akhir]],4,FALSE), "")</f>
        <v>M 4 X 50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800</v>
      </c>
      <c r="H15" s="11">
        <v>20</v>
      </c>
      <c r="I15" s="11" t="s">
        <v>3680</v>
      </c>
      <c r="J15" s="11" t="s">
        <v>3745</v>
      </c>
      <c r="K15" s="15"/>
      <c r="L15" s="11"/>
      <c r="M15" s="47">
        <f>IFERROR(VLOOKUP(C15,REKAP[[#All],[ID]:[Stok Akhir]],15,FALSE),"")</f>
        <v>39</v>
      </c>
      <c r="P15" t="s">
        <v>3916</v>
      </c>
    </row>
    <row r="16" spans="1:16" ht="16.5" customHeight="1" thickTop="1" thickBot="1" x14ac:dyDescent="0.3">
      <c r="A16" s="27">
        <f t="shared" si="0"/>
        <v>10</v>
      </c>
      <c r="B16" s="7">
        <v>45352</v>
      </c>
      <c r="C16" s="8" t="s">
        <v>769</v>
      </c>
      <c r="D16" s="16" t="str">
        <f>IFERROR(VLOOKUP(C16,REKAP[[#All],[ID]:[Stok Akhir]],2,FALSE), "")</f>
        <v>Masker Safety (Polytron)</v>
      </c>
      <c r="E16" s="16">
        <f>IFERROR(VLOOKUP(C16,REKAP[[#All],[ID]:[Stok Akhir]],4,FALSE), "")</f>
        <v>0</v>
      </c>
      <c r="F16" s="16" t="str">
        <f>IFERROR(VLOOKUP(C16,REKAP[[#All],[ID]:[Stok Akhir]],6,FALSE),"")</f>
        <v>Bahan Pembantu</v>
      </c>
      <c r="G16" s="15">
        <f>IFERROR(VLOOKUP(C16,REKAP[[#All],[ID]:[Stok Akhir]],8,FALSE),"")</f>
        <v>1455</v>
      </c>
      <c r="H16" s="11">
        <v>2</v>
      </c>
      <c r="I16" s="11" t="s">
        <v>3858</v>
      </c>
      <c r="J16" s="11" t="s">
        <v>3663</v>
      </c>
      <c r="K16" s="15"/>
      <c r="L16" s="11"/>
      <c r="M16" s="47">
        <f>IFERROR(VLOOKUP(C16,REKAP[[#All],[ID]:[Stok Akhir]],15,FALSE),"")</f>
        <v>143</v>
      </c>
    </row>
    <row r="17" spans="1:13" ht="16.5" customHeight="1" thickTop="1" thickBot="1" x14ac:dyDescent="0.3">
      <c r="A17" s="27">
        <f t="shared" si="0"/>
        <v>11</v>
      </c>
      <c r="B17" s="7">
        <v>45353</v>
      </c>
      <c r="C17" s="8" t="s">
        <v>788</v>
      </c>
      <c r="D17" s="16" t="str">
        <f>IFERROR(VLOOKUP(C17,REKAP[[#All],[ID]:[Stok Akhir]],2,FALSE), "")</f>
        <v>Sarung Tangan kain</v>
      </c>
      <c r="E17" s="16">
        <f>IFERROR(VLOOKUP(C17,REKAP[[#All],[ID]:[Stok Akhir]],4,FALSE), "")</f>
        <v>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2000</v>
      </c>
      <c r="H17" s="11">
        <v>1</v>
      </c>
      <c r="I17" s="11" t="s">
        <v>3670</v>
      </c>
      <c r="J17" s="11" t="s">
        <v>3671</v>
      </c>
      <c r="K17" s="15"/>
      <c r="L17" s="11"/>
      <c r="M17" s="47">
        <f>IFERROR(VLOOKUP(C17,REKAP[[#All],[ID]:[Stok Akhir]],15,FALSE),"")</f>
        <v>0</v>
      </c>
    </row>
    <row r="18" spans="1:13" ht="16.5" customHeight="1" thickTop="1" thickBot="1" x14ac:dyDescent="0.3">
      <c r="A18" s="27">
        <f t="shared" si="0"/>
        <v>12</v>
      </c>
      <c r="B18" s="7">
        <v>45353</v>
      </c>
      <c r="C18" s="8" t="s">
        <v>708</v>
      </c>
      <c r="D18" s="16" t="str">
        <f>IFERROR(VLOOKUP(C18,REKAP[[#All],[ID]:[Stok Akhir]],2,FALSE), "")</f>
        <v>Anti karat</v>
      </c>
      <c r="E18" s="16" t="str">
        <f>IFERROR(VLOOKUP(C18,REKAP[[#All],[ID]:[Stok Akhir]],4,FALSE), "")</f>
        <v>PROLIX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40000</v>
      </c>
      <c r="H18" s="11">
        <v>1</v>
      </c>
      <c r="I18" s="11" t="s">
        <v>3672</v>
      </c>
      <c r="J18" s="11" t="s">
        <v>3673</v>
      </c>
      <c r="K18" s="15"/>
      <c r="L18" s="11"/>
      <c r="M18" s="47">
        <f>IFERROR(VLOOKUP(C18,REKAP[[#All],[ID]:[Stok Akhir]],15,FALSE),"")</f>
        <v>5</v>
      </c>
    </row>
    <row r="19" spans="1:13" ht="16.5" customHeight="1" thickTop="1" thickBot="1" x14ac:dyDescent="0.3">
      <c r="A19" s="27">
        <f t="shared" si="0"/>
        <v>13</v>
      </c>
      <c r="B19" s="7">
        <v>45353</v>
      </c>
      <c r="C19" s="8" t="s">
        <v>517</v>
      </c>
      <c r="D19" s="16" t="str">
        <f>IFERROR(VLOOKUP(C19,REKAP[[#All],[ID]:[Stok Akhir]],2,FALSE), "")</f>
        <v>Baut Tanam</v>
      </c>
      <c r="E19" s="16" t="str">
        <f>IFERROR(VLOOKUP(C19,REKAP[[#All],[ID]:[Stok Akhir]],4,FALSE), "")</f>
        <v>M 6 x 25</v>
      </c>
      <c r="F19" s="16" t="str">
        <f>IFERROR(VLOOKUP(C19,REKAP[[#All],[ID]:[Stok Akhir]],6,FALSE),"")</f>
        <v>Mur &amp; Baut</v>
      </c>
      <c r="G19" s="15">
        <f>IFERROR(VLOOKUP(C19,REKAP[[#All],[ID]:[Stok Akhir]],8,FALSE),"")</f>
        <v>1200</v>
      </c>
      <c r="H19" s="11">
        <v>2</v>
      </c>
      <c r="I19" s="11" t="s">
        <v>3686</v>
      </c>
      <c r="J19" s="11" t="s">
        <v>3824</v>
      </c>
      <c r="K19" s="15"/>
      <c r="L19" s="11"/>
      <c r="M19" s="47">
        <f>IFERROR(VLOOKUP(C19,REKAP[[#All],[ID]:[Stok Akhir]],15,FALSE),"")</f>
        <v>22</v>
      </c>
    </row>
    <row r="20" spans="1:13" ht="16.5" customHeight="1" thickTop="1" thickBot="1" x14ac:dyDescent="0.3">
      <c r="A20" s="27">
        <f t="shared" si="0"/>
        <v>14</v>
      </c>
      <c r="B20" s="7">
        <v>45353</v>
      </c>
      <c r="C20" s="8" t="s">
        <v>962</v>
      </c>
      <c r="D20" s="16" t="str">
        <f>IFERROR(VLOOKUP(C20,REKAP[[#All],[ID]:[Stok Akhir]],2,FALSE), "")</f>
        <v>Dowel Pin</v>
      </c>
      <c r="E20" s="16" t="str">
        <f>IFERROR(VLOOKUP(C20,REKAP[[#All],[ID]:[Stok Akhir]],4,FALSE), "")</f>
        <v>DPND-8-15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3726</v>
      </c>
      <c r="H20" s="11">
        <v>4</v>
      </c>
      <c r="I20" s="11" t="s">
        <v>3825</v>
      </c>
      <c r="J20" s="11" t="s">
        <v>3826</v>
      </c>
      <c r="K20" s="15"/>
      <c r="L20" s="11"/>
      <c r="M20" s="47">
        <f>IFERROR(VLOOKUP(C20,REKAP[[#All],[ID]:[Stok Akhir]],15,FALSE),"")</f>
        <v>2</v>
      </c>
    </row>
    <row r="21" spans="1:13" ht="16.5" customHeight="1" thickTop="1" thickBot="1" x14ac:dyDescent="0.3">
      <c r="A21" s="27">
        <f t="shared" si="0"/>
        <v>15</v>
      </c>
      <c r="B21" s="7">
        <v>45353</v>
      </c>
      <c r="C21" s="8" t="s">
        <v>692</v>
      </c>
      <c r="D21" s="16" t="str">
        <f>IFERROR(VLOOKUP(C21,REKAP[[#All],[ID]:[Stok Akhir]],2,FALSE), "")</f>
        <v>Alteco / Lem Korea</v>
      </c>
      <c r="E21" s="16" t="str">
        <f>IFERROR(VLOOKUP(C21,REKAP[[#All],[ID]:[Stok Akhir]],4,FALSE), "")</f>
        <v>Alteco 110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5000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Akhir]],15,FALSE),"")</f>
        <v>4</v>
      </c>
    </row>
    <row r="22" spans="1:13" ht="16.5" customHeight="1" thickTop="1" thickBot="1" x14ac:dyDescent="0.3">
      <c r="A22" s="27">
        <f t="shared" si="0"/>
        <v>16</v>
      </c>
      <c r="B22" s="7">
        <v>45355</v>
      </c>
      <c r="C22" s="8" t="s">
        <v>788</v>
      </c>
      <c r="D22" s="16" t="str">
        <f>IFERROR(VLOOKUP(C22,REKAP[[#All],[ID]:[Stok Akhir]],2,FALSE), "")</f>
        <v>Sarung Tangan kain</v>
      </c>
      <c r="E22" s="16">
        <f>IFERROR(VLOOKUP(C22,REKAP[[#All],[ID]:[Stok Akhir]],4,FALSE), "")</f>
        <v>0</v>
      </c>
      <c r="F22" s="16" t="str">
        <f>IFERROR(VLOOKUP(C22,REKAP[[#All],[ID]:[Stok Akhir]],6,FALSE),"")</f>
        <v>Bahan Pembantu</v>
      </c>
      <c r="G22" s="15">
        <f>IFERROR(VLOOKUP(C22,REKAP[[#All],[ID]:[Stok Akhir]],8,FALSE),"")</f>
        <v>2000</v>
      </c>
      <c r="H22" s="11">
        <v>1</v>
      </c>
      <c r="I22" s="11" t="s">
        <v>3664</v>
      </c>
      <c r="J22" s="11" t="s">
        <v>3667</v>
      </c>
      <c r="K22" s="15"/>
      <c r="L22" s="11"/>
      <c r="M22" s="47">
        <f>IFERROR(VLOOKUP(C22,REKAP[[#All],[ID]:[Stok Akhir]],15,FALSE),"")</f>
        <v>0</v>
      </c>
    </row>
    <row r="23" spans="1:13" ht="16.5" customHeight="1" thickTop="1" thickBot="1" x14ac:dyDescent="0.3">
      <c r="A23" s="27">
        <f t="shared" si="0"/>
        <v>17</v>
      </c>
      <c r="B23" s="7">
        <v>45355</v>
      </c>
      <c r="C23" s="8" t="s">
        <v>769</v>
      </c>
      <c r="D23" s="16" t="str">
        <f>IFERROR(VLOOKUP(C23,REKAP[[#All],[ID]:[Stok Akhir]],2,FALSE), "")</f>
        <v>Masker Safety (Polytron)</v>
      </c>
      <c r="E23" s="16">
        <f>IFERROR(VLOOKUP(C23,REKAP[[#All],[ID]:[Stok Akhir]],4,FALSE), "")</f>
        <v>0</v>
      </c>
      <c r="F23" s="16" t="str">
        <f>IFERROR(VLOOKUP(C23,REKAP[[#All],[ID]:[Stok Akhir]],6,FALSE),"")</f>
        <v>Bahan Pembantu</v>
      </c>
      <c r="G23" s="15">
        <f>IFERROR(VLOOKUP(C23,REKAP[[#All],[ID]:[Stok Akhir]],8,FALSE),"")</f>
        <v>1455</v>
      </c>
      <c r="H23" s="11">
        <v>1</v>
      </c>
      <c r="I23" s="11" t="s">
        <v>3662</v>
      </c>
      <c r="J23" s="11"/>
      <c r="K23" s="15"/>
      <c r="L23" s="11"/>
      <c r="M23" s="47">
        <f>IFERROR(VLOOKUP(C23,REKAP[[#All],[ID]:[Stok Akhir]],15,FALSE),"")</f>
        <v>143</v>
      </c>
    </row>
    <row r="24" spans="1:13" ht="16.5" customHeight="1" thickTop="1" thickBot="1" x14ac:dyDescent="0.3">
      <c r="A24" s="27">
        <f t="shared" si="0"/>
        <v>18</v>
      </c>
      <c r="B24" s="7">
        <v>45355</v>
      </c>
      <c r="C24" s="8" t="s">
        <v>692</v>
      </c>
      <c r="D24" s="16" t="str">
        <f>IFERROR(VLOOKUP(C24,REKAP[[#All],[ID]:[Stok Akhir]],2,FALSE), "")</f>
        <v>Alteco / Lem Korea</v>
      </c>
      <c r="E24" s="16" t="str">
        <f>IFERROR(VLOOKUP(C24,REKAP[[#All],[ID]:[Stok Akhir]],4,FALSE), "")</f>
        <v>Alteco 110</v>
      </c>
      <c r="F24" s="16" t="str">
        <f>IFERROR(VLOOKUP(C24,REKAP[[#All],[ID]:[Stok Akhir]],6,FALSE),"")</f>
        <v>Bahan Pembantu</v>
      </c>
      <c r="G24" s="15">
        <f>IFERROR(VLOOKUP(C24,REKAP[[#All],[ID]:[Stok Akhir]],8,FALSE),"")</f>
        <v>5000</v>
      </c>
      <c r="H24" s="11">
        <v>1</v>
      </c>
      <c r="I24" s="11" t="s">
        <v>3668</v>
      </c>
      <c r="J24" s="11" t="s">
        <v>3212</v>
      </c>
      <c r="K24" s="15"/>
      <c r="L24" s="11"/>
      <c r="M24" s="47">
        <f>IFERROR(VLOOKUP(C24,REKAP[[#All],[ID]:[Stok Akhir]],15,FALSE),"")</f>
        <v>4</v>
      </c>
    </row>
    <row r="25" spans="1:13" ht="16.5" customHeight="1" thickTop="1" thickBot="1" x14ac:dyDescent="0.3">
      <c r="A25" s="27">
        <f t="shared" si="0"/>
        <v>19</v>
      </c>
      <c r="B25" s="7">
        <v>45355</v>
      </c>
      <c r="C25" s="8" t="s">
        <v>769</v>
      </c>
      <c r="D25" s="16" t="str">
        <f>IFERROR(VLOOKUP(C25,REKAP[[#All],[ID]:[Stok Akhir]],2,FALSE), "")</f>
        <v>Masker Safety (Polytron)</v>
      </c>
      <c r="E25" s="16">
        <f>IFERROR(VLOOKUP(C25,REKAP[[#All],[ID]:[Stok Akhir]],4,FALSE), "")</f>
        <v>0</v>
      </c>
      <c r="F25" s="16" t="str">
        <f>IFERROR(VLOOKUP(C25,REKAP[[#All],[ID]:[Stok Akhir]],6,FALSE),"")</f>
        <v>Bahan Pembantu</v>
      </c>
      <c r="G25" s="15">
        <f>IFERROR(VLOOKUP(C25,REKAP[[#All],[ID]:[Stok Akhir]],8,FALSE),"")</f>
        <v>1455</v>
      </c>
      <c r="H25" s="11">
        <v>3</v>
      </c>
      <c r="I25" s="11" t="s">
        <v>3665</v>
      </c>
      <c r="J25" s="11" t="s">
        <v>3666</v>
      </c>
      <c r="K25" s="15"/>
      <c r="L25" s="11" t="s">
        <v>3669</v>
      </c>
      <c r="M25" s="47">
        <f>IFERROR(VLOOKUP(C25,REKAP[[#All],[ID]:[Stok Akhir]],15,FALSE),"")</f>
        <v>143</v>
      </c>
    </row>
    <row r="26" spans="1:13" ht="16.5" customHeight="1" thickTop="1" thickBot="1" x14ac:dyDescent="0.3">
      <c r="A26" s="27">
        <f t="shared" si="0"/>
        <v>20</v>
      </c>
      <c r="B26" s="7">
        <v>45355</v>
      </c>
      <c r="C26" s="8" t="s">
        <v>3019</v>
      </c>
      <c r="D26" s="16" t="str">
        <f>IFERROR(VLOOKUP(C26,REKAP[[#All],[ID]:[Stok Akhir]],2,FALSE), "")</f>
        <v>Insert Mitshubishi</v>
      </c>
      <c r="E26" s="16" t="str">
        <f>IFERROR(VLOOKUP(C26,REKAP[[#All],[ID]:[Stok Akhir]],4,FALSE), "")</f>
        <v>DNMG 150408-GJ VP15TF</v>
      </c>
      <c r="F26" s="16" t="str">
        <f>IFERROR(VLOOKUP(C26,REKAP[[#All],[ID]:[Stok Akhir]],6,FALSE),"")</f>
        <v>Tools</v>
      </c>
      <c r="G26" s="15">
        <f>IFERROR(VLOOKUP(C26,REKAP[[#All],[ID]:[Stok Akhir]],8,FALSE),"")</f>
        <v>99800</v>
      </c>
      <c r="H26" s="11">
        <v>4</v>
      </c>
      <c r="I26" s="11" t="s">
        <v>3740</v>
      </c>
      <c r="J26" s="11" t="s">
        <v>3739</v>
      </c>
      <c r="K26" s="15"/>
      <c r="L26" s="11"/>
      <c r="M26" s="47">
        <f>IFERROR(VLOOKUP(C26,REKAP[[#All],[ID]:[Stok Akhir]],15,FALSE),"")</f>
        <v>10</v>
      </c>
    </row>
    <row r="27" spans="1:13" ht="16.5" customHeight="1" thickTop="1" thickBot="1" x14ac:dyDescent="0.3">
      <c r="A27" s="27">
        <f t="shared" si="0"/>
        <v>21</v>
      </c>
      <c r="B27" s="7">
        <v>45355</v>
      </c>
      <c r="C27" s="8" t="s">
        <v>337</v>
      </c>
      <c r="D27" s="16" t="str">
        <f>IFERROR(VLOOKUP(C27,REKAP[[#All],[ID]:[Stok Akhir]],2,FALSE), "")</f>
        <v>Baut LPK</v>
      </c>
      <c r="E27" s="16" t="str">
        <f>IFERROR(VLOOKUP(C27,REKAP[[#All],[ID]:[Stok Akhir]],4,FALSE), "")</f>
        <v>M 10 X 55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3300</v>
      </c>
      <c r="H27" s="11">
        <v>2</v>
      </c>
      <c r="I27" s="11" t="s">
        <v>3687</v>
      </c>
      <c r="J27" s="11" t="s">
        <v>3741</v>
      </c>
      <c r="K27" s="15"/>
      <c r="L27" s="11"/>
      <c r="M27" s="47">
        <f>IFERROR(VLOOKUP(C27,REKAP[[#All],[ID]:[Stok Akhir]],15,FALSE),"")</f>
        <v>17</v>
      </c>
    </row>
    <row r="28" spans="1:13" ht="16.5" customHeight="1" thickTop="1" thickBot="1" x14ac:dyDescent="0.3">
      <c r="A28" s="27">
        <f t="shared" si="0"/>
        <v>22</v>
      </c>
      <c r="B28" s="7">
        <v>45355</v>
      </c>
      <c r="C28" s="8" t="s">
        <v>332</v>
      </c>
      <c r="D28" s="16" t="str">
        <f>IFERROR(VLOOKUP(C28,REKAP[[#All],[ID]:[Stok Akhir]],2,FALSE), "")</f>
        <v>Baut LPK</v>
      </c>
      <c r="E28" s="16" t="str">
        <f>IFERROR(VLOOKUP(C28,REKAP[[#All],[ID]:[Stok Akhir]],4,FALSE), "")</f>
        <v>M 10 X 30</v>
      </c>
      <c r="F28" s="16" t="str">
        <f>IFERROR(VLOOKUP(C28,REKAP[[#All],[ID]:[Stok Akhir]],6,FALSE),"")</f>
        <v>Mur &amp; Baut</v>
      </c>
      <c r="G28" s="15">
        <f>IFERROR(VLOOKUP(C28,REKAP[[#All],[ID]:[Stok Akhir]],8,FALSE),"")</f>
        <v>2200</v>
      </c>
      <c r="H28" s="11">
        <v>2</v>
      </c>
      <c r="I28" s="11" t="s">
        <v>3687</v>
      </c>
      <c r="J28" s="11" t="s">
        <v>3741</v>
      </c>
      <c r="K28" s="15"/>
      <c r="L28" s="11"/>
      <c r="M28" s="47">
        <f>IFERROR(VLOOKUP(C28,REKAP[[#All],[ID]:[Stok Akhir]],15,FALSE),"")</f>
        <v>21</v>
      </c>
    </row>
    <row r="29" spans="1:13" ht="16.5" customHeight="1" thickTop="1" thickBot="1" x14ac:dyDescent="0.3">
      <c r="A29" s="27">
        <f t="shared" si="0"/>
        <v>23</v>
      </c>
      <c r="B29" s="7">
        <v>45355</v>
      </c>
      <c r="C29" s="8" t="s">
        <v>3251</v>
      </c>
      <c r="D29" s="16" t="str">
        <f>IFERROR(VLOOKUP(C29,REKAP[[#All],[ID]:[Stok Akhir]],2,FALSE), "")</f>
        <v>BLOW NOZLE 1 1/2"</v>
      </c>
      <c r="E29" s="16">
        <f>IFERROR(VLOOKUP(C29,REKAP[[#All],[ID]:[Stok Akhir]],4,FALSE), "")</f>
        <v>0</v>
      </c>
      <c r="F29" s="16" t="str">
        <f>IFERROR(VLOOKUP(C29,REKAP[[#All],[ID]:[Stok Akhir]],6,FALSE),"")</f>
        <v>Barang Jadi</v>
      </c>
      <c r="G29" s="15">
        <f>IFERROR(VLOOKUP(C29,REKAP[[#All],[ID]:[Stok Akhir]],8,FALSE),"")</f>
        <v>400000</v>
      </c>
      <c r="H29" s="11">
        <v>3</v>
      </c>
      <c r="I29" s="11" t="s">
        <v>3825</v>
      </c>
      <c r="J29" s="11" t="s">
        <v>3827</v>
      </c>
      <c r="K29" s="15"/>
      <c r="L29" s="11"/>
      <c r="M29" s="47">
        <f>IFERROR(VLOOKUP(C29,REKAP[[#All],[ID]:[Stok Akhir]],15,FALSE),"")</f>
        <v>4</v>
      </c>
    </row>
    <row r="30" spans="1:13" ht="16.5" customHeight="1" thickTop="1" thickBot="1" x14ac:dyDescent="0.3">
      <c r="A30" s="27">
        <f t="shared" si="0"/>
        <v>24</v>
      </c>
      <c r="B30" s="7">
        <v>45355</v>
      </c>
      <c r="C30" s="8" t="s">
        <v>573</v>
      </c>
      <c r="D30" s="16" t="str">
        <f>IFERROR(VLOOKUP(C30,REKAP[[#All],[ID]:[Stok Akhir]],2,FALSE), "")</f>
        <v>Ring Plate</v>
      </c>
      <c r="E30" s="16" t="str">
        <f>IFERROR(VLOOKUP(C30,REKAP[[#All],[ID]:[Stok Akhir]],4,FALSE), "")</f>
        <v>M10</v>
      </c>
      <c r="F30" s="16" t="str">
        <f>IFERROR(VLOOKUP(C30,REKAP[[#All],[ID]:[Stok Akhir]],6,FALSE),"")</f>
        <v>Mur &amp; Baut</v>
      </c>
      <c r="G30" s="15">
        <f>IFERROR(VLOOKUP(C30,REKAP[[#All],[ID]:[Stok Akhir]],8,FALSE),"")</f>
        <v>200</v>
      </c>
      <c r="H30" s="11">
        <v>8</v>
      </c>
      <c r="I30" s="11" t="s">
        <v>3825</v>
      </c>
      <c r="J30" s="11" t="s">
        <v>3827</v>
      </c>
      <c r="K30" s="15"/>
      <c r="L30" s="11"/>
      <c r="M30" s="47">
        <f>IFERROR(VLOOKUP(C30,REKAP[[#All],[ID]:[Stok Akhir]],15,FALSE),"")</f>
        <v>15</v>
      </c>
    </row>
    <row r="31" spans="1:13" ht="16.5" thickTop="1" thickBot="1" x14ac:dyDescent="0.3">
      <c r="A31" s="27">
        <f t="shared" si="0"/>
        <v>25</v>
      </c>
      <c r="B31" s="7">
        <v>45355</v>
      </c>
      <c r="C31" s="8" t="s">
        <v>593</v>
      </c>
      <c r="D31" s="16" t="str">
        <f>IFERROR(VLOOKUP(C31,REKAP[[#All],[ID]:[Stok Akhir]],2,FALSE), "")</f>
        <v>Mur</v>
      </c>
      <c r="E31" s="16" t="str">
        <f>IFERROR(VLOOKUP(C31,REKAP[[#All],[ID]:[Stok Akhir]],4,FALSE), "")</f>
        <v>M10</v>
      </c>
      <c r="F31" s="16" t="str">
        <f>IFERROR(VLOOKUP(C31,REKAP[[#All],[ID]:[Stok Akhir]],6,FALSE),"")</f>
        <v>Mur &amp; Baut</v>
      </c>
      <c r="G31" s="15">
        <f>IFERROR(VLOOKUP(C31,REKAP[[#All],[ID]:[Stok Akhir]],8,FALSE),"")</f>
        <v>700</v>
      </c>
      <c r="H31" s="11">
        <v>8</v>
      </c>
      <c r="I31" s="11" t="s">
        <v>3825</v>
      </c>
      <c r="J31" s="11" t="s">
        <v>3827</v>
      </c>
      <c r="K31" s="15"/>
      <c r="L31" s="11"/>
      <c r="M31" s="47">
        <f>IFERROR(VLOOKUP(C31,REKAP[[#All],[ID]:[Stok Akhir]],15,FALSE),"")</f>
        <v>21</v>
      </c>
    </row>
    <row r="32" spans="1:13" ht="16.5" thickTop="1" thickBot="1" x14ac:dyDescent="0.3">
      <c r="A32" s="27">
        <f t="shared" si="0"/>
        <v>26</v>
      </c>
      <c r="B32" s="7">
        <v>45355</v>
      </c>
      <c r="C32" s="8" t="s">
        <v>731</v>
      </c>
      <c r="D32" s="16" t="str">
        <f>IFERROR(VLOOKUP(C32,REKAP[[#All],[ID]:[Stok Akhir]],2,FALSE), "")</f>
        <v xml:space="preserve">EDM WIRE </v>
      </c>
      <c r="E32" s="16" t="str">
        <f>IFERROR(VLOOKUP(C32,REKAP[[#All],[ID]:[Stok Akhir]],4,FALSE), "")</f>
        <v>0.25mm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160000</v>
      </c>
      <c r="H32" s="11">
        <v>1</v>
      </c>
      <c r="I32" s="11" t="s">
        <v>3716</v>
      </c>
      <c r="J32" s="11" t="s">
        <v>3875</v>
      </c>
      <c r="K32" s="15"/>
      <c r="L32" s="11"/>
      <c r="M32" s="47">
        <f>IFERROR(VLOOKUP(C32,REKAP[[#All],[ID]:[Stok Akhir]],15,FALSE),"")</f>
        <v>7</v>
      </c>
    </row>
    <row r="33" spans="1:13" ht="16.5" thickTop="1" thickBot="1" x14ac:dyDescent="0.3">
      <c r="A33" s="27">
        <f t="shared" si="0"/>
        <v>27</v>
      </c>
      <c r="B33" s="7">
        <v>45355</v>
      </c>
      <c r="C33" s="8" t="s">
        <v>783</v>
      </c>
      <c r="D33" s="16" t="str">
        <f>IFERROR(VLOOKUP(C33,REKAP[[#All],[ID]:[Stok Akhir]],2,FALSE), "")</f>
        <v>plasik wrap</v>
      </c>
      <c r="E33" s="16">
        <f>IFERROR(VLOOKUP(C33,REKAP[[#All],[ID]:[Stok Akhir]],4,FALSE), "")</f>
        <v>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95000</v>
      </c>
      <c r="H33" s="11">
        <v>1</v>
      </c>
      <c r="I33" s="11" t="s">
        <v>3859</v>
      </c>
      <c r="J33" s="11" t="s">
        <v>3876</v>
      </c>
      <c r="K33" s="15"/>
      <c r="L33" s="11"/>
      <c r="M33" s="47">
        <f>IFERROR(VLOOKUP(C33,REKAP[[#All],[ID]:[Stok Akhir]],15,FALSE),"")</f>
        <v>1</v>
      </c>
    </row>
    <row r="34" spans="1:13" ht="16.5" thickTop="1" thickBot="1" x14ac:dyDescent="0.3">
      <c r="A34" s="27">
        <f t="shared" si="0"/>
        <v>28</v>
      </c>
      <c r="B34" s="7">
        <v>45356</v>
      </c>
      <c r="C34" s="8" t="s">
        <v>692</v>
      </c>
      <c r="D34" s="16" t="str">
        <f>IFERROR(VLOOKUP(C34,REKAP[[#All],[ID]:[Stok Akhir]],2,FALSE), "")</f>
        <v>Alteco / Lem Korea</v>
      </c>
      <c r="E34" s="16" t="str">
        <f>IFERROR(VLOOKUP(C34,REKAP[[#All],[ID]:[Stok Akhir]],4,FALSE), "")</f>
        <v>Alteco 110</v>
      </c>
      <c r="F34" s="16" t="str">
        <f>IFERROR(VLOOKUP(C34,REKAP[[#All],[ID]:[Stok Akhir]],6,FALSE),"")</f>
        <v>Bahan Pembantu</v>
      </c>
      <c r="G34" s="15">
        <f>IFERROR(VLOOKUP(C34,REKAP[[#All],[ID]:[Stok Akhir]],8,FALSE),"")</f>
        <v>5000</v>
      </c>
      <c r="H34" s="11">
        <v>2</v>
      </c>
      <c r="I34" s="11" t="s">
        <v>3670</v>
      </c>
      <c r="J34" s="11" t="s">
        <v>3737</v>
      </c>
      <c r="K34" s="15"/>
      <c r="L34" s="11"/>
      <c r="M34" s="47">
        <f>IFERROR(VLOOKUP(C34,REKAP[[#All],[ID]:[Stok Akhir]],15,FALSE),"")</f>
        <v>4</v>
      </c>
    </row>
    <row r="35" spans="1:13" ht="16.5" thickTop="1" thickBot="1" x14ac:dyDescent="0.3">
      <c r="A35" s="27">
        <f t="shared" si="0"/>
        <v>29</v>
      </c>
      <c r="B35" s="7">
        <v>45356</v>
      </c>
      <c r="C35" s="8" t="s">
        <v>788</v>
      </c>
      <c r="D35" s="16" t="str">
        <f>IFERROR(VLOOKUP(C35,REKAP[[#All],[ID]:[Stok Akhir]],2,FALSE), "")</f>
        <v>Sarung Tangan kain</v>
      </c>
      <c r="E35" s="16">
        <f>IFERROR(VLOOKUP(C35,REKAP[[#All],[ID]:[Stok Akhir]],4,FALSE), "")</f>
        <v>0</v>
      </c>
      <c r="F35" s="16" t="str">
        <f>IFERROR(VLOOKUP(C35,REKAP[[#All],[ID]:[Stok Akhir]],6,FALSE),"")</f>
        <v>Bahan Pembantu</v>
      </c>
      <c r="G35" s="15">
        <f>IFERROR(VLOOKUP(C35,REKAP[[#All],[ID]:[Stok Akhir]],8,FALSE),"")</f>
        <v>2000</v>
      </c>
      <c r="H35" s="11">
        <v>1</v>
      </c>
      <c r="I35" s="11" t="s">
        <v>3677</v>
      </c>
      <c r="J35" s="11" t="s">
        <v>3738</v>
      </c>
      <c r="K35" s="15"/>
      <c r="L35" s="11"/>
      <c r="M35" s="47">
        <f>IFERROR(VLOOKUP(C35,REKAP[[#All],[ID]:[Stok Akhir]],15,FALSE),"")</f>
        <v>0</v>
      </c>
    </row>
    <row r="36" spans="1:13" ht="16.5" thickTop="1" thickBot="1" x14ac:dyDescent="0.3">
      <c r="A36" s="27">
        <f t="shared" si="0"/>
        <v>30</v>
      </c>
      <c r="B36" s="7">
        <v>45356</v>
      </c>
      <c r="C36" s="8" t="s">
        <v>761</v>
      </c>
      <c r="D36" s="16" t="str">
        <f>IFERROR(VLOOKUP(C36,REKAP[[#All],[ID]:[Stok Akhir]],2,FALSE), "")</f>
        <v>Kuas Cat</v>
      </c>
      <c r="E36" s="16" t="str">
        <f>IFERROR(VLOOKUP(C36,REKAP[[#All],[ID]:[Stok Akhir]],4,FALSE), "")</f>
        <v>1"</v>
      </c>
      <c r="F36" s="16" t="str">
        <f>IFERROR(VLOOKUP(C36,REKAP[[#All],[ID]:[Stok Akhir]],6,FALSE),"")</f>
        <v>Bahan Pembantu</v>
      </c>
      <c r="G36" s="15">
        <f>IFERROR(VLOOKUP(C36,REKAP[[#All],[ID]:[Stok Akhir]],8,FALSE),"")</f>
        <v>4000</v>
      </c>
      <c r="H36" s="11">
        <v>1</v>
      </c>
      <c r="I36" s="11" t="s">
        <v>3677</v>
      </c>
      <c r="J36" s="11" t="s">
        <v>3738</v>
      </c>
      <c r="K36" s="15"/>
      <c r="L36" s="11"/>
      <c r="M36" s="47">
        <f>IFERROR(VLOOKUP(C36,REKAP[[#All],[ID]:[Stok Akhir]],15,FALSE),"")</f>
        <v>3</v>
      </c>
    </row>
    <row r="37" spans="1:13" ht="16.5" thickTop="1" thickBot="1" x14ac:dyDescent="0.3">
      <c r="A37" s="27">
        <f t="shared" si="0"/>
        <v>31</v>
      </c>
      <c r="B37" s="7">
        <v>45356</v>
      </c>
      <c r="C37" s="8" t="s">
        <v>761</v>
      </c>
      <c r="D37" s="16" t="str">
        <f>IFERROR(VLOOKUP(C37,REKAP[[#All],[ID]:[Stok Akhir]],2,FALSE), "")</f>
        <v>Kuas Cat</v>
      </c>
      <c r="E37" s="16" t="str">
        <f>IFERROR(VLOOKUP(C37,REKAP[[#All],[ID]:[Stok Akhir]],4,FALSE), "")</f>
        <v>1"</v>
      </c>
      <c r="F37" s="16" t="str">
        <f>IFERROR(VLOOKUP(C37,REKAP[[#All],[ID]:[Stok Akhir]],6,FALSE),"")</f>
        <v>Bahan Pembantu</v>
      </c>
      <c r="G37" s="15">
        <f>IFERROR(VLOOKUP(C37,REKAP[[#All],[ID]:[Stok Akhir]],8,FALSE),"")</f>
        <v>4000</v>
      </c>
      <c r="H37" s="11">
        <v>1</v>
      </c>
      <c r="I37" s="11" t="s">
        <v>3665</v>
      </c>
      <c r="J37" s="11" t="s">
        <v>3709</v>
      </c>
      <c r="K37" s="15"/>
      <c r="L37" s="11"/>
      <c r="M37" s="47">
        <f>IFERROR(VLOOKUP(C37,REKAP[[#All],[ID]:[Stok Akhir]],15,FALSE),"")</f>
        <v>3</v>
      </c>
    </row>
    <row r="38" spans="1:13" ht="16.5" thickTop="1" thickBot="1" x14ac:dyDescent="0.3">
      <c r="A38" s="27">
        <f t="shared" si="0"/>
        <v>32</v>
      </c>
      <c r="B38" s="7">
        <v>45356</v>
      </c>
      <c r="C38" s="8" t="s">
        <v>286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6 X 15/16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600</v>
      </c>
      <c r="H38" s="11">
        <v>20</v>
      </c>
      <c r="I38" s="11" t="s">
        <v>3825</v>
      </c>
      <c r="J38" s="11" t="s">
        <v>3828</v>
      </c>
      <c r="K38" s="15"/>
      <c r="L38" s="11"/>
      <c r="M38" s="47">
        <f>IFERROR(VLOOKUP(C38,REKAP[[#All],[ID]:[Stok Akhir]],15,FALSE),"")</f>
        <v>61</v>
      </c>
    </row>
    <row r="39" spans="1:13" ht="16.5" thickTop="1" thickBot="1" x14ac:dyDescent="0.3">
      <c r="A39" s="27">
        <f t="shared" si="0"/>
        <v>33</v>
      </c>
      <c r="B39" s="7">
        <v>45356</v>
      </c>
      <c r="C39" s="8" t="s">
        <v>307</v>
      </c>
      <c r="D39" s="16" t="str">
        <f>IFERROR(VLOOKUP(C39,REKAP[[#All],[ID]:[Stok Akhir]],2,FALSE), "")</f>
        <v>Baut LPK</v>
      </c>
      <c r="E39" s="16" t="str">
        <f>IFERROR(VLOOKUP(C39,REKAP[[#All],[ID]:[Stok Akhir]],4,FALSE), "")</f>
        <v>M 8 X 16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1667</v>
      </c>
      <c r="H39" s="11">
        <v>8</v>
      </c>
      <c r="I39" s="11" t="s">
        <v>3825</v>
      </c>
      <c r="J39" s="11" t="s">
        <v>3828</v>
      </c>
      <c r="K39" s="15"/>
      <c r="L39" s="11"/>
      <c r="M39" s="47">
        <f>IFERROR(VLOOKUP(C39,REKAP[[#All],[ID]:[Stok Akhir]],15,FALSE),"")</f>
        <v>17</v>
      </c>
    </row>
    <row r="40" spans="1:13" ht="16.5" thickTop="1" thickBot="1" x14ac:dyDescent="0.3">
      <c r="A40" s="27">
        <f t="shared" si="0"/>
        <v>34</v>
      </c>
      <c r="B40" s="7">
        <v>45356</v>
      </c>
      <c r="C40" s="8" t="s">
        <v>308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 xml:space="preserve">M 8 X 20 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1300</v>
      </c>
      <c r="H40" s="11">
        <v>12</v>
      </c>
      <c r="I40" s="11" t="s">
        <v>3825</v>
      </c>
      <c r="J40" s="11" t="s">
        <v>3828</v>
      </c>
      <c r="K40" s="15"/>
      <c r="L40" s="11"/>
      <c r="M40" s="47">
        <f>IFERROR(VLOOKUP(C40,REKAP[[#All],[ID]:[Stok Akhir]],15,FALSE),"")</f>
        <v>53</v>
      </c>
    </row>
    <row r="41" spans="1:13" ht="16.5" thickTop="1" thickBot="1" x14ac:dyDescent="0.3">
      <c r="A41" s="27">
        <f t="shared" si="0"/>
        <v>35</v>
      </c>
      <c r="B41" s="7">
        <v>45356</v>
      </c>
      <c r="C41" s="8" t="s">
        <v>329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10 X 15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1800</v>
      </c>
      <c r="H41" s="11">
        <v>12</v>
      </c>
      <c r="I41" s="11" t="s">
        <v>3825</v>
      </c>
      <c r="J41" s="11" t="s">
        <v>3828</v>
      </c>
      <c r="K41" s="15"/>
      <c r="L41" s="11"/>
      <c r="M41" s="47">
        <f>IFERROR(VLOOKUP(C41,REKAP[[#All],[ID]:[Stok Akhir]],15,FALSE),"")</f>
        <v>29</v>
      </c>
    </row>
    <row r="42" spans="1:13" ht="16.5" thickTop="1" thickBot="1" x14ac:dyDescent="0.3">
      <c r="A42" s="27">
        <f t="shared" si="0"/>
        <v>36</v>
      </c>
      <c r="B42" s="7">
        <v>45356</v>
      </c>
      <c r="C42" s="8" t="s">
        <v>339</v>
      </c>
      <c r="D42" s="16" t="str">
        <f>IFERROR(VLOOKUP(C42,REKAP[[#All],[ID]:[Stok Akhir]],2,FALSE), "")</f>
        <v>Baut LPK</v>
      </c>
      <c r="E42" s="16" t="str">
        <f>IFERROR(VLOOKUP(C42,REKAP[[#All],[ID]:[Stok Akhir]],4,FALSE), "")</f>
        <v>M 10 X 65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3600</v>
      </c>
      <c r="H42" s="11">
        <v>8</v>
      </c>
      <c r="I42" s="11" t="s">
        <v>3825</v>
      </c>
      <c r="J42" s="11" t="s">
        <v>3828</v>
      </c>
      <c r="K42" s="15"/>
      <c r="L42" s="11"/>
      <c r="M42" s="47">
        <f>IFERROR(VLOOKUP(C42,REKAP[[#All],[ID]:[Stok Akhir]],15,FALSE),"")</f>
        <v>1</v>
      </c>
    </row>
    <row r="43" spans="1:13" ht="16.5" thickTop="1" thickBot="1" x14ac:dyDescent="0.3">
      <c r="A43" s="27">
        <f t="shared" si="0"/>
        <v>37</v>
      </c>
      <c r="B43" s="7">
        <v>45356</v>
      </c>
      <c r="C43" s="8" t="s">
        <v>513</v>
      </c>
      <c r="D43" s="16" t="str">
        <f>IFERROR(VLOOKUP(C43,REKAP[[#All],[ID]:[Stok Akhir]],2,FALSE), "")</f>
        <v>Baut Tanam</v>
      </c>
      <c r="E43" s="16" t="str">
        <f>IFERROR(VLOOKUP(C43,REKAP[[#All],[ID]:[Stok Akhir]],4,FALSE), "")</f>
        <v xml:space="preserve">M 6 X 10 </v>
      </c>
      <c r="F43" s="16" t="str">
        <f>IFERROR(VLOOKUP(C43,REKAP[[#All],[ID]:[Stok Akhir]],6,FALSE),"")</f>
        <v>Mur &amp; Baut</v>
      </c>
      <c r="G43" s="15">
        <f>IFERROR(VLOOKUP(C43,REKAP[[#All],[ID]:[Stok Akhir]],8,FALSE),"")</f>
        <v>600</v>
      </c>
      <c r="H43" s="11">
        <v>2</v>
      </c>
      <c r="I43" s="11" t="s">
        <v>3825</v>
      </c>
      <c r="J43" s="11" t="s">
        <v>3828</v>
      </c>
      <c r="K43" s="15"/>
      <c r="L43" s="11"/>
      <c r="M43" s="47">
        <f>IFERROR(VLOOKUP(C43,REKAP[[#All],[ID]:[Stok Akhir]],15,FALSE),"")</f>
        <v>23</v>
      </c>
    </row>
    <row r="44" spans="1:13" ht="16.5" thickTop="1" thickBot="1" x14ac:dyDescent="0.3">
      <c r="A44" s="27">
        <f t="shared" si="0"/>
        <v>38</v>
      </c>
      <c r="B44" s="7">
        <v>45356</v>
      </c>
      <c r="C44" s="8" t="s">
        <v>297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70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1600</v>
      </c>
      <c r="H44" s="11">
        <v>1</v>
      </c>
      <c r="I44" s="11" t="s">
        <v>3825</v>
      </c>
      <c r="J44" s="11" t="s">
        <v>3828</v>
      </c>
      <c r="K44" s="15"/>
      <c r="L44" s="11"/>
      <c r="M44" s="47">
        <f>IFERROR(VLOOKUP(C44,REKAP[[#All],[ID]:[Stok Akhir]],15,FALSE),"")</f>
        <v>29</v>
      </c>
    </row>
    <row r="45" spans="1:13" ht="16.5" thickTop="1" thickBot="1" x14ac:dyDescent="0.3">
      <c r="A45" s="27">
        <f t="shared" si="0"/>
        <v>39</v>
      </c>
      <c r="B45" s="7">
        <v>45356</v>
      </c>
      <c r="C45" s="8" t="s">
        <v>298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75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2300</v>
      </c>
      <c r="H45" s="11">
        <v>1</v>
      </c>
      <c r="I45" s="11" t="s">
        <v>3825</v>
      </c>
      <c r="J45" s="11" t="s">
        <v>3828</v>
      </c>
      <c r="K45" s="15"/>
      <c r="L45" s="11"/>
      <c r="M45" s="47">
        <f>IFERROR(VLOOKUP(C45,REKAP[[#All],[ID]:[Stok Akhir]],15,FALSE),"")</f>
        <v>37</v>
      </c>
    </row>
    <row r="46" spans="1:13" ht="16.5" thickTop="1" thickBot="1" x14ac:dyDescent="0.3">
      <c r="A46" s="27">
        <f t="shared" si="0"/>
        <v>40</v>
      </c>
      <c r="B46" s="7">
        <v>45356</v>
      </c>
      <c r="C46" s="8" t="s">
        <v>594</v>
      </c>
      <c r="D46" s="16" t="str">
        <f>IFERROR(VLOOKUP(C46,REKAP[[#All],[ID]:[Stok Akhir]],2,FALSE), "")</f>
        <v>Lock Nut</v>
      </c>
      <c r="E46" s="16" t="str">
        <f>IFERROR(VLOOKUP(C46,REKAP[[#All],[ID]:[Stok Akhir]],4,FALSE), "")</f>
        <v>M10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1000</v>
      </c>
      <c r="H46" s="11">
        <v>8</v>
      </c>
      <c r="I46" s="11" t="s">
        <v>3825</v>
      </c>
      <c r="J46" s="11" t="s">
        <v>3828</v>
      </c>
      <c r="K46" s="15"/>
      <c r="L46" s="11"/>
      <c r="M46" s="47">
        <f>IFERROR(VLOOKUP(C46,REKAP[[#All],[ID]:[Stok Akhir]],15,FALSE),"")</f>
        <v>13</v>
      </c>
    </row>
    <row r="47" spans="1:13" ht="16.5" thickTop="1" thickBot="1" x14ac:dyDescent="0.3">
      <c r="A47" s="27">
        <f t="shared" si="0"/>
        <v>41</v>
      </c>
      <c r="B47" s="7">
        <v>45356</v>
      </c>
      <c r="C47" s="8" t="s">
        <v>3254</v>
      </c>
      <c r="D47" s="16" t="str">
        <f>IFERROR(VLOOKUP(C47,REKAP[[#All],[ID]:[Stok Akhir]],2,FALSE), "")</f>
        <v xml:space="preserve">Burner Tip Pendek </v>
      </c>
      <c r="E47" s="16">
        <f>IFERROR(VLOOKUP(C47,REKAP[[#All],[ID]:[Stok Akhir]],4,FALSE), "")</f>
        <v>0</v>
      </c>
      <c r="F47" s="16" t="str">
        <f>IFERROR(VLOOKUP(C47,REKAP[[#All],[ID]:[Stok Akhir]],6,FALSE),"")</f>
        <v>Barang Jadi</v>
      </c>
      <c r="G47" s="15">
        <f>IFERROR(VLOOKUP(C47,REKAP[[#All],[ID]:[Stok Akhir]],8,FALSE),"")</f>
        <v>70000</v>
      </c>
      <c r="H47" s="11">
        <v>84</v>
      </c>
      <c r="I47" s="11" t="s">
        <v>3825</v>
      </c>
      <c r="J47" s="11" t="s">
        <v>3827</v>
      </c>
      <c r="K47" s="15"/>
      <c r="L47" s="11"/>
      <c r="M47" s="47">
        <f>IFERROR(VLOOKUP(C47,REKAP[[#All],[ID]:[Stok Akhir]],15,FALSE),"")</f>
        <v>83</v>
      </c>
    </row>
    <row r="48" spans="1:13" ht="16.5" thickTop="1" thickBot="1" x14ac:dyDescent="0.3">
      <c r="A48" s="27">
        <f t="shared" si="0"/>
        <v>42</v>
      </c>
      <c r="B48" s="7">
        <v>45356</v>
      </c>
      <c r="C48" s="8" t="s">
        <v>286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6 X 15/16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600</v>
      </c>
      <c r="H48" s="11">
        <v>40</v>
      </c>
      <c r="I48" s="11" t="s">
        <v>3825</v>
      </c>
      <c r="J48" s="11" t="s">
        <v>3829</v>
      </c>
      <c r="K48" s="15"/>
      <c r="L48" s="11"/>
      <c r="M48" s="47">
        <f>IFERROR(VLOOKUP(C48,REKAP[[#All],[ID]:[Stok Akhir]],15,FALSE),"")</f>
        <v>61</v>
      </c>
    </row>
    <row r="49" spans="1:13" ht="16.5" thickTop="1" thickBot="1" x14ac:dyDescent="0.3">
      <c r="A49" s="27">
        <f t="shared" si="0"/>
        <v>43</v>
      </c>
      <c r="B49" s="7">
        <v>45356</v>
      </c>
      <c r="C49" s="8" t="s">
        <v>287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6 X 20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1000</v>
      </c>
      <c r="H49" s="11">
        <v>16</v>
      </c>
      <c r="I49" s="11" t="s">
        <v>3825</v>
      </c>
      <c r="J49" s="11" t="s">
        <v>3829</v>
      </c>
      <c r="K49" s="15"/>
      <c r="L49" s="11"/>
      <c r="M49" s="47">
        <f>IFERROR(VLOOKUP(C49,REKAP[[#All],[ID]:[Stok Akhir]],15,FALSE),"")</f>
        <v>63</v>
      </c>
    </row>
    <row r="50" spans="1:13" ht="16.5" thickTop="1" thickBot="1" x14ac:dyDescent="0.3">
      <c r="A50" s="27">
        <f t="shared" si="0"/>
        <v>44</v>
      </c>
      <c r="B50" s="7">
        <v>45356</v>
      </c>
      <c r="C50" s="8" t="s">
        <v>289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6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800</v>
      </c>
      <c r="H50" s="11">
        <v>8</v>
      </c>
      <c r="I50" s="11" t="s">
        <v>3825</v>
      </c>
      <c r="J50" s="11" t="s">
        <v>3829</v>
      </c>
      <c r="K50" s="15"/>
      <c r="L50" s="11"/>
      <c r="M50" s="47">
        <f>IFERROR(VLOOKUP(C50,REKAP[[#All],[ID]:[Stok Akhir]],15,FALSE),"")</f>
        <v>7</v>
      </c>
    </row>
    <row r="51" spans="1:13" ht="16.5" thickTop="1" thickBot="1" x14ac:dyDescent="0.3">
      <c r="A51" s="27">
        <f t="shared" si="0"/>
        <v>45</v>
      </c>
      <c r="B51" s="7">
        <v>45356</v>
      </c>
      <c r="C51" s="8" t="s">
        <v>307</v>
      </c>
      <c r="D51" s="16" t="str">
        <f>IFERROR(VLOOKUP(C51,REKAP[[#All],[ID]:[Stok Akhir]],2,FALSE), "")</f>
        <v>Baut LPK</v>
      </c>
      <c r="E51" s="16" t="str">
        <f>IFERROR(VLOOKUP(C51,REKAP[[#All],[ID]:[Stok Akhir]],4,FALSE), "")</f>
        <v>M 8 X 16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1667</v>
      </c>
      <c r="H51" s="11">
        <v>8</v>
      </c>
      <c r="I51" s="11" t="s">
        <v>3825</v>
      </c>
      <c r="J51" s="11" t="s">
        <v>3829</v>
      </c>
      <c r="K51" s="15"/>
      <c r="L51" s="11"/>
      <c r="M51" s="47">
        <f>IFERROR(VLOOKUP(C51,REKAP[[#All],[ID]:[Stok Akhir]],15,FALSE),"")</f>
        <v>17</v>
      </c>
    </row>
    <row r="52" spans="1:13" ht="16.5" thickTop="1" thickBot="1" x14ac:dyDescent="0.3">
      <c r="A52" s="27">
        <f t="shared" si="0"/>
        <v>46</v>
      </c>
      <c r="B52" s="7">
        <v>45356</v>
      </c>
      <c r="C52" s="8" t="s">
        <v>310</v>
      </c>
      <c r="D52" s="16" t="str">
        <f>IFERROR(VLOOKUP(C52,REKAP[[#All],[ID]:[Stok Akhir]],2,FALSE), "")</f>
        <v>Baut LPK</v>
      </c>
      <c r="E52" s="16" t="str">
        <f>IFERROR(VLOOKUP(C52,REKAP[[#All],[ID]:[Stok Akhir]],4,FALSE), "")</f>
        <v>M 8 X 30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2000</v>
      </c>
      <c r="H52" s="11">
        <v>16</v>
      </c>
      <c r="I52" s="11" t="s">
        <v>3825</v>
      </c>
      <c r="J52" s="11" t="s">
        <v>3829</v>
      </c>
      <c r="K52" s="15"/>
      <c r="L52" s="11"/>
      <c r="M52" s="47">
        <f>IFERROR(VLOOKUP(C52,REKAP[[#All],[ID]:[Stok Akhir]],15,FALSE),"")</f>
        <v>15</v>
      </c>
    </row>
    <row r="53" spans="1:13" ht="16.5" thickTop="1" thickBot="1" x14ac:dyDescent="0.3">
      <c r="A53" s="27">
        <f t="shared" si="0"/>
        <v>47</v>
      </c>
      <c r="B53" s="7">
        <v>45356</v>
      </c>
      <c r="C53" s="8" t="s">
        <v>329</v>
      </c>
      <c r="D53" s="16" t="str">
        <f>IFERROR(VLOOKUP(C53,REKAP[[#All],[ID]:[Stok Akhir]],2,FALSE), "")</f>
        <v>Baut LPK</v>
      </c>
      <c r="E53" s="16" t="str">
        <f>IFERROR(VLOOKUP(C53,REKAP[[#All],[ID]:[Stok Akhir]],4,FALSE), "")</f>
        <v>M 10 X 15</v>
      </c>
      <c r="F53" s="16" t="str">
        <f>IFERROR(VLOOKUP(C53,REKAP[[#All],[ID]:[Stok Akhir]],6,FALSE),"")</f>
        <v>Mur &amp; Baut</v>
      </c>
      <c r="G53" s="15">
        <f>IFERROR(VLOOKUP(C53,REKAP[[#All],[ID]:[Stok Akhir]],8,FALSE),"")</f>
        <v>1800</v>
      </c>
      <c r="H53" s="11">
        <v>10</v>
      </c>
      <c r="I53" s="11" t="s">
        <v>3825</v>
      </c>
      <c r="J53" s="11" t="s">
        <v>3829</v>
      </c>
      <c r="K53" s="15"/>
      <c r="L53" s="11"/>
      <c r="M53" s="47">
        <f>IFERROR(VLOOKUP(C53,REKAP[[#All],[ID]:[Stok Akhir]],15,FALSE),"")</f>
        <v>29</v>
      </c>
    </row>
    <row r="54" spans="1:13" ht="16.5" thickTop="1" thickBot="1" x14ac:dyDescent="0.3">
      <c r="A54" s="27">
        <f t="shared" si="0"/>
        <v>48</v>
      </c>
      <c r="B54" s="7">
        <v>45356</v>
      </c>
      <c r="C54" s="8" t="s">
        <v>358</v>
      </c>
      <c r="D54" s="16" t="str">
        <f>IFERROR(VLOOKUP(C54,REKAP[[#All],[ID]:[Stok Akhir]],2,FALSE), "")</f>
        <v>Baut LPK</v>
      </c>
      <c r="E54" s="16" t="str">
        <f>IFERROR(VLOOKUP(C54,REKAP[[#All],[ID]:[Stok Akhir]],4,FALSE), "")</f>
        <v>M 12 X 30</v>
      </c>
      <c r="F54" s="16" t="str">
        <f>IFERROR(VLOOKUP(C54,REKAP[[#All],[ID]:[Stok Akhir]],6,FALSE),"")</f>
        <v>Mur &amp; Baut</v>
      </c>
      <c r="G54" s="15">
        <f>IFERROR(VLOOKUP(C54,REKAP[[#All],[ID]:[Stok Akhir]],8,FALSE),"")</f>
        <v>3100</v>
      </c>
      <c r="H54" s="11">
        <v>12</v>
      </c>
      <c r="I54" s="11" t="s">
        <v>3825</v>
      </c>
      <c r="J54" s="11" t="s">
        <v>3829</v>
      </c>
      <c r="K54" s="15"/>
      <c r="L54" s="11"/>
      <c r="M54" s="47">
        <f>IFERROR(VLOOKUP(C54,REKAP[[#All],[ID]:[Stok Akhir]],15,FALSE),"")</f>
        <v>4</v>
      </c>
    </row>
    <row r="55" spans="1:13" ht="16.5" thickTop="1" thickBot="1" x14ac:dyDescent="0.3">
      <c r="A55" s="27">
        <f t="shared" si="0"/>
        <v>49</v>
      </c>
      <c r="B55" s="7">
        <v>45356</v>
      </c>
      <c r="C55" s="8" t="s">
        <v>519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>M 8 x 10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700</v>
      </c>
      <c r="H55" s="11">
        <v>2</v>
      </c>
      <c r="I55" s="11" t="s">
        <v>3825</v>
      </c>
      <c r="J55" s="11" t="s">
        <v>3829</v>
      </c>
      <c r="K55" s="15"/>
      <c r="L55" s="11"/>
      <c r="M55" s="47">
        <f>IFERROR(VLOOKUP(C55,REKAP[[#All],[ID]:[Stok Akhir]],15,FALSE),"")</f>
        <v>25</v>
      </c>
    </row>
    <row r="56" spans="1:13" ht="16.5" thickTop="1" thickBot="1" x14ac:dyDescent="0.3">
      <c r="A56" s="27">
        <f t="shared" si="0"/>
        <v>50</v>
      </c>
      <c r="B56" s="7">
        <v>45356</v>
      </c>
      <c r="C56" s="8" t="s">
        <v>596</v>
      </c>
      <c r="D56" s="16" t="str">
        <f>IFERROR(VLOOKUP(C56,REKAP[[#All],[ID]:[Stok Akhir]],2,FALSE), "")</f>
        <v>Lock Nut</v>
      </c>
      <c r="E56" s="16" t="str">
        <f>IFERROR(VLOOKUP(C56,REKAP[[#All],[ID]:[Stok Akhir]],4,FALSE), "")</f>
        <v>M12</v>
      </c>
      <c r="F56" s="16" t="str">
        <f>IFERROR(VLOOKUP(C56,REKAP[[#All],[ID]:[Stok Akhir]],6,FALSE),"")</f>
        <v>Mur &amp; Baut</v>
      </c>
      <c r="G56" s="15">
        <f>IFERROR(VLOOKUP(C56,REKAP[[#All],[ID]:[Stok Akhir]],8,FALSE),"")</f>
        <v>1200</v>
      </c>
      <c r="H56" s="11">
        <v>16</v>
      </c>
      <c r="I56" s="11" t="s">
        <v>3825</v>
      </c>
      <c r="J56" s="11" t="s">
        <v>3829</v>
      </c>
      <c r="K56" s="15"/>
      <c r="L56" s="11"/>
      <c r="M56" s="47">
        <f>IFERROR(VLOOKUP(C56,REKAP[[#All],[ID]:[Stok Akhir]],15,FALSE),"")</f>
        <v>32</v>
      </c>
    </row>
    <row r="57" spans="1:13" ht="16.5" thickTop="1" thickBot="1" x14ac:dyDescent="0.3">
      <c r="A57" s="27">
        <f t="shared" si="0"/>
        <v>51</v>
      </c>
      <c r="B57" s="7">
        <v>45356</v>
      </c>
      <c r="C57" s="8" t="s">
        <v>962</v>
      </c>
      <c r="D57" s="16" t="str">
        <f>IFERROR(VLOOKUP(C57,REKAP[[#All],[ID]:[Stok Akhir]],2,FALSE), "")</f>
        <v>Dowel Pin</v>
      </c>
      <c r="E57" s="16" t="str">
        <f>IFERROR(VLOOKUP(C57,REKAP[[#All],[ID]:[Stok Akhir]],4,FALSE), "")</f>
        <v>DPND-8-15</v>
      </c>
      <c r="F57" s="16" t="str">
        <f>IFERROR(VLOOKUP(C57,REKAP[[#All],[ID]:[Stok Akhir]],6,FALSE),"")</f>
        <v>Accessories Mold</v>
      </c>
      <c r="G57" s="15">
        <f>IFERROR(VLOOKUP(C57,REKAP[[#All],[ID]:[Stok Akhir]],8,FALSE),"")</f>
        <v>3726</v>
      </c>
      <c r="H57" s="11">
        <v>4</v>
      </c>
      <c r="I57" s="11" t="s">
        <v>3825</v>
      </c>
      <c r="J57" s="11" t="s">
        <v>3830</v>
      </c>
      <c r="K57" s="15"/>
      <c r="L57" s="11"/>
      <c r="M57" s="47">
        <f>IFERROR(VLOOKUP(C57,REKAP[[#All],[ID]:[Stok Akhir]],15,FALSE),"")</f>
        <v>2</v>
      </c>
    </row>
    <row r="58" spans="1:13" ht="16.5" thickTop="1" thickBot="1" x14ac:dyDescent="0.3">
      <c r="A58" s="27">
        <f t="shared" si="0"/>
        <v>52</v>
      </c>
      <c r="B58" s="7">
        <v>45356</v>
      </c>
      <c r="C58" s="8" t="s">
        <v>1315</v>
      </c>
      <c r="D58" s="16" t="str">
        <f>IFERROR(VLOOKUP(C58,REKAP[[#All],[ID]:[Stok Akhir]],2,FALSE), "")</f>
        <v>Screw Plugs</v>
      </c>
      <c r="E58" s="16" t="str">
        <f>IFERROR(VLOOKUP(C58,REKAP[[#All],[ID]:[Stok Akhir]],4,FALSE), "")</f>
        <v>QPWA 030</v>
      </c>
      <c r="F58" s="16" t="str">
        <f>IFERROR(VLOOKUP(C58,REKAP[[#All],[ID]:[Stok Akhir]],6,FALSE),"")</f>
        <v>Accessories Mold</v>
      </c>
      <c r="G58" s="15">
        <f>IFERROR(VLOOKUP(C58,REKAP[[#All],[ID]:[Stok Akhir]],8,FALSE),"")</f>
        <v>9000</v>
      </c>
      <c r="H58" s="11">
        <v>4</v>
      </c>
      <c r="I58" s="11" t="s">
        <v>3825</v>
      </c>
      <c r="J58" s="11" t="s">
        <v>3829</v>
      </c>
      <c r="K58" s="15"/>
      <c r="L58" s="11"/>
      <c r="M58" s="47">
        <f>IFERROR(VLOOKUP(C58,REKAP[[#All],[ID]:[Stok Akhir]],15,FALSE),"")</f>
        <v>0</v>
      </c>
    </row>
    <row r="59" spans="1:13" ht="16.5" thickTop="1" thickBot="1" x14ac:dyDescent="0.3">
      <c r="A59" s="27">
        <f t="shared" si="0"/>
        <v>53</v>
      </c>
      <c r="B59" s="7">
        <v>45356</v>
      </c>
      <c r="C59" s="8" t="s">
        <v>530</v>
      </c>
      <c r="D59" s="16" t="str">
        <f>IFERROR(VLOOKUP(C59,REKAP[[#All],[ID]:[Stok Akhir]],2,FALSE), "")</f>
        <v>Baut Tanam</v>
      </c>
      <c r="E59" s="16" t="str">
        <f>IFERROR(VLOOKUP(C59,REKAP[[#All],[ID]:[Stok Akhir]],4,FALSE), "")</f>
        <v xml:space="preserve">M 12 x 12 </v>
      </c>
      <c r="F59" s="16" t="str">
        <f>IFERROR(VLOOKUP(C59,REKAP[[#All],[ID]:[Stok Akhir]],6,FALSE),"")</f>
        <v>Mur &amp; Baut</v>
      </c>
      <c r="G59" s="15">
        <f>IFERROR(VLOOKUP(C59,REKAP[[#All],[ID]:[Stok Akhir]],8,FALSE),"")</f>
        <v>3000</v>
      </c>
      <c r="H59" s="11">
        <v>4</v>
      </c>
      <c r="I59" s="11" t="s">
        <v>3825</v>
      </c>
      <c r="J59" s="11" t="s">
        <v>3829</v>
      </c>
      <c r="K59" s="15"/>
      <c r="L59" s="11"/>
      <c r="M59" s="47">
        <f>IFERROR(VLOOKUP(C59,REKAP[[#All],[ID]:[Stok Akhir]],15,FALSE),"")</f>
        <v>12</v>
      </c>
    </row>
    <row r="60" spans="1:13" ht="16.5" thickTop="1" thickBot="1" x14ac:dyDescent="0.3">
      <c r="A60" s="27">
        <f t="shared" si="0"/>
        <v>54</v>
      </c>
      <c r="B60" s="7">
        <v>45357</v>
      </c>
      <c r="C60" s="8" t="s">
        <v>2616</v>
      </c>
      <c r="D60" s="16" t="str">
        <f>IFERROR(VLOOKUP(C60,REKAP[[#All],[ID]:[Stok Akhir]],2,FALSE), "")</f>
        <v>BNC Moldino (R2x35)</v>
      </c>
      <c r="E60" s="16" t="str">
        <f>IFERROR(VLOOKUP(C60,REKAP[[#All],[ID]:[Stok Akhir]],4,FALSE), "")</f>
        <v xml:space="preserve">Ø4 EPDBE2040-35-ATH </v>
      </c>
      <c r="F60" s="16" t="str">
        <f>IFERROR(VLOOKUP(C60,REKAP[[#All],[ID]:[Stok Akhir]],6,FALSE),"")</f>
        <v>Tools</v>
      </c>
      <c r="G60" s="15">
        <f>IFERROR(VLOOKUP(C60,REKAP[[#All],[ID]:[Stok Akhir]],8,FALSE),"")</f>
        <v>515000</v>
      </c>
      <c r="H60" s="11">
        <v>2</v>
      </c>
      <c r="I60" s="11" t="s">
        <v>3704</v>
      </c>
      <c r="J60" s="11" t="s">
        <v>3705</v>
      </c>
      <c r="K60" s="15"/>
      <c r="L60" s="11"/>
      <c r="M60" s="47">
        <f>IFERROR(VLOOKUP(C60,REKAP[[#All],[ID]:[Stok Akhir]],15,FALSE),"")</f>
        <v>36</v>
      </c>
    </row>
    <row r="61" spans="1:13" ht="16.5" thickTop="1" thickBot="1" x14ac:dyDescent="0.3">
      <c r="A61" s="27">
        <f t="shared" si="0"/>
        <v>55</v>
      </c>
      <c r="B61" s="7">
        <v>45357</v>
      </c>
      <c r="C61" s="8" t="s">
        <v>2898</v>
      </c>
      <c r="D61" s="16" t="str">
        <f>IFERROR(VLOOKUP(C61,REKAP[[#All],[ID]:[Stok Akhir]],2,FALSE), "")</f>
        <v>End Mill STS</v>
      </c>
      <c r="E61" s="16" t="str">
        <f>IFERROR(VLOOKUP(C61,REKAP[[#All],[ID]:[Stok Akhir]],4,FALSE), "")</f>
        <v>Ø10 OT-4RHFR-10XR1</v>
      </c>
      <c r="F61" s="16" t="str">
        <f>IFERROR(VLOOKUP(C61,REKAP[[#All],[ID]:[Stok Akhir]],6,FALSE),"")</f>
        <v>Tools</v>
      </c>
      <c r="G61" s="15">
        <f>IFERROR(VLOOKUP(C61,REKAP[[#All],[ID]:[Stok Akhir]],8,FALSE),"")</f>
        <v>984000</v>
      </c>
      <c r="H61" s="11">
        <v>1</v>
      </c>
      <c r="I61" s="11" t="s">
        <v>3680</v>
      </c>
      <c r="J61" s="11" t="s">
        <v>3701</v>
      </c>
      <c r="K61" s="15"/>
      <c r="L61" s="11"/>
      <c r="M61" s="47">
        <f>IFERROR(VLOOKUP(C61,REKAP[[#All],[ID]:[Stok Akhir]],15,FALSE),"")</f>
        <v>1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2602</v>
      </c>
      <c r="D62" s="16" t="str">
        <f>IFERROR(VLOOKUP(C62,REKAP[[#All],[ID]:[Stok Akhir]],2,FALSE), "")</f>
        <v>BNC Moldino (R1x16)</v>
      </c>
      <c r="E62" s="16" t="str">
        <f>IFERROR(VLOOKUP(C62,REKAP[[#All],[ID]:[Stok Akhir]],4,FALSE), "")</f>
        <v>EPDBE2020-16-ATH</v>
      </c>
      <c r="F62" s="16" t="str">
        <f>IFERROR(VLOOKUP(C62,REKAP[[#All],[ID]:[Stok Akhir]],6,FALSE),"")</f>
        <v>Tools</v>
      </c>
      <c r="G62" s="15">
        <f>IFERROR(VLOOKUP(C62,REKAP[[#All],[ID]:[Stok Akhir]],8,FALSE),"")</f>
        <v>423000</v>
      </c>
      <c r="H62" s="11">
        <v>1</v>
      </c>
      <c r="I62" s="11" t="s">
        <v>3680</v>
      </c>
      <c r="J62" s="11" t="s">
        <v>3729</v>
      </c>
      <c r="K62" s="15"/>
      <c r="L62" s="11"/>
      <c r="M62" s="47">
        <f>IFERROR(VLOOKUP(C62,REKAP[[#All],[ID]:[Stok Akhir]],15,FALSE),"")</f>
        <v>2</v>
      </c>
    </row>
    <row r="63" spans="1:13" ht="16.5" thickTop="1" thickBot="1" x14ac:dyDescent="0.3">
      <c r="A63" s="27">
        <f t="shared" si="0"/>
        <v>57</v>
      </c>
      <c r="B63" s="7">
        <v>45357</v>
      </c>
      <c r="C63" s="8" t="s">
        <v>2939</v>
      </c>
      <c r="D63" s="16" t="str">
        <f>IFERROR(VLOOKUP(C63,REKAP[[#All],[ID]:[Stok Akhir]],2,FALSE), "")</f>
        <v>Hand Tap Yamawa,YG1</v>
      </c>
      <c r="E63" s="16" t="str">
        <f>IFERROR(VLOOKUP(C63,REKAP[[#All],[ID]:[Stok Akhir]],4,FALSE), "")</f>
        <v>M14 x 2</v>
      </c>
      <c r="F63" s="16" t="str">
        <f>IFERROR(VLOOKUP(C63,REKAP[[#All],[ID]:[Stok Akhir]],6,FALSE),"")</f>
        <v>Tools</v>
      </c>
      <c r="G63" s="15">
        <f>IFERROR(VLOOKUP(C63,REKAP[[#All],[ID]:[Stok Akhir]],8,FALSE),"")</f>
        <v>286000</v>
      </c>
      <c r="H63" s="11">
        <v>1</v>
      </c>
      <c r="I63" s="11" t="s">
        <v>3690</v>
      </c>
      <c r="J63" s="11" t="s">
        <v>3730</v>
      </c>
      <c r="K63" s="15"/>
      <c r="L63" s="11"/>
      <c r="M63" s="47">
        <f>IFERROR(VLOOKUP(C63,REKAP[[#All],[ID]:[Stok Akhir]],15,FALSE),"")</f>
        <v>1</v>
      </c>
    </row>
    <row r="64" spans="1:13" ht="16.5" thickTop="1" thickBot="1" x14ac:dyDescent="0.3">
      <c r="A64" s="27">
        <f t="shared" si="0"/>
        <v>58</v>
      </c>
      <c r="B64" s="7">
        <v>45357</v>
      </c>
      <c r="C64" s="8" t="s">
        <v>778</v>
      </c>
      <c r="D64" s="16" t="str">
        <f>IFERROR(VLOOKUP(C64,REKAP[[#All],[ID]:[Stok Akhir]],2,FALSE), "")</f>
        <v xml:space="preserve">Paku Ripet 4X11mm  </v>
      </c>
      <c r="E64" s="16">
        <f>IFERROR(VLOOKUP(C64,REKAP[[#All],[ID]:[Stok Akhir]],4,FALSE), "")</f>
        <v>0</v>
      </c>
      <c r="F64" s="16" t="str">
        <f>IFERROR(VLOOKUP(C64,REKAP[[#All],[ID]:[Stok Akhir]],6,FALSE),"")</f>
        <v>Bahan Pembantu</v>
      </c>
      <c r="G64" s="15">
        <f>IFERROR(VLOOKUP(C64,REKAP[[#All],[ID]:[Stok Akhir]],8,FALSE),"")</f>
        <v>255</v>
      </c>
      <c r="H64" s="11">
        <v>4</v>
      </c>
      <c r="I64" s="11" t="s">
        <v>3731</v>
      </c>
      <c r="J64" s="11" t="s">
        <v>3732</v>
      </c>
      <c r="K64" s="15"/>
      <c r="L64" s="11"/>
      <c r="M64" s="47">
        <f>IFERROR(VLOOKUP(C64,REKAP[[#All],[ID]:[Stok Akhir]],15,FALSE),"")</f>
        <v>907</v>
      </c>
    </row>
    <row r="65" spans="1:13" ht="16.5" thickTop="1" thickBot="1" x14ac:dyDescent="0.3">
      <c r="A65" s="27">
        <f t="shared" si="0"/>
        <v>59</v>
      </c>
      <c r="B65" s="7">
        <v>45357</v>
      </c>
      <c r="C65" s="8" t="s">
        <v>2802</v>
      </c>
      <c r="D65" s="16" t="str">
        <f>IFERROR(VLOOKUP(C65,REKAP[[#All],[ID]:[Stok Akhir]],2,FALSE), "")</f>
        <v>End Mill Moldino (6XR1.5X42)</v>
      </c>
      <c r="E65" s="16" t="str">
        <f>IFERROR(VLOOKUP(C65,REKAP[[#All],[ID]:[Stok Akhir]],4,FALSE), "")</f>
        <v>ETMLN-4060-42-15-TH</v>
      </c>
      <c r="F65" s="16" t="str">
        <f>IFERROR(VLOOKUP(C65,REKAP[[#All],[ID]:[Stok Akhir]],6,FALSE),"")</f>
        <v>Tools</v>
      </c>
      <c r="G65" s="15">
        <f>IFERROR(VLOOKUP(C65,REKAP[[#All],[ID]:[Stok Akhir]],8,FALSE),"")</f>
        <v>1379000</v>
      </c>
      <c r="H65" s="11">
        <v>1</v>
      </c>
      <c r="I65" s="11" t="s">
        <v>3704</v>
      </c>
      <c r="J65" s="11" t="s">
        <v>3733</v>
      </c>
      <c r="K65" s="15"/>
      <c r="L65" s="11"/>
      <c r="M65" s="47">
        <f>IFERROR(VLOOKUP(C65,REKAP[[#All],[ID]:[Stok Akhir]],15,FALSE),"")</f>
        <v>2</v>
      </c>
    </row>
    <row r="66" spans="1:13" ht="16.5" thickTop="1" thickBot="1" x14ac:dyDescent="0.3">
      <c r="A66" s="27">
        <f t="shared" si="0"/>
        <v>60</v>
      </c>
      <c r="B66" s="7">
        <v>45357</v>
      </c>
      <c r="C66" s="8" t="s">
        <v>2831</v>
      </c>
      <c r="D66" s="16" t="str">
        <f>IFERROR(VLOOKUP(C66,REKAP[[#All],[ID]:[Stok Akhir]],2,FALSE), "")</f>
        <v xml:space="preserve">End Mill Moldino </v>
      </c>
      <c r="E66" s="16" t="str">
        <f>IFERROR(VLOOKUP(C66,REKAP[[#All],[ID]:[Stok Akhir]],4,FALSE), "")</f>
        <v>ETRP4030-30-0908-TH</v>
      </c>
      <c r="F66" s="16" t="str">
        <f>IFERROR(VLOOKUP(C66,REKAP[[#All],[ID]:[Stok Akhir]],6,FALSE),"")</f>
        <v>Tools</v>
      </c>
      <c r="G66" s="15">
        <f>IFERROR(VLOOKUP(C66,REKAP[[#All],[ID]:[Stok Akhir]],8,FALSE),"")</f>
        <v>1348000</v>
      </c>
      <c r="H66" s="11">
        <v>1</v>
      </c>
      <c r="I66" s="11" t="s">
        <v>3704</v>
      </c>
      <c r="J66" s="11" t="s">
        <v>3733</v>
      </c>
      <c r="K66" s="15"/>
      <c r="L66" s="11"/>
      <c r="M66" s="47">
        <f>IFERROR(VLOOKUP(C66,REKAP[[#All],[ID]:[Stok Akhir]],15,FALSE),"")</f>
        <v>2</v>
      </c>
    </row>
    <row r="67" spans="1:13" ht="16.5" thickTop="1" thickBot="1" x14ac:dyDescent="0.3">
      <c r="A67" s="27">
        <f t="shared" si="0"/>
        <v>61</v>
      </c>
      <c r="B67" s="7">
        <v>45357</v>
      </c>
      <c r="C67" s="8" t="s">
        <v>2608</v>
      </c>
      <c r="D67" s="16" t="str">
        <f>IFERROR(VLOOKUP(C67,REKAP[[#All],[ID]:[Stok Akhir]],2,FALSE), "")</f>
        <v>BNC Moldino (R1.5x25)</v>
      </c>
      <c r="E67" s="16" t="str">
        <f>IFERROR(VLOOKUP(C67,REKAP[[#All],[ID]:[Stok Akhir]],4,FALSE), "")</f>
        <v xml:space="preserve">Ø3 EPDBE2030-25-ATH </v>
      </c>
      <c r="F67" s="16" t="str">
        <f>IFERROR(VLOOKUP(C67,REKAP[[#All],[ID]:[Stok Akhir]],6,FALSE),"")</f>
        <v>Tools</v>
      </c>
      <c r="G67" s="15">
        <f>IFERROR(VLOOKUP(C67,REKAP[[#All],[ID]:[Stok Akhir]],8,FALSE),"")</f>
        <v>513000</v>
      </c>
      <c r="H67" s="11">
        <v>4</v>
      </c>
      <c r="I67" s="11" t="s">
        <v>3704</v>
      </c>
      <c r="J67" s="11" t="s">
        <v>3733</v>
      </c>
      <c r="K67" s="15"/>
      <c r="L67" s="11"/>
      <c r="M67" s="47">
        <f>IFERROR(VLOOKUP(C67,REKAP[[#All],[ID]:[Stok Akhir]],15,FALSE),"")</f>
        <v>2</v>
      </c>
    </row>
    <row r="68" spans="1:13" ht="16.5" thickTop="1" thickBot="1" x14ac:dyDescent="0.3">
      <c r="A68" s="27">
        <f t="shared" si="0"/>
        <v>62</v>
      </c>
      <c r="B68" s="7">
        <v>45357</v>
      </c>
      <c r="C68" s="8" t="s">
        <v>369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12 X 90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8400</v>
      </c>
      <c r="H68" s="11">
        <v>6</v>
      </c>
      <c r="I68" s="11" t="s">
        <v>3825</v>
      </c>
      <c r="J68" s="11" t="s">
        <v>3757</v>
      </c>
      <c r="K68" s="15"/>
      <c r="L68" s="11"/>
      <c r="M68" s="47">
        <f>IFERROR(VLOOKUP(C68,REKAP[[#All],[ID]:[Stok Akhir]],15,FALSE),"")</f>
        <v>23</v>
      </c>
    </row>
    <row r="69" spans="1:13" ht="16.5" thickTop="1" thickBot="1" x14ac:dyDescent="0.3">
      <c r="A69" s="27">
        <f t="shared" si="0"/>
        <v>63</v>
      </c>
      <c r="B69" s="7">
        <v>45357</v>
      </c>
      <c r="C69" s="8" t="s">
        <v>360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12 X 40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3750</v>
      </c>
      <c r="H69" s="11">
        <v>4</v>
      </c>
      <c r="I69" s="11" t="s">
        <v>3825</v>
      </c>
      <c r="J69" s="11" t="s">
        <v>3757</v>
      </c>
      <c r="K69" s="15"/>
      <c r="L69" s="11"/>
      <c r="M69" s="47">
        <f>IFERROR(VLOOKUP(C69,REKAP[[#All],[ID]:[Stok Akhir]],15,FALSE),"")</f>
        <v>7</v>
      </c>
    </row>
    <row r="70" spans="1:13" ht="16.5" thickTop="1" thickBot="1" x14ac:dyDescent="0.3">
      <c r="A70" s="27">
        <f t="shared" si="0"/>
        <v>64</v>
      </c>
      <c r="B70" s="7">
        <v>45357</v>
      </c>
      <c r="C70" s="8" t="s">
        <v>307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8 X 16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1667</v>
      </c>
      <c r="H70" s="11">
        <v>2</v>
      </c>
      <c r="I70" s="11" t="s">
        <v>3825</v>
      </c>
      <c r="J70" s="11" t="s">
        <v>3757</v>
      </c>
      <c r="K70" s="15"/>
      <c r="L70" s="11"/>
      <c r="M70" s="47">
        <f>IFERROR(VLOOKUP(C70,REKAP[[#All],[ID]:[Stok Akhir]],15,FALSE),"")</f>
        <v>17</v>
      </c>
    </row>
    <row r="71" spans="1:13" ht="16.5" thickTop="1" thickBot="1" x14ac:dyDescent="0.3">
      <c r="A71" s="27">
        <f t="shared" ref="A71:A134" si="1">ROW()-ROW($A$6)</f>
        <v>65</v>
      </c>
      <c r="B71" s="7">
        <v>45357</v>
      </c>
      <c r="C71" s="8" t="s">
        <v>285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12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8</v>
      </c>
      <c r="I71" s="11" t="s">
        <v>3825</v>
      </c>
      <c r="J71" s="11" t="s">
        <v>3757</v>
      </c>
      <c r="K71" s="15"/>
      <c r="L71" s="11"/>
      <c r="M71" s="47">
        <f>IFERROR(VLOOKUP(C71,REKAP[[#All],[ID]:[Stok Akhir]],15,FALSE),"")</f>
        <v>20</v>
      </c>
    </row>
    <row r="72" spans="1:13" ht="16.5" thickTop="1" thickBot="1" x14ac:dyDescent="0.3">
      <c r="A72" s="27">
        <f t="shared" si="1"/>
        <v>66</v>
      </c>
      <c r="B72" s="7">
        <v>45357</v>
      </c>
      <c r="C72" s="8" t="s">
        <v>319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8 X 75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2800</v>
      </c>
      <c r="H72" s="11">
        <v>8</v>
      </c>
      <c r="I72" s="11" t="s">
        <v>3825</v>
      </c>
      <c r="J72" s="11" t="s">
        <v>3757</v>
      </c>
      <c r="K72" s="15"/>
      <c r="L72" s="11"/>
      <c r="M72" s="47">
        <f>IFERROR(VLOOKUP(C72,REKAP[[#All],[ID]:[Stok Akhir]],15,FALSE),"")</f>
        <v>14</v>
      </c>
    </row>
    <row r="73" spans="1:13" ht="16.5" thickTop="1" thickBot="1" x14ac:dyDescent="0.3">
      <c r="A73" s="27">
        <f t="shared" si="1"/>
        <v>67</v>
      </c>
      <c r="B73" s="7">
        <v>45357</v>
      </c>
      <c r="C73" s="8" t="s">
        <v>313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8 X 45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1800</v>
      </c>
      <c r="H73" s="11">
        <v>8</v>
      </c>
      <c r="I73" s="11" t="s">
        <v>3825</v>
      </c>
      <c r="J73" s="11" t="s">
        <v>3757</v>
      </c>
      <c r="K73" s="15"/>
      <c r="L73" s="11"/>
      <c r="M73" s="47">
        <f>IFERROR(VLOOKUP(C73,REKAP[[#All],[ID]:[Stok Akhir]],15,FALSE),"")</f>
        <v>22</v>
      </c>
    </row>
    <row r="74" spans="1:13" ht="16.5" thickTop="1" thickBot="1" x14ac:dyDescent="0.3">
      <c r="A74" s="27">
        <f t="shared" si="1"/>
        <v>68</v>
      </c>
      <c r="B74" s="7">
        <v>45357</v>
      </c>
      <c r="C74" s="8" t="s">
        <v>334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10 X 40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3000</v>
      </c>
      <c r="H74" s="11">
        <v>6</v>
      </c>
      <c r="I74" s="11" t="s">
        <v>3825</v>
      </c>
      <c r="J74" s="11" t="s">
        <v>3757</v>
      </c>
      <c r="K74" s="15"/>
      <c r="L74" s="11"/>
      <c r="M74" s="47">
        <f>IFERROR(VLOOKUP(C74,REKAP[[#All],[ID]:[Stok Akhir]],15,FALSE),"")</f>
        <v>21</v>
      </c>
    </row>
    <row r="75" spans="1:13" ht="16.5" thickTop="1" thickBot="1" x14ac:dyDescent="0.3">
      <c r="A75" s="27">
        <f t="shared" si="1"/>
        <v>69</v>
      </c>
      <c r="B75" s="7">
        <v>45357</v>
      </c>
      <c r="C75" s="8" t="s">
        <v>286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>M 6 X 15/16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600</v>
      </c>
      <c r="H75" s="11">
        <v>3</v>
      </c>
      <c r="I75" s="11" t="s">
        <v>3825</v>
      </c>
      <c r="J75" s="11" t="s">
        <v>3757</v>
      </c>
      <c r="K75" s="15"/>
      <c r="L75" s="11"/>
      <c r="M75" s="47">
        <f>IFERROR(VLOOKUP(C75,REKAP[[#All],[ID]:[Stok Akhir]],15,FALSE),"")</f>
        <v>61</v>
      </c>
    </row>
    <row r="76" spans="1:13" ht="16.5" thickTop="1" thickBot="1" x14ac:dyDescent="0.3">
      <c r="A76" s="27">
        <f t="shared" si="1"/>
        <v>70</v>
      </c>
      <c r="B76" s="7">
        <v>45357</v>
      </c>
      <c r="C76" s="8" t="s">
        <v>289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6 X 30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800</v>
      </c>
      <c r="H76" s="11">
        <v>8</v>
      </c>
      <c r="I76" s="11" t="s">
        <v>3825</v>
      </c>
      <c r="J76" s="11" t="s">
        <v>3757</v>
      </c>
      <c r="K76" s="15"/>
      <c r="L76" s="11"/>
      <c r="M76" s="47">
        <f>IFERROR(VLOOKUP(C76,REKAP[[#All],[ID]:[Stok Akhir]],15,FALSE),"")</f>
        <v>7</v>
      </c>
    </row>
    <row r="77" spans="1:13" ht="16.5" thickTop="1" thickBot="1" x14ac:dyDescent="0.3">
      <c r="A77" s="27">
        <f t="shared" si="1"/>
        <v>71</v>
      </c>
      <c r="B77" s="7">
        <v>45357</v>
      </c>
      <c r="C77" s="8" t="s">
        <v>334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10 X 40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3000</v>
      </c>
      <c r="H77" s="11">
        <v>6</v>
      </c>
      <c r="I77" s="11" t="s">
        <v>3825</v>
      </c>
      <c r="J77" s="11" t="s">
        <v>3757</v>
      </c>
      <c r="K77" s="15"/>
      <c r="L77" s="11"/>
      <c r="M77" s="47">
        <f>IFERROR(VLOOKUP(C77,REKAP[[#All],[ID]:[Stok Akhir]],15,FALSE),"")</f>
        <v>21</v>
      </c>
    </row>
    <row r="78" spans="1:13" ht="16.5" thickTop="1" thickBot="1" x14ac:dyDescent="0.3">
      <c r="A78" s="27">
        <f t="shared" si="1"/>
        <v>72</v>
      </c>
      <c r="B78" s="7">
        <v>45357</v>
      </c>
      <c r="C78" s="8" t="s">
        <v>289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6 X 30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800</v>
      </c>
      <c r="H78" s="11">
        <v>8</v>
      </c>
      <c r="I78" s="11" t="s">
        <v>3825</v>
      </c>
      <c r="J78" s="11" t="s">
        <v>3757</v>
      </c>
      <c r="K78" s="15"/>
      <c r="L78" s="11"/>
      <c r="M78" s="47">
        <f>IFERROR(VLOOKUP(C78,REKAP[[#All],[ID]:[Stok Akhir]],15,FALSE),"")</f>
        <v>7</v>
      </c>
    </row>
    <row r="79" spans="1:13" ht="16.5" thickTop="1" thickBot="1" x14ac:dyDescent="0.3">
      <c r="A79" s="27">
        <f t="shared" si="1"/>
        <v>73</v>
      </c>
      <c r="B79" s="7">
        <v>45357</v>
      </c>
      <c r="C79" s="8" t="s">
        <v>252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 xml:space="preserve">M 3 X 15 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1000</v>
      </c>
      <c r="H79" s="11">
        <v>2</v>
      </c>
      <c r="I79" s="11" t="s">
        <v>3825</v>
      </c>
      <c r="J79" s="11" t="s">
        <v>3757</v>
      </c>
      <c r="K79" s="15"/>
      <c r="L79" s="11"/>
      <c r="M79" s="47">
        <f>IFERROR(VLOOKUP(C79,REKAP[[#All],[ID]:[Stok Akhir]],15,FALSE),"")</f>
        <v>7</v>
      </c>
    </row>
    <row r="80" spans="1:13" ht="16.5" thickTop="1" thickBot="1" x14ac:dyDescent="0.3">
      <c r="A80" s="27">
        <f t="shared" si="1"/>
        <v>74</v>
      </c>
      <c r="B80" s="7">
        <v>45357</v>
      </c>
      <c r="C80" s="8" t="s">
        <v>331</v>
      </c>
      <c r="D80" s="16" t="str">
        <f>IFERROR(VLOOKUP(C80,REKAP[[#All],[ID]:[Stok Akhir]],2,FALSE), "")</f>
        <v>Baut LPK</v>
      </c>
      <c r="E80" s="16" t="str">
        <f>IFERROR(VLOOKUP(C80,REKAP[[#All],[ID]:[Stok Akhir]],4,FALSE), "")</f>
        <v>M 10 X 25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2000</v>
      </c>
      <c r="H80" s="11">
        <v>2</v>
      </c>
      <c r="I80" s="11" t="s">
        <v>3825</v>
      </c>
      <c r="J80" s="11" t="s">
        <v>3757</v>
      </c>
      <c r="K80" s="15"/>
      <c r="L80" s="11"/>
      <c r="M80" s="47">
        <f>IFERROR(VLOOKUP(C80,REKAP[[#All],[ID]:[Stok Akhir]],15,FALSE),"")</f>
        <v>44</v>
      </c>
    </row>
    <row r="81" spans="1:13" ht="16.5" thickTop="1" thickBot="1" x14ac:dyDescent="0.3">
      <c r="A81" s="27">
        <f t="shared" si="1"/>
        <v>75</v>
      </c>
      <c r="B81" s="7">
        <v>45357</v>
      </c>
      <c r="C81" s="8" t="s">
        <v>310</v>
      </c>
      <c r="D81" s="16" t="str">
        <f>IFERROR(VLOOKUP(C81,REKAP[[#All],[ID]:[Stok Akhir]],2,FALSE), "")</f>
        <v>Baut LPK</v>
      </c>
      <c r="E81" s="16" t="str">
        <f>IFERROR(VLOOKUP(C81,REKAP[[#All],[ID]:[Stok Akhir]],4,FALSE), "")</f>
        <v>M 8 X 30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2000</v>
      </c>
      <c r="H81" s="11">
        <v>3</v>
      </c>
      <c r="I81" s="11" t="s">
        <v>3825</v>
      </c>
      <c r="J81" s="11" t="s">
        <v>3757</v>
      </c>
      <c r="K81" s="15"/>
      <c r="L81" s="11"/>
      <c r="M81" s="47">
        <f>IFERROR(VLOOKUP(C81,REKAP[[#All],[ID]:[Stok Akhir]],15,FALSE),"")</f>
        <v>15</v>
      </c>
    </row>
    <row r="82" spans="1:13" ht="16.5" thickTop="1" thickBot="1" x14ac:dyDescent="0.3">
      <c r="A82" s="27">
        <f t="shared" si="1"/>
        <v>76</v>
      </c>
      <c r="B82" s="7">
        <v>45357</v>
      </c>
      <c r="C82" s="8" t="s">
        <v>339</v>
      </c>
      <c r="D82" s="16" t="str">
        <f>IFERROR(VLOOKUP(C82,REKAP[[#All],[ID]:[Stok Akhir]],2,FALSE), "")</f>
        <v>Baut LPK</v>
      </c>
      <c r="E82" s="16" t="str">
        <f>IFERROR(VLOOKUP(C82,REKAP[[#All],[ID]:[Stok Akhir]],4,FALSE), "")</f>
        <v>M 10 X 65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3600</v>
      </c>
      <c r="H82" s="11">
        <v>6</v>
      </c>
      <c r="I82" s="11" t="s">
        <v>3825</v>
      </c>
      <c r="J82" s="11" t="s">
        <v>3757</v>
      </c>
      <c r="K82" s="15"/>
      <c r="L82" s="11"/>
      <c r="M82" s="47">
        <f>IFERROR(VLOOKUP(C82,REKAP[[#All],[ID]:[Stok Akhir]],15,FALSE),"")</f>
        <v>1</v>
      </c>
    </row>
    <row r="83" spans="1:13" ht="16.5" thickTop="1" thickBot="1" x14ac:dyDescent="0.3">
      <c r="A83" s="27">
        <f t="shared" si="1"/>
        <v>77</v>
      </c>
      <c r="B83" s="7">
        <v>45357</v>
      </c>
      <c r="C83" s="8" t="s">
        <v>286</v>
      </c>
      <c r="D83" s="16" t="str">
        <f>IFERROR(VLOOKUP(C83,REKAP[[#All],[ID]:[Stok Akhir]],2,FALSE), "")</f>
        <v>Baut LPK</v>
      </c>
      <c r="E83" s="16" t="str">
        <f>IFERROR(VLOOKUP(C83,REKAP[[#All],[ID]:[Stok Akhir]],4,FALSE), "")</f>
        <v>M 6 X 15/16</v>
      </c>
      <c r="F83" s="16" t="str">
        <f>IFERROR(VLOOKUP(C83,REKAP[[#All],[ID]:[Stok Akhir]],6,FALSE),"")</f>
        <v>Mur &amp; Baut</v>
      </c>
      <c r="G83" s="15">
        <f>IFERROR(VLOOKUP(C83,REKAP[[#All],[ID]:[Stok Akhir]],8,FALSE),"")</f>
        <v>600</v>
      </c>
      <c r="H83" s="11">
        <v>4</v>
      </c>
      <c r="I83" s="11" t="s">
        <v>3825</v>
      </c>
      <c r="J83" s="11" t="s">
        <v>3757</v>
      </c>
      <c r="K83" s="15"/>
      <c r="L83" s="11"/>
      <c r="M83" s="47">
        <f>IFERROR(VLOOKUP(C83,REKAP[[#All],[ID]:[Stok Akhir]],15,FALSE),"")</f>
        <v>61</v>
      </c>
    </row>
    <row r="84" spans="1:13" ht="16.5" thickTop="1" thickBot="1" x14ac:dyDescent="0.3">
      <c r="A84" s="27">
        <f t="shared" si="1"/>
        <v>78</v>
      </c>
      <c r="B84" s="7">
        <v>45357</v>
      </c>
      <c r="C84" s="8" t="s">
        <v>458</v>
      </c>
      <c r="D84" s="16" t="str">
        <f>IFERROR(VLOOKUP(C84,REKAP[[#All],[ID]:[Stok Akhir]],2,FALSE), "")</f>
        <v>Baut JFL</v>
      </c>
      <c r="E84" s="16" t="str">
        <f>IFERROR(VLOOKUP(C84,REKAP[[#All],[ID]:[Stok Akhir]],4,FALSE), "")</f>
        <v>M 5 X 20</v>
      </c>
      <c r="F84" s="16" t="str">
        <f>IFERROR(VLOOKUP(C84,REKAP[[#All],[ID]:[Stok Akhir]],6,FALSE),"")</f>
        <v>Mur &amp; Baut</v>
      </c>
      <c r="G84" s="15">
        <f>IFERROR(VLOOKUP(C84,REKAP[[#All],[ID]:[Stok Akhir]],8,FALSE),"")</f>
        <v>700</v>
      </c>
      <c r="H84" s="11">
        <v>8</v>
      </c>
      <c r="I84" s="11" t="s">
        <v>3825</v>
      </c>
      <c r="J84" s="11" t="s">
        <v>3757</v>
      </c>
      <c r="K84" s="15"/>
      <c r="L84" s="11"/>
      <c r="M84" s="47">
        <f>IFERROR(VLOOKUP(C84,REKAP[[#All],[ID]:[Stok Akhir]],15,FALSE),"")</f>
        <v>26</v>
      </c>
    </row>
    <row r="85" spans="1:13" ht="16.5" thickTop="1" thickBot="1" x14ac:dyDescent="0.3">
      <c r="A85" s="27">
        <f t="shared" si="1"/>
        <v>79</v>
      </c>
      <c r="B85" s="7">
        <v>45357</v>
      </c>
      <c r="C85" s="8" t="s">
        <v>464</v>
      </c>
      <c r="D85" s="16" t="str">
        <f>IFERROR(VLOOKUP(C85,REKAP[[#All],[ID]:[Stok Akhir]],2,FALSE), "")</f>
        <v>Baut JFL</v>
      </c>
      <c r="E85" s="16" t="str">
        <f>IFERROR(VLOOKUP(C85,REKAP[[#All],[ID]:[Stok Akhir]],4,FALSE), "")</f>
        <v>M 6 X 20</v>
      </c>
      <c r="F85" s="16" t="str">
        <f>IFERROR(VLOOKUP(C85,REKAP[[#All],[ID]:[Stok Akhir]],6,FALSE),"")</f>
        <v>Mur &amp; Baut</v>
      </c>
      <c r="G85" s="15">
        <f>IFERROR(VLOOKUP(C85,REKAP[[#All],[ID]:[Stok Akhir]],8,FALSE),"")</f>
        <v>1000</v>
      </c>
      <c r="H85" s="11">
        <v>6</v>
      </c>
      <c r="I85" s="11" t="s">
        <v>3825</v>
      </c>
      <c r="J85" s="11" t="s">
        <v>3757</v>
      </c>
      <c r="K85" s="15"/>
      <c r="L85" s="11"/>
      <c r="M85" s="47">
        <f>IFERROR(VLOOKUP(C85,REKAP[[#All],[ID]:[Stok Akhir]],15,FALSE),"")</f>
        <v>73</v>
      </c>
    </row>
    <row r="86" spans="1:13" ht="16.5" thickTop="1" thickBot="1" x14ac:dyDescent="0.3">
      <c r="A86" s="27">
        <f t="shared" si="1"/>
        <v>80</v>
      </c>
      <c r="B86" s="7">
        <v>45357</v>
      </c>
      <c r="C86" s="8" t="s">
        <v>523</v>
      </c>
      <c r="D86" s="16" t="str">
        <f>IFERROR(VLOOKUP(C86,REKAP[[#All],[ID]:[Stok Akhir]],2,FALSE), "")</f>
        <v>Baut Tanam</v>
      </c>
      <c r="E86" s="16" t="str">
        <f>IFERROR(VLOOKUP(C86,REKAP[[#All],[ID]:[Stok Akhir]],4,FALSE), "")</f>
        <v xml:space="preserve">M 10 x 10 </v>
      </c>
      <c r="F86" s="16" t="str">
        <f>IFERROR(VLOOKUP(C86,REKAP[[#All],[ID]:[Stok Akhir]],6,FALSE),"")</f>
        <v>Mur &amp; Baut</v>
      </c>
      <c r="G86" s="15">
        <f>IFERROR(VLOOKUP(C86,REKAP[[#All],[ID]:[Stok Akhir]],8,FALSE),"")</f>
        <v>1500</v>
      </c>
      <c r="H86" s="11">
        <v>28</v>
      </c>
      <c r="I86" s="11" t="s">
        <v>3825</v>
      </c>
      <c r="J86" s="11" t="s">
        <v>3757</v>
      </c>
      <c r="K86" s="15"/>
      <c r="L86" s="11"/>
      <c r="M86" s="47">
        <f>IFERROR(VLOOKUP(C86,REKAP[[#All],[ID]:[Stok Akhir]],15,FALSE),"")</f>
        <v>13</v>
      </c>
    </row>
    <row r="87" spans="1:13" ht="16.5" thickTop="1" thickBot="1" x14ac:dyDescent="0.3">
      <c r="A87" s="27">
        <f t="shared" si="1"/>
        <v>81</v>
      </c>
      <c r="B87" s="7">
        <v>45357</v>
      </c>
      <c r="C87" s="8" t="s">
        <v>1197</v>
      </c>
      <c r="D87" s="16" t="str">
        <f>IFERROR(VLOOKUP(C87,REKAP[[#All],[ID]:[Stok Akhir]],2,FALSE), "")</f>
        <v>Eye Bolt</v>
      </c>
      <c r="E87" s="16" t="str">
        <f>IFERROR(VLOOKUP(C87,REKAP[[#All],[ID]:[Stok Akhir]],4,FALSE), "")</f>
        <v>BLE-24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170000</v>
      </c>
      <c r="H87" s="11">
        <v>2</v>
      </c>
      <c r="I87" s="11" t="s">
        <v>3825</v>
      </c>
      <c r="J87" s="11" t="s">
        <v>3757</v>
      </c>
      <c r="K87" s="15"/>
      <c r="L87" s="11"/>
      <c r="M87" s="47">
        <f>IFERROR(VLOOKUP(C87,REKAP[[#All],[ID]:[Stok Akhir]],15,FALSE),"")</f>
        <v>0</v>
      </c>
    </row>
    <row r="88" spans="1:13" ht="16.5" thickTop="1" thickBot="1" x14ac:dyDescent="0.3">
      <c r="A88" s="27">
        <f t="shared" si="1"/>
        <v>82</v>
      </c>
      <c r="B88" s="7">
        <v>45357</v>
      </c>
      <c r="C88" s="8" t="s">
        <v>1302</v>
      </c>
      <c r="D88" s="16" t="str">
        <f>IFERROR(VLOOKUP(C88,REKAP[[#All],[ID]:[Stok Akhir]],2,FALSE), "")</f>
        <v>Quick Fitting</v>
      </c>
      <c r="E88" s="16" t="str">
        <f>IFERROR(VLOOKUP(C88,REKAP[[#All],[ID]:[Stok Akhir]],4,FALSE), "")</f>
        <v>QFT 02-10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25000</v>
      </c>
      <c r="H88" s="11">
        <v>10</v>
      </c>
      <c r="I88" s="11" t="s">
        <v>3825</v>
      </c>
      <c r="J88" s="11" t="s">
        <v>3757</v>
      </c>
      <c r="K88" s="15"/>
      <c r="L88" s="11"/>
      <c r="M88" s="47">
        <f>IFERROR(VLOOKUP(C88,REKAP[[#All],[ID]:[Stok Akhir]],15,FALSE),"")</f>
        <v>0</v>
      </c>
    </row>
    <row r="89" spans="1:13" ht="16.5" thickTop="1" thickBot="1" x14ac:dyDescent="0.3">
      <c r="A89" s="27">
        <f t="shared" si="1"/>
        <v>83</v>
      </c>
      <c r="B89" s="7">
        <v>45357</v>
      </c>
      <c r="C89" s="8" t="s">
        <v>1347</v>
      </c>
      <c r="D89" s="16" t="str">
        <f>IFERROR(VLOOKUP(C89,REKAP[[#All],[ID]:[Stok Akhir]],2,FALSE), "")</f>
        <v>Spring</v>
      </c>
      <c r="E89" s="16" t="str">
        <f>IFERROR(VLOOKUP(C89,REKAP[[#All],[ID]:[Stok Akhir]],4,FALSE), "")</f>
        <v>CSF 50-100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117000</v>
      </c>
      <c r="H89" s="11">
        <v>4</v>
      </c>
      <c r="I89" s="11" t="s">
        <v>3825</v>
      </c>
      <c r="J89" s="11" t="s">
        <v>3757</v>
      </c>
      <c r="K89" s="15"/>
      <c r="L89" s="11"/>
      <c r="M89" s="47">
        <f>IFERROR(VLOOKUP(C89,REKAP[[#All],[ID]:[Stok Akhir]],15,FALSE),"")</f>
        <v>0</v>
      </c>
    </row>
    <row r="90" spans="1:13" ht="16.5" thickTop="1" thickBot="1" x14ac:dyDescent="0.3">
      <c r="A90" s="27">
        <f t="shared" si="1"/>
        <v>84</v>
      </c>
      <c r="B90" s="7">
        <v>45357</v>
      </c>
      <c r="C90" s="8" t="s">
        <v>1246</v>
      </c>
      <c r="D90" s="16" t="str">
        <f>IFERROR(VLOOKUP(C90,REKAP[[#All],[ID]:[Stok Akhir]],2,FALSE), "")</f>
        <v>Guide Pin</v>
      </c>
      <c r="E90" s="16" t="str">
        <f>IFERROR(VLOOKUP(C90,REKAP[[#All],[ID]:[Stok Akhir]],4,FALSE), "")</f>
        <v>SPWS-20-160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70000</v>
      </c>
      <c r="H90" s="11">
        <v>4</v>
      </c>
      <c r="I90" s="11" t="s">
        <v>3825</v>
      </c>
      <c r="J90" s="11" t="s">
        <v>3757</v>
      </c>
      <c r="K90" s="15"/>
      <c r="L90" s="11"/>
      <c r="M90" s="47">
        <f>IFERROR(VLOOKUP(C90,REKAP[[#All],[ID]:[Stok Akhir]],15,FALSE),"")</f>
        <v>2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1208</v>
      </c>
      <c r="D91" s="16" t="str">
        <f>IFERROR(VLOOKUP(C91,REKAP[[#All],[ID]:[Stok Akhir]],2,FALSE), "")</f>
        <v>Guide Bush</v>
      </c>
      <c r="E91" s="16" t="str">
        <f>IFERROR(VLOOKUP(C91,REKAP[[#All],[ID]:[Stok Akhir]],4,FALSE), "")</f>
        <v>GBET 20-20</v>
      </c>
      <c r="F91" s="16" t="str">
        <f>IFERROR(VLOOKUP(C91,REKAP[[#All],[ID]:[Stok Akhir]],6,FALSE),"")</f>
        <v>Accessories Mold</v>
      </c>
      <c r="G91" s="15">
        <f>IFERROR(VLOOKUP(C91,REKAP[[#All],[ID]:[Stok Akhir]],8,FALSE),"")</f>
        <v>107580</v>
      </c>
      <c r="H91" s="11">
        <v>4</v>
      </c>
      <c r="I91" s="11" t="s">
        <v>3825</v>
      </c>
      <c r="J91" s="11" t="s">
        <v>3757</v>
      </c>
      <c r="K91" s="15"/>
      <c r="L91" s="11"/>
      <c r="M91" s="47">
        <f>IFERROR(VLOOKUP(C91,REKAP[[#All],[ID]:[Stok Akhir]],15,FALSE),"")</f>
        <v>0</v>
      </c>
    </row>
    <row r="92" spans="1:13" ht="16.5" thickTop="1" thickBot="1" x14ac:dyDescent="0.3">
      <c r="A92" s="27">
        <f t="shared" si="1"/>
        <v>86</v>
      </c>
      <c r="B92" s="7">
        <v>45357</v>
      </c>
      <c r="C92" s="8" t="s">
        <v>1037</v>
      </c>
      <c r="D92" s="16" t="str">
        <f>IFERROR(VLOOKUP(C92,REKAP[[#All],[ID]:[Stok Akhir]],2,FALSE), "")</f>
        <v>Ejector Pin</v>
      </c>
      <c r="E92" s="16" t="str">
        <f>IFERROR(VLOOKUP(C92,REKAP[[#All],[ID]:[Stok Akhir]],4,FALSE), "")</f>
        <v>EPC-4-300</v>
      </c>
      <c r="F92" s="16" t="str">
        <f>IFERROR(VLOOKUP(C92,REKAP[[#All],[ID]:[Stok Akhir]],6,FALSE),"")</f>
        <v>Accessories Mold</v>
      </c>
      <c r="G92" s="15">
        <f>IFERROR(VLOOKUP(C92,REKAP[[#All],[ID]:[Stok Akhir]],8,FALSE),"")</f>
        <v>9295</v>
      </c>
      <c r="H92" s="11">
        <v>40</v>
      </c>
      <c r="I92" s="11" t="s">
        <v>3825</v>
      </c>
      <c r="J92" s="11" t="s">
        <v>3831</v>
      </c>
      <c r="K92" s="15"/>
      <c r="L92" s="11"/>
      <c r="M92" s="47">
        <f>IFERROR(VLOOKUP(C92,REKAP[[#All],[ID]:[Stok Akhir]],15,FALSE),"")</f>
        <v>0</v>
      </c>
    </row>
    <row r="93" spans="1:13" ht="16.5" thickTop="1" thickBot="1" x14ac:dyDescent="0.3">
      <c r="A93" s="27">
        <f t="shared" si="1"/>
        <v>87</v>
      </c>
      <c r="B93" s="7">
        <v>45357</v>
      </c>
      <c r="C93" s="8" t="s">
        <v>1178</v>
      </c>
      <c r="D93" s="16" t="str">
        <f>IFERROR(VLOOKUP(C93,REKAP[[#All],[ID]:[Stok Akhir]],2,FALSE), "")</f>
        <v>Ejector Sleeve</v>
      </c>
      <c r="E93" s="16" t="str">
        <f>IFERROR(VLOOKUP(C93,REKAP[[#All],[ID]:[Stok Akhir]],4,FALSE), "")</f>
        <v>EJS 5-3-200</v>
      </c>
      <c r="F93" s="16" t="str">
        <f>IFERROR(VLOOKUP(C93,REKAP[[#All],[ID]:[Stok Akhir]],6,FALSE),"")</f>
        <v>Accessories Mold</v>
      </c>
      <c r="G93" s="15">
        <f>IFERROR(VLOOKUP(C93,REKAP[[#All],[ID]:[Stok Akhir]],8,FALSE),"")</f>
        <v>180000</v>
      </c>
      <c r="H93" s="11">
        <v>7</v>
      </c>
      <c r="I93" s="11" t="s">
        <v>3825</v>
      </c>
      <c r="J93" s="11" t="s">
        <v>3831</v>
      </c>
      <c r="K93" s="15"/>
      <c r="L93" s="11"/>
      <c r="M93" s="47">
        <f>IFERROR(VLOOKUP(C93,REKAP[[#All],[ID]:[Stok Akhir]],15,FALSE),"")</f>
        <v>6</v>
      </c>
    </row>
    <row r="94" spans="1:13" ht="16.5" thickTop="1" thickBot="1" x14ac:dyDescent="0.3">
      <c r="A94" s="27">
        <f t="shared" si="1"/>
        <v>88</v>
      </c>
      <c r="B94" s="7">
        <v>45357</v>
      </c>
      <c r="C94" s="8" t="s">
        <v>1272</v>
      </c>
      <c r="D94" s="16" t="str">
        <f>IFERROR(VLOOKUP(C94,REKAP[[#All],[ID]:[Stok Akhir]],2,FALSE), "")</f>
        <v>Limit Switch</v>
      </c>
      <c r="E94" s="16">
        <f>IFERROR(VLOOKUP(C94,REKAP[[#All],[ID]:[Stok Akhir]],4,FALSE), "")</f>
        <v>0</v>
      </c>
      <c r="F94" s="16" t="str">
        <f>IFERROR(VLOOKUP(C94,REKAP[[#All],[ID]:[Stok Akhir]],6,FALSE),"")</f>
        <v>Accessories Mold</v>
      </c>
      <c r="G94" s="15">
        <f>IFERROR(VLOOKUP(C94,REKAP[[#All],[ID]:[Stok Akhir]],8,FALSE),"")</f>
        <v>20000</v>
      </c>
      <c r="H94" s="11">
        <v>1</v>
      </c>
      <c r="I94" s="11" t="s">
        <v>3825</v>
      </c>
      <c r="J94" s="11" t="s">
        <v>3757</v>
      </c>
      <c r="K94" s="15"/>
      <c r="L94" s="11"/>
      <c r="M94" s="47">
        <f>IFERROR(VLOOKUP(C94,REKAP[[#All],[ID]:[Stok Akhir]],15,FALSE),"")</f>
        <v>1</v>
      </c>
    </row>
    <row r="95" spans="1:13" ht="16.5" thickTop="1" thickBot="1" x14ac:dyDescent="0.3">
      <c r="A95" s="27">
        <f t="shared" si="1"/>
        <v>89</v>
      </c>
      <c r="B95" s="7">
        <v>45357</v>
      </c>
      <c r="C95" s="8" t="s">
        <v>455</v>
      </c>
      <c r="D95" s="16" t="str">
        <f>IFERROR(VLOOKUP(C95,REKAP[[#All],[ID]:[Stok Akhir]],2,FALSE), "")</f>
        <v>Baut JFL</v>
      </c>
      <c r="E95" s="16" t="str">
        <f>IFERROR(VLOOKUP(C95,REKAP[[#All],[ID]:[Stok Akhir]],4,FALSE), "")</f>
        <v>M 5 X 10</v>
      </c>
      <c r="F95" s="16" t="str">
        <f>IFERROR(VLOOKUP(C95,REKAP[[#All],[ID]:[Stok Akhir]],6,FALSE),"")</f>
        <v>Mur &amp; Baut</v>
      </c>
      <c r="G95" s="15">
        <f>IFERROR(VLOOKUP(C95,REKAP[[#All],[ID]:[Stok Akhir]],8,FALSE),"")</f>
        <v>500</v>
      </c>
      <c r="H95" s="11">
        <v>14</v>
      </c>
      <c r="I95" s="11" t="s">
        <v>3825</v>
      </c>
      <c r="J95" s="11" t="s">
        <v>3832</v>
      </c>
      <c r="K95" s="15"/>
      <c r="L95" s="11"/>
      <c r="M95" s="47">
        <f>IFERROR(VLOOKUP(C95,REKAP[[#All],[ID]:[Stok Akhir]],15,FALSE),"")</f>
        <v>69</v>
      </c>
    </row>
    <row r="96" spans="1:13" ht="16.5" thickTop="1" thickBot="1" x14ac:dyDescent="0.3">
      <c r="A96" s="27">
        <f t="shared" si="1"/>
        <v>90</v>
      </c>
      <c r="B96" s="7">
        <v>45357</v>
      </c>
      <c r="C96" s="8" t="s">
        <v>252</v>
      </c>
      <c r="D96" s="16" t="str">
        <f>IFERROR(VLOOKUP(C96,REKAP[[#All],[ID]:[Stok Akhir]],2,FALSE), "")</f>
        <v>Baut LPK</v>
      </c>
      <c r="E96" s="16" t="str">
        <f>IFERROR(VLOOKUP(C96,REKAP[[#All],[ID]:[Stok Akhir]],4,FALSE), "")</f>
        <v xml:space="preserve">M 3 X 15 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1000</v>
      </c>
      <c r="H96" s="11">
        <v>2</v>
      </c>
      <c r="I96" s="11"/>
      <c r="J96" s="11"/>
      <c r="K96" s="15"/>
      <c r="L96" s="11" t="s">
        <v>3918</v>
      </c>
      <c r="M96" s="47">
        <f>IFERROR(VLOOKUP(C96,REKAP[[#All],[ID]:[Stok Akhir]],15,FALSE),"")</f>
        <v>7</v>
      </c>
    </row>
    <row r="97" spans="1:13" ht="16.5" thickTop="1" thickBot="1" x14ac:dyDescent="0.3">
      <c r="A97" s="27">
        <f t="shared" si="1"/>
        <v>91</v>
      </c>
      <c r="B97" s="7">
        <v>45358</v>
      </c>
      <c r="C97" s="8" t="s">
        <v>788</v>
      </c>
      <c r="D97" s="16" t="str">
        <f>IFERROR(VLOOKUP(C97,REKAP[[#All],[ID]:[Stok Akhir]],2,FALSE), "")</f>
        <v>Sarung Tangan kain</v>
      </c>
      <c r="E97" s="16">
        <f>IFERROR(VLOOKUP(C97,REKAP[[#All],[ID]:[Stok Akhir]],4,FALSE), "")</f>
        <v>0</v>
      </c>
      <c r="F97" s="16" t="str">
        <f>IFERROR(VLOOKUP(C97,REKAP[[#All],[ID]:[Stok Akhir]],6,FALSE),"")</f>
        <v>Bahan Pembantu</v>
      </c>
      <c r="G97" s="15">
        <f>IFERROR(VLOOKUP(C97,REKAP[[#All],[ID]:[Stok Akhir]],8,FALSE),"")</f>
        <v>2000</v>
      </c>
      <c r="H97" s="11">
        <v>2</v>
      </c>
      <c r="I97" s="11" t="s">
        <v>3723</v>
      </c>
      <c r="J97" s="11" t="s">
        <v>3724</v>
      </c>
      <c r="K97" s="15"/>
      <c r="L97" s="11" t="s">
        <v>3725</v>
      </c>
      <c r="M97" s="47">
        <f>IFERROR(VLOOKUP(C97,REKAP[[#All],[ID]:[Stok Akhir]],15,FALSE),"")</f>
        <v>0</v>
      </c>
    </row>
    <row r="98" spans="1:13" ht="16.5" thickTop="1" thickBot="1" x14ac:dyDescent="0.3">
      <c r="A98" s="27">
        <f t="shared" si="1"/>
        <v>92</v>
      </c>
      <c r="B98" s="7">
        <v>45358</v>
      </c>
      <c r="C98" s="8" t="s">
        <v>710</v>
      </c>
      <c r="D98" s="16" t="str">
        <f>IFERROR(VLOOKUP(C98,REKAP[[#All],[ID]:[Stok Akhir]],2,FALSE), "")</f>
        <v>Auto Sealer</v>
      </c>
      <c r="E98" s="16" t="str">
        <f>IFERROR(VLOOKUP(C98,REKAP[[#All],[ID]:[Stok Akhir]],4,FALSE), "")</f>
        <v>@1pcs; merah</v>
      </c>
      <c r="F98" s="16" t="str">
        <f>IFERROR(VLOOKUP(C98,REKAP[[#All],[ID]:[Stok Akhir]],6,FALSE),"")</f>
        <v>Bahan Pembantu</v>
      </c>
      <c r="G98" s="15">
        <f>IFERROR(VLOOKUP(C98,REKAP[[#All],[ID]:[Stok Akhir]],8,FALSE),"")</f>
        <v>20000</v>
      </c>
      <c r="H98" s="11">
        <v>1</v>
      </c>
      <c r="I98" s="11" t="s">
        <v>3723</v>
      </c>
      <c r="J98" s="11" t="s">
        <v>3724</v>
      </c>
      <c r="K98" s="15"/>
      <c r="L98" s="11"/>
      <c r="M98" s="47">
        <f>IFERROR(VLOOKUP(C98,REKAP[[#All],[ID]:[Stok Akhir]],15,FALSE),"")</f>
        <v>1</v>
      </c>
    </row>
    <row r="99" spans="1:13" ht="16.5" thickTop="1" thickBot="1" x14ac:dyDescent="0.3">
      <c r="A99" s="27">
        <f t="shared" si="1"/>
        <v>93</v>
      </c>
      <c r="B99" s="7">
        <v>45358</v>
      </c>
      <c r="C99" s="8" t="s">
        <v>513</v>
      </c>
      <c r="D99" s="16" t="str">
        <f>IFERROR(VLOOKUP(C99,REKAP[[#All],[ID]:[Stok Akhir]],2,FALSE), "")</f>
        <v>Baut Tanam</v>
      </c>
      <c r="E99" s="16" t="str">
        <f>IFERROR(VLOOKUP(C99,REKAP[[#All],[ID]:[Stok Akhir]],4,FALSE), "")</f>
        <v xml:space="preserve">M 6 X 10 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600</v>
      </c>
      <c r="H99" s="11">
        <v>4</v>
      </c>
      <c r="I99" s="11" t="s">
        <v>3723</v>
      </c>
      <c r="J99" s="11" t="s">
        <v>3724</v>
      </c>
      <c r="K99" s="15"/>
      <c r="L99" s="11"/>
      <c r="M99" s="47">
        <f>IFERROR(VLOOKUP(C99,REKAP[[#All],[ID]:[Stok Akhir]],15,FALSE),"")</f>
        <v>23</v>
      </c>
    </row>
    <row r="100" spans="1:13" ht="16.5" thickTop="1" thickBot="1" x14ac:dyDescent="0.3">
      <c r="A100" s="27">
        <f t="shared" si="1"/>
        <v>94</v>
      </c>
      <c r="B100" s="7">
        <v>45358</v>
      </c>
      <c r="C100" s="8" t="s">
        <v>788</v>
      </c>
      <c r="D100" s="16" t="str">
        <f>IFERROR(VLOOKUP(C100,REKAP[[#All],[ID]:[Stok Akhir]],2,FALSE), "")</f>
        <v>Sarung Tangan kain</v>
      </c>
      <c r="E100" s="16">
        <f>IFERROR(VLOOKUP(C100,REKAP[[#All],[ID]:[Stok Akhir]],4,FALSE), "")</f>
        <v>0</v>
      </c>
      <c r="F100" s="16" t="str">
        <f>IFERROR(VLOOKUP(C100,REKAP[[#All],[ID]:[Stok Akhir]],6,FALSE),"")</f>
        <v>Bahan Pembantu</v>
      </c>
      <c r="G100" s="15">
        <f>IFERROR(VLOOKUP(C100,REKAP[[#All],[ID]:[Stok Akhir]],8,FALSE),"")</f>
        <v>2000</v>
      </c>
      <c r="H100" s="11">
        <v>2</v>
      </c>
      <c r="I100" s="11" t="s">
        <v>3693</v>
      </c>
      <c r="J100" s="11" t="s">
        <v>3663</v>
      </c>
      <c r="K100" s="15"/>
      <c r="L100" s="11" t="s">
        <v>3726</v>
      </c>
      <c r="M100" s="47">
        <f>IFERROR(VLOOKUP(C100,REKAP[[#All],[ID]:[Stok Akhir]],15,FALSE),"")</f>
        <v>0</v>
      </c>
    </row>
    <row r="101" spans="1:13" ht="16.5" thickTop="1" thickBot="1" x14ac:dyDescent="0.3">
      <c r="A101" s="27">
        <f t="shared" si="1"/>
        <v>95</v>
      </c>
      <c r="B101" s="7">
        <v>45358</v>
      </c>
      <c r="C101" s="8" t="s">
        <v>466</v>
      </c>
      <c r="D101" s="16" t="str">
        <f>IFERROR(VLOOKUP(C101,REKAP[[#All],[ID]:[Stok Akhir]],2,FALSE), "")</f>
        <v>Baut JFL</v>
      </c>
      <c r="E101" s="16" t="str">
        <f>IFERROR(VLOOKUP(C101,REKAP[[#All],[ID]:[Stok Akhir]],4,FALSE), "")</f>
        <v>M 6 X 30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675</v>
      </c>
      <c r="H101" s="11">
        <v>4</v>
      </c>
      <c r="I101" s="11" t="s">
        <v>3691</v>
      </c>
      <c r="J101" s="11" t="s">
        <v>3715</v>
      </c>
      <c r="K101" s="15"/>
      <c r="L101" s="11"/>
      <c r="M101" s="47">
        <f>IFERROR(VLOOKUP(C101,REKAP[[#All],[ID]:[Stok Akhir]],15,FALSE),"")</f>
        <v>28</v>
      </c>
    </row>
    <row r="102" spans="1:13" ht="16.5" thickTop="1" thickBot="1" x14ac:dyDescent="0.3">
      <c r="A102" s="27">
        <f t="shared" si="1"/>
        <v>96</v>
      </c>
      <c r="B102" s="7">
        <v>45358</v>
      </c>
      <c r="C102" s="8" t="s">
        <v>2916</v>
      </c>
      <c r="D102" s="16" t="str">
        <f>IFERROR(VLOOKUP(C102,REKAP[[#All],[ID]:[Stok Akhir]],2,FALSE), "")</f>
        <v>End Mill STS</v>
      </c>
      <c r="E102" s="16" t="str">
        <f>IFERROR(VLOOKUP(C102,REKAP[[#All],[ID]:[Stok Akhir]],4,FALSE), "")</f>
        <v>Ø6 OT-4HFR6</v>
      </c>
      <c r="F102" s="16" t="str">
        <f>IFERROR(VLOOKUP(C102,REKAP[[#All],[ID]:[Stok Akhir]],6,FALSE),"")</f>
        <v>Tools</v>
      </c>
      <c r="G102" s="15">
        <f>IFERROR(VLOOKUP(C102,REKAP[[#All],[ID]:[Stok Akhir]],8,FALSE),"")</f>
        <v>475800</v>
      </c>
      <c r="H102" s="11">
        <v>1</v>
      </c>
      <c r="I102" s="11" t="s">
        <v>3720</v>
      </c>
      <c r="J102" s="11" t="s">
        <v>3727</v>
      </c>
      <c r="K102" s="15"/>
      <c r="L102" s="11"/>
      <c r="M102" s="47">
        <f>IFERROR(VLOOKUP(C102,REKAP[[#All],[ID]:[Stok Akhir]],15,FALSE),"")</f>
        <v>4</v>
      </c>
    </row>
    <row r="103" spans="1:13" ht="16.5" thickTop="1" thickBot="1" x14ac:dyDescent="0.3">
      <c r="A103" s="27">
        <f t="shared" si="1"/>
        <v>97</v>
      </c>
      <c r="B103" s="7">
        <v>45359</v>
      </c>
      <c r="C103" s="8" t="s">
        <v>324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8 X 110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7020</v>
      </c>
      <c r="H103" s="11">
        <v>2</v>
      </c>
      <c r="I103" s="11" t="s">
        <v>3714</v>
      </c>
      <c r="J103" s="11" t="s">
        <v>3667</v>
      </c>
      <c r="K103" s="15"/>
      <c r="L103" s="11"/>
      <c r="M103" s="47">
        <f>IFERROR(VLOOKUP(C103,REKAP[[#All],[ID]:[Stok Akhir]],15,FALSE),"")</f>
        <v>2</v>
      </c>
    </row>
    <row r="104" spans="1:13" ht="16.5" thickTop="1" thickBot="1" x14ac:dyDescent="0.3">
      <c r="A104" s="27">
        <f t="shared" si="1"/>
        <v>98</v>
      </c>
      <c r="B104" s="7">
        <v>45359</v>
      </c>
      <c r="C104" s="8" t="s">
        <v>273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5 X 45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1050</v>
      </c>
      <c r="H104" s="11">
        <v>1</v>
      </c>
      <c r="I104" s="11" t="s">
        <v>3693</v>
      </c>
      <c r="J104" s="11" t="s">
        <v>3715</v>
      </c>
      <c r="K104" s="15"/>
      <c r="L104" s="11"/>
      <c r="M104" s="47">
        <f>IFERROR(VLOOKUP(C104,REKAP[[#All],[ID]:[Stok Akhir]],15,FALSE),"")</f>
        <v>29</v>
      </c>
    </row>
    <row r="105" spans="1:13" ht="16.5" thickTop="1" thickBot="1" x14ac:dyDescent="0.3">
      <c r="A105" s="27">
        <f t="shared" si="1"/>
        <v>99</v>
      </c>
      <c r="B105" s="7">
        <v>45359</v>
      </c>
      <c r="C105" s="8" t="s">
        <v>587</v>
      </c>
      <c r="D105" s="16" t="str">
        <f>IFERROR(VLOOKUP(C105,REKAP[[#All],[ID]:[Stok Akhir]],2,FALSE), "")</f>
        <v>Mur</v>
      </c>
      <c r="E105" s="16" t="str">
        <f>IFERROR(VLOOKUP(C105,REKAP[[#All],[ID]:[Stok Akhir]],4,FALSE), "")</f>
        <v>M5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100</v>
      </c>
      <c r="H105" s="11">
        <v>1</v>
      </c>
      <c r="I105" s="11" t="s">
        <v>3693</v>
      </c>
      <c r="J105" s="11" t="s">
        <v>3715</v>
      </c>
      <c r="K105" s="15"/>
      <c r="L105" s="11"/>
      <c r="M105" s="47">
        <f>IFERROR(VLOOKUP(C105,REKAP[[#All],[ID]:[Stok Akhir]],15,FALSE),"")</f>
        <v>29</v>
      </c>
    </row>
    <row r="106" spans="1:13" ht="16.5" thickTop="1" thickBot="1" x14ac:dyDescent="0.3">
      <c r="A106" s="27">
        <f t="shared" si="1"/>
        <v>100</v>
      </c>
      <c r="B106" s="7">
        <v>45359</v>
      </c>
      <c r="C106" s="8" t="s">
        <v>762</v>
      </c>
      <c r="D106" s="16" t="str">
        <f>IFERROR(VLOOKUP(C106,REKAP[[#All],[ID]:[Stok Akhir]],2,FALSE), "")</f>
        <v>Kuas Cat</v>
      </c>
      <c r="E106" s="16" t="str">
        <f>IFERROR(VLOOKUP(C106,REKAP[[#All],[ID]:[Stok Akhir]],4,FALSE), "")</f>
        <v>2"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15000</v>
      </c>
      <c r="H106" s="11">
        <v>1</v>
      </c>
      <c r="I106" s="11" t="s">
        <v>3693</v>
      </c>
      <c r="J106" s="11" t="s">
        <v>3715</v>
      </c>
      <c r="K106" s="15"/>
      <c r="L106" s="11"/>
      <c r="M106" s="47">
        <f>IFERROR(VLOOKUP(C106,REKAP[[#All],[ID]:[Stok Akhir]],15,FALSE),"")</f>
        <v>2</v>
      </c>
    </row>
    <row r="107" spans="1:13" ht="16.5" thickTop="1" thickBot="1" x14ac:dyDescent="0.3">
      <c r="A107" s="27">
        <f t="shared" si="1"/>
        <v>101</v>
      </c>
      <c r="B107" s="7">
        <v>45359</v>
      </c>
      <c r="C107" s="8" t="s">
        <v>742</v>
      </c>
      <c r="D107" s="16" t="str">
        <f>IFERROR(VLOOKUP(C107,REKAP[[#All],[ID]:[Stok Akhir]],2,FALSE), "")</f>
        <v>Gerinda Potong  4"</v>
      </c>
      <c r="E107" s="16">
        <f>IFERROR(VLOOKUP(C107,REKAP[[#All],[ID]:[Stok Akhir]],4,FALSE), "")</f>
        <v>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11500</v>
      </c>
      <c r="H107" s="11">
        <v>1</v>
      </c>
      <c r="I107" s="11" t="s">
        <v>3716</v>
      </c>
      <c r="J107" s="11" t="s">
        <v>3717</v>
      </c>
      <c r="K107" s="15"/>
      <c r="L107" s="11"/>
      <c r="M107" s="47">
        <f>IFERROR(VLOOKUP(C107,REKAP[[#All],[ID]:[Stok Akhir]],15,FALSE),"")</f>
        <v>3</v>
      </c>
    </row>
    <row r="108" spans="1:13" ht="16.5" thickTop="1" thickBot="1" x14ac:dyDescent="0.3">
      <c r="A108" s="27">
        <f t="shared" si="1"/>
        <v>102</v>
      </c>
      <c r="B108" s="7">
        <v>45359</v>
      </c>
      <c r="C108" s="8" t="s">
        <v>769</v>
      </c>
      <c r="D108" s="16" t="str">
        <f>IFERROR(VLOOKUP(C108,REKAP[[#All],[ID]:[Stok Akhir]],2,FALSE), "")</f>
        <v>Masker Safety (Polytron)</v>
      </c>
      <c r="E108" s="16">
        <f>IFERROR(VLOOKUP(C108,REKAP[[#All],[ID]:[Stok Akhir]],4,FALSE), "")</f>
        <v>0</v>
      </c>
      <c r="F108" s="16" t="str">
        <f>IFERROR(VLOOKUP(C108,REKAP[[#All],[ID]:[Stok Akhir]],6,FALSE),"")</f>
        <v>Bahan Pembantu</v>
      </c>
      <c r="G108" s="15">
        <f>IFERROR(VLOOKUP(C108,REKAP[[#All],[ID]:[Stok Akhir]],8,FALSE),"")</f>
        <v>1455</v>
      </c>
      <c r="H108" s="11">
        <v>1</v>
      </c>
      <c r="I108" s="11" t="s">
        <v>3716</v>
      </c>
      <c r="J108" s="11" t="s">
        <v>3717</v>
      </c>
      <c r="K108" s="15"/>
      <c r="L108" s="11"/>
      <c r="M108" s="47">
        <f>IFERROR(VLOOKUP(C108,REKAP[[#All],[ID]:[Stok Akhir]],15,FALSE),"")</f>
        <v>143</v>
      </c>
    </row>
    <row r="109" spans="1:13" ht="16.5" thickTop="1" thickBot="1" x14ac:dyDescent="0.3">
      <c r="A109" s="27">
        <f t="shared" si="1"/>
        <v>103</v>
      </c>
      <c r="B109" s="7">
        <v>45359</v>
      </c>
      <c r="C109" s="8" t="s">
        <v>2875</v>
      </c>
      <c r="D109" s="16" t="str">
        <f>IFERROR(VLOOKUP(C109,REKAP[[#All],[ID]:[Stok Akhir]],2,FALSE), "")</f>
        <v>End Mill STS</v>
      </c>
      <c r="E109" s="16" t="str">
        <f>IFERROR(VLOOKUP(C109,REKAP[[#All],[ID]:[Stok Akhir]],4,FALSE), "")</f>
        <v>Ø3 OT-4HELN 3x16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244800</v>
      </c>
      <c r="H109" s="11">
        <v>1</v>
      </c>
      <c r="I109" s="11" t="s">
        <v>3680</v>
      </c>
      <c r="J109" s="11" t="s">
        <v>3719</v>
      </c>
      <c r="K109" s="15"/>
      <c r="L109" s="11" t="s">
        <v>3718</v>
      </c>
      <c r="M109" s="47">
        <f>IFERROR(VLOOKUP(C109,REKAP[[#All],[ID]:[Stok Akhir]],15,FALSE),"")</f>
        <v>3</v>
      </c>
    </row>
    <row r="110" spans="1:13" ht="16.5" thickTop="1" thickBot="1" x14ac:dyDescent="0.3">
      <c r="A110" s="27">
        <f t="shared" si="1"/>
        <v>104</v>
      </c>
      <c r="B110" s="7">
        <v>45359</v>
      </c>
      <c r="C110" s="8" t="s">
        <v>2917</v>
      </c>
      <c r="D110" s="16" t="str">
        <f>IFERROR(VLOOKUP(C110,REKAP[[#All],[ID]:[Stok Akhir]],2,FALSE), "")</f>
        <v>End Mill STS</v>
      </c>
      <c r="E110" s="16" t="str">
        <f>IFERROR(VLOOKUP(C110,REKAP[[#All],[ID]:[Stok Akhir]],4,FALSE), "")</f>
        <v>Ø20 OT-4EMM20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2370000</v>
      </c>
      <c r="H110" s="11">
        <v>1</v>
      </c>
      <c r="I110" s="11" t="s">
        <v>3680</v>
      </c>
      <c r="J110" s="11" t="s">
        <v>3719</v>
      </c>
      <c r="K110" s="15"/>
      <c r="L110" s="11"/>
      <c r="M110" s="47">
        <f>IFERROR(VLOOKUP(C110,REKAP[[#All],[ID]:[Stok Akhir]],15,FALSE),"")</f>
        <v>1</v>
      </c>
    </row>
    <row r="111" spans="1:13" ht="16.5" thickTop="1" thickBot="1" x14ac:dyDescent="0.3">
      <c r="A111" s="27">
        <f t="shared" si="1"/>
        <v>105</v>
      </c>
      <c r="B111" s="7">
        <v>45359</v>
      </c>
      <c r="C111" s="8" t="s">
        <v>769</v>
      </c>
      <c r="D111" s="16" t="str">
        <f>IFERROR(VLOOKUP(C111,REKAP[[#All],[ID]:[Stok Akhir]],2,FALSE), "")</f>
        <v>Masker Safety (Polytron)</v>
      </c>
      <c r="E111" s="16">
        <f>IFERROR(VLOOKUP(C111,REKAP[[#All],[ID]:[Stok Akhir]],4,FALSE), "")</f>
        <v>0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1455</v>
      </c>
      <c r="H111" s="11">
        <v>1</v>
      </c>
      <c r="I111" s="11" t="s">
        <v>3665</v>
      </c>
      <c r="J111" s="11"/>
      <c r="K111" s="15"/>
      <c r="L111" s="11"/>
      <c r="M111" s="47">
        <f>IFERROR(VLOOKUP(C111,REKAP[[#All],[ID]:[Stok Akhir]],15,FALSE),"")</f>
        <v>143</v>
      </c>
    </row>
    <row r="112" spans="1:13" ht="16.5" thickTop="1" thickBot="1" x14ac:dyDescent="0.3">
      <c r="A112" s="27">
        <f t="shared" si="1"/>
        <v>106</v>
      </c>
      <c r="B112" s="7">
        <v>45359</v>
      </c>
      <c r="C112" s="8" t="s">
        <v>737</v>
      </c>
      <c r="D112" s="16" t="str">
        <f>IFERROR(VLOOKUP(C112,REKAP[[#All],[ID]:[Stok Akhir]],2,FALSE), "")</f>
        <v>Gerinda Ampelas 4"</v>
      </c>
      <c r="E112" s="16" t="str">
        <f>IFERROR(VLOOKUP(C112,REKAP[[#All],[ID]:[Stok Akhir]],4,FALSE), "")</f>
        <v>#240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15000</v>
      </c>
      <c r="H112" s="11">
        <v>1</v>
      </c>
      <c r="I112" s="11" t="s">
        <v>3686</v>
      </c>
      <c r="J112" s="11" t="s">
        <v>3666</v>
      </c>
      <c r="K112" s="15"/>
      <c r="L112" s="11"/>
      <c r="M112" s="47">
        <f>IFERROR(VLOOKUP(C112,REKAP[[#All],[ID]:[Stok Akhir]],15,FALSE),"")</f>
        <v>6</v>
      </c>
    </row>
    <row r="113" spans="1:13" ht="16.5" thickTop="1" thickBot="1" x14ac:dyDescent="0.3">
      <c r="A113" s="27">
        <f t="shared" si="1"/>
        <v>107</v>
      </c>
      <c r="B113" s="7">
        <v>45359</v>
      </c>
      <c r="C113" s="8" t="s">
        <v>3044</v>
      </c>
      <c r="D113" s="16" t="str">
        <f>IFERROR(VLOOKUP(C113,REKAP[[#All],[ID]:[Stok Akhir]],2,FALSE), "")</f>
        <v>Insert Tungaloy</v>
      </c>
      <c r="E113" s="16" t="str">
        <f>IFERROR(VLOOKUP(C113,REKAP[[#All],[ID]:[Stok Akhir]],4,FALSE), "")</f>
        <v>LNMX 0405 R4-MJ AH3135</v>
      </c>
      <c r="F113" s="16" t="str">
        <f>IFERROR(VLOOKUP(C113,REKAP[[#All],[ID]:[Stok Akhir]],6,FALSE),"")</f>
        <v>Tools</v>
      </c>
      <c r="G113" s="15">
        <f>IFERROR(VLOOKUP(C113,REKAP[[#All],[ID]:[Stok Akhir]],8,FALSE),"")</f>
        <v>134000</v>
      </c>
      <c r="H113" s="11">
        <v>10</v>
      </c>
      <c r="I113" s="11" t="s">
        <v>3720</v>
      </c>
      <c r="J113" s="11" t="s">
        <v>3721</v>
      </c>
      <c r="K113" s="15"/>
      <c r="L113" s="11"/>
      <c r="M113" s="47">
        <f>IFERROR(VLOOKUP(C113,REKAP[[#All],[ID]:[Stok Akhir]],15,FALSE),"")</f>
        <v>30</v>
      </c>
    </row>
    <row r="114" spans="1:13" ht="16.5" thickTop="1" thickBot="1" x14ac:dyDescent="0.3">
      <c r="A114" s="27">
        <f t="shared" si="1"/>
        <v>108</v>
      </c>
      <c r="B114" s="7">
        <v>45359</v>
      </c>
      <c r="C114" s="8" t="s">
        <v>2783</v>
      </c>
      <c r="D114" s="16" t="str">
        <f>IFERROR(VLOOKUP(C114,REKAP[[#All],[ID]:[Stok Akhir]],2,FALSE), "")</f>
        <v>End Mill  OSG (3131403) 0.4x1.5</v>
      </c>
      <c r="E114" s="16" t="str">
        <f>IFERROR(VLOOKUP(C114,REKAP[[#All],[ID]:[Stok Akhir]],4,FALSE), "")</f>
        <v xml:space="preserve">Ø0.4-45 WXL-LN-EDS </v>
      </c>
      <c r="F114" s="16" t="str">
        <f>IFERROR(VLOOKUP(C114,REKAP[[#All],[ID]:[Stok Akhir]],6,FALSE),"")</f>
        <v>Tools</v>
      </c>
      <c r="G114" s="15">
        <f>IFERROR(VLOOKUP(C114,REKAP[[#All],[ID]:[Stok Akhir]],8,FALSE),"")</f>
        <v>280250</v>
      </c>
      <c r="H114" s="11">
        <v>2</v>
      </c>
      <c r="I114" s="11" t="s">
        <v>3704</v>
      </c>
      <c r="J114" s="11" t="s">
        <v>3722</v>
      </c>
      <c r="K114" s="15"/>
      <c r="L114" s="11" t="s">
        <v>3743</v>
      </c>
      <c r="M114" s="47">
        <f>IFERROR(VLOOKUP(C114,REKAP[[#All],[ID]:[Stok Akhir]],15,FALSE),"")</f>
        <v>0</v>
      </c>
    </row>
    <row r="115" spans="1:13" ht="16.5" thickTop="1" thickBot="1" x14ac:dyDescent="0.3">
      <c r="A115" s="27">
        <f t="shared" si="1"/>
        <v>109</v>
      </c>
      <c r="B115" s="7">
        <v>45359</v>
      </c>
      <c r="C115" s="8" t="s">
        <v>2634</v>
      </c>
      <c r="D115" s="16" t="str">
        <f>IFERROR(VLOOKUP(C115,REKAP[[#All],[ID]:[Stok Akhir]],2,FALSE), "")</f>
        <v>BNC STS</v>
      </c>
      <c r="E115" s="16" t="str">
        <f>IFERROR(VLOOKUP(C115,REKAP[[#All],[ID]:[Stok Akhir]],4,FALSE), "")</f>
        <v>Ø0.5 OT-BLN-R0.25 X 2</v>
      </c>
      <c r="F115" s="16" t="str">
        <f>IFERROR(VLOOKUP(C115,REKAP[[#All],[ID]:[Stok Akhir]],6,FALSE),"")</f>
        <v>Tools</v>
      </c>
      <c r="G115" s="15">
        <f>IFERROR(VLOOKUP(C115,REKAP[[#All],[ID]:[Stok Akhir]],8,FALSE),"")</f>
        <v>232200</v>
      </c>
      <c r="H115" s="11">
        <v>2</v>
      </c>
      <c r="I115" s="11" t="s">
        <v>3704</v>
      </c>
      <c r="J115" s="11" t="s">
        <v>3722</v>
      </c>
      <c r="K115" s="15"/>
      <c r="L115" s="11" t="s">
        <v>3743</v>
      </c>
      <c r="M115" s="47">
        <f>IFERROR(VLOOKUP(C115,REKAP[[#All],[ID]:[Stok Akhir]],15,FALSE),"")</f>
        <v>0</v>
      </c>
    </row>
    <row r="116" spans="1:13" ht="16.5" thickTop="1" thickBot="1" x14ac:dyDescent="0.3">
      <c r="A116" s="27">
        <f t="shared" si="1"/>
        <v>110</v>
      </c>
      <c r="B116" s="7">
        <v>45359</v>
      </c>
      <c r="C116" s="8" t="s">
        <v>743</v>
      </c>
      <c r="D116" s="16" t="str">
        <f>IFERROR(VLOOKUP(C116,REKAP[[#All],[ID]:[Stok Akhir]],2,FALSE), "")</f>
        <v>Gerinda Potong 4" 1X25"</v>
      </c>
      <c r="E116" s="16" t="str">
        <f>IFERROR(VLOOKUP(C116,REKAP[[#All],[ID]:[Stok Akhir]],4,FALSE), "")</f>
        <v>4x1,25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4000</v>
      </c>
      <c r="H116" s="11">
        <v>1</v>
      </c>
      <c r="I116" s="11" t="s">
        <v>3714</v>
      </c>
      <c r="J116" s="11" t="s">
        <v>3667</v>
      </c>
      <c r="K116" s="15"/>
      <c r="L116" s="11"/>
      <c r="M116" s="47">
        <f>IFERROR(VLOOKUP(C116,REKAP[[#All],[ID]:[Stok Akhir]],15,FALSE),"")</f>
        <v>3</v>
      </c>
    </row>
    <row r="117" spans="1:13" ht="16.5" thickTop="1" thickBot="1" x14ac:dyDescent="0.3">
      <c r="A117" s="27">
        <f t="shared" si="1"/>
        <v>111</v>
      </c>
      <c r="B117" s="7">
        <v>45359</v>
      </c>
      <c r="C117" s="8" t="s">
        <v>769</v>
      </c>
      <c r="D117" s="16" t="str">
        <f>IFERROR(VLOOKUP(C117,REKAP[[#All],[ID]:[Stok Akhir]],2,FALSE), "")</f>
        <v>Masker Safety (Polytron)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1455</v>
      </c>
      <c r="H117" s="11">
        <v>1</v>
      </c>
      <c r="I117" s="11" t="s">
        <v>3714</v>
      </c>
      <c r="J117" s="11" t="s">
        <v>3667</v>
      </c>
      <c r="K117" s="15"/>
      <c r="L117" s="11"/>
      <c r="M117" s="47">
        <f>IFERROR(VLOOKUP(C117,REKAP[[#All],[ID]:[Stok Akhir]],15,FALSE),"")</f>
        <v>143</v>
      </c>
    </row>
    <row r="118" spans="1:13" ht="16.5" thickTop="1" thickBot="1" x14ac:dyDescent="0.3">
      <c r="A118" s="27">
        <f t="shared" si="1"/>
        <v>112</v>
      </c>
      <c r="B118" s="7">
        <v>45359</v>
      </c>
      <c r="C118" s="8" t="s">
        <v>3253</v>
      </c>
      <c r="D118" s="16" t="str">
        <f>IFERROR(VLOOKUP(C118,REKAP[[#All],[ID]:[Stok Akhir]],2,FALSE), "")</f>
        <v>BLOW NOZLE 2"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Barang Jadi</v>
      </c>
      <c r="G118" s="15">
        <f>IFERROR(VLOOKUP(C118,REKAP[[#All],[ID]:[Stok Akhir]],8,FALSE),"")</f>
        <v>430000</v>
      </c>
      <c r="H118" s="11">
        <v>2</v>
      </c>
      <c r="I118" s="11" t="s">
        <v>3825</v>
      </c>
      <c r="J118" s="11" t="s">
        <v>3829</v>
      </c>
      <c r="K118" s="15"/>
      <c r="L118" s="11"/>
      <c r="M118" s="47">
        <f>IFERROR(VLOOKUP(C118,REKAP[[#All],[ID]:[Stok Akhir]],15,FALSE),"")</f>
        <v>12</v>
      </c>
    </row>
    <row r="119" spans="1:13" ht="16.5" thickTop="1" thickBot="1" x14ac:dyDescent="0.3">
      <c r="A119" s="27">
        <f t="shared" si="1"/>
        <v>113</v>
      </c>
      <c r="B119" s="7">
        <v>45359</v>
      </c>
      <c r="C119" s="8" t="s">
        <v>586</v>
      </c>
      <c r="D119" s="16" t="str">
        <f>IFERROR(VLOOKUP(C119,REKAP[[#All],[ID]:[Stok Akhir]],2,FALSE), "")</f>
        <v>Mur</v>
      </c>
      <c r="E119" s="16" t="str">
        <f>IFERROR(VLOOKUP(C119,REKAP[[#All],[ID]:[Stok Akhir]],4,FALSE), "")</f>
        <v>M4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300</v>
      </c>
      <c r="H119" s="11">
        <v>4</v>
      </c>
      <c r="I119" s="11" t="s">
        <v>3825</v>
      </c>
      <c r="J119" s="11" t="s">
        <v>3833</v>
      </c>
      <c r="K119" s="15"/>
      <c r="L119" s="11"/>
      <c r="M119" s="47">
        <f>IFERROR(VLOOKUP(C119,REKAP[[#All],[ID]:[Stok Akhir]],15,FALSE),"")</f>
        <v>10</v>
      </c>
    </row>
    <row r="120" spans="1:13" ht="16.5" thickTop="1" thickBot="1" x14ac:dyDescent="0.3">
      <c r="A120" s="27">
        <f t="shared" si="1"/>
        <v>114</v>
      </c>
      <c r="B120" s="7">
        <v>45359</v>
      </c>
      <c r="C120" s="8" t="s">
        <v>569</v>
      </c>
      <c r="D120" s="16" t="str">
        <f>IFERROR(VLOOKUP(C120,REKAP[[#All],[ID]:[Stok Akhir]],2,FALSE), "")</f>
        <v>Ring Plate</v>
      </c>
      <c r="E120" s="16" t="str">
        <f>IFERROR(VLOOKUP(C120,REKAP[[#All],[ID]:[Stok Akhir]],4,FALSE), "")</f>
        <v>M4</v>
      </c>
      <c r="F120" s="16" t="str">
        <f>IFERROR(VLOOKUP(C120,REKAP[[#All],[ID]:[Stok Akhir]],6,FALSE),"")</f>
        <v>Mur &amp; Baut</v>
      </c>
      <c r="G120" s="15">
        <f>IFERROR(VLOOKUP(C120,REKAP[[#All],[ID]:[Stok Akhir]],8,FALSE),"")</f>
        <v>200</v>
      </c>
      <c r="H120" s="11">
        <v>8</v>
      </c>
      <c r="I120" s="11" t="s">
        <v>3825</v>
      </c>
      <c r="J120" s="11" t="s">
        <v>3833</v>
      </c>
      <c r="K120" s="15"/>
      <c r="L120" s="11"/>
      <c r="M120" s="47">
        <f>IFERROR(VLOOKUP(C120,REKAP[[#All],[ID]:[Stok Akhir]],15,FALSE),"")</f>
        <v>8</v>
      </c>
    </row>
    <row r="121" spans="1:13" ht="16.5" thickTop="1" thickBot="1" x14ac:dyDescent="0.3">
      <c r="A121" s="27">
        <f t="shared" si="1"/>
        <v>115</v>
      </c>
      <c r="B121" s="7">
        <v>45359</v>
      </c>
      <c r="C121" s="8" t="s">
        <v>259</v>
      </c>
      <c r="D121" s="16" t="str">
        <f>IFERROR(VLOOKUP(C121,REKAP[[#All],[ID]:[Stok Akhir]],2,FALSE), "")</f>
        <v>Baut LPK</v>
      </c>
      <c r="E121" s="16" t="str">
        <f>IFERROR(VLOOKUP(C121,REKAP[[#All],[ID]:[Stok Akhir]],4,FALSE), "")</f>
        <v>M 4 X 25</v>
      </c>
      <c r="F121" s="16" t="str">
        <f>IFERROR(VLOOKUP(C121,REKAP[[#All],[ID]:[Stok Akhir]],6,FALSE),"")</f>
        <v>Mur &amp; Baut</v>
      </c>
      <c r="G121" s="15">
        <f>IFERROR(VLOOKUP(C121,REKAP[[#All],[ID]:[Stok Akhir]],8,FALSE),"")</f>
        <v>600</v>
      </c>
      <c r="H121" s="11">
        <v>4</v>
      </c>
      <c r="I121" s="11" t="s">
        <v>3825</v>
      </c>
      <c r="J121" s="11" t="s">
        <v>3833</v>
      </c>
      <c r="K121" s="15"/>
      <c r="L121" s="11"/>
      <c r="M121" s="47">
        <f>IFERROR(VLOOKUP(C121,REKAP[[#All],[ID]:[Stok Akhir]],15,FALSE),"")</f>
        <v>28</v>
      </c>
    </row>
    <row r="122" spans="1:13" ht="16.5" thickTop="1" thickBot="1" x14ac:dyDescent="0.3">
      <c r="A122" s="27">
        <f t="shared" si="1"/>
        <v>116</v>
      </c>
      <c r="B122" s="7">
        <v>45359</v>
      </c>
      <c r="C122" s="8" t="s">
        <v>454</v>
      </c>
      <c r="D122" s="16" t="str">
        <f>IFERROR(VLOOKUP(C122,REKAP[[#All],[ID]:[Stok Akhir]],2,FALSE), "")</f>
        <v>Baut JFL</v>
      </c>
      <c r="E122" s="16" t="str">
        <f>IFERROR(VLOOKUP(C122,REKAP[[#All],[ID]:[Stok Akhir]],4,FALSE), "")</f>
        <v>M 4 x 25</v>
      </c>
      <c r="F122" s="16" t="str">
        <f>IFERROR(VLOOKUP(C122,REKAP[[#All],[ID]:[Stok Akhir]],6,FALSE),"")</f>
        <v>Mur &amp; Baut</v>
      </c>
      <c r="G122" s="15">
        <f>IFERROR(VLOOKUP(C122,REKAP[[#All],[ID]:[Stok Akhir]],8,FALSE),"")</f>
        <v>550</v>
      </c>
      <c r="H122" s="11">
        <v>4</v>
      </c>
      <c r="I122" s="11" t="s">
        <v>3825</v>
      </c>
      <c r="J122" s="11" t="s">
        <v>3833</v>
      </c>
      <c r="K122" s="15"/>
      <c r="L122" s="11"/>
      <c r="M122" s="47">
        <f>IFERROR(VLOOKUP(C122,REKAP[[#All],[ID]:[Stok Akhir]],15,FALSE),"")</f>
        <v>56</v>
      </c>
    </row>
    <row r="123" spans="1:13" ht="16.5" thickTop="1" thickBot="1" x14ac:dyDescent="0.3">
      <c r="A123" s="27">
        <f t="shared" si="1"/>
        <v>117</v>
      </c>
      <c r="B123" s="7">
        <v>45359</v>
      </c>
      <c r="C123" s="8" t="s">
        <v>587</v>
      </c>
      <c r="D123" s="16" t="str">
        <f>IFERROR(VLOOKUP(C123,REKAP[[#All],[ID]:[Stok Akhir]],2,FALSE), "")</f>
        <v>Mur</v>
      </c>
      <c r="E123" s="16" t="str">
        <f>IFERROR(VLOOKUP(C123,REKAP[[#All],[ID]:[Stok Akhir]],4,FALSE), "")</f>
        <v>M5</v>
      </c>
      <c r="F123" s="16" t="str">
        <f>IFERROR(VLOOKUP(C123,REKAP[[#All],[ID]:[Stok Akhir]],6,FALSE),"")</f>
        <v>Mur &amp; Baut</v>
      </c>
      <c r="G123" s="15">
        <f>IFERROR(VLOOKUP(C123,REKAP[[#All],[ID]:[Stok Akhir]],8,FALSE),"")</f>
        <v>100</v>
      </c>
      <c r="H123" s="11">
        <v>1</v>
      </c>
      <c r="I123" s="11" t="s">
        <v>3825</v>
      </c>
      <c r="J123" s="11" t="s">
        <v>3833</v>
      </c>
      <c r="K123" s="15"/>
      <c r="L123" s="11"/>
      <c r="M123" s="47">
        <f>IFERROR(VLOOKUP(C123,REKAP[[#All],[ID]:[Stok Akhir]],15,FALSE),"")</f>
        <v>29</v>
      </c>
    </row>
    <row r="124" spans="1:13" ht="16.5" thickTop="1" thickBot="1" x14ac:dyDescent="0.3">
      <c r="A124" s="27">
        <f t="shared" si="1"/>
        <v>118</v>
      </c>
      <c r="B124" s="7">
        <v>45359</v>
      </c>
      <c r="C124" s="8" t="s">
        <v>254</v>
      </c>
      <c r="D124" s="16" t="str">
        <f>IFERROR(VLOOKUP(C124,REKAP[[#All],[ID]:[Stok Akhir]],2,FALSE), "")</f>
        <v>Baut LPK</v>
      </c>
      <c r="E124" s="16" t="str">
        <f>IFERROR(VLOOKUP(C124,REKAP[[#All],[ID]:[Stok Akhir]],4,FALSE), "")</f>
        <v>M 3 X 25</v>
      </c>
      <c r="F124" s="16" t="str">
        <f>IFERROR(VLOOKUP(C124,REKAP[[#All],[ID]:[Stok Akhir]],6,FALSE),"")</f>
        <v>Mur &amp; Baut</v>
      </c>
      <c r="G124" s="15">
        <f>IFERROR(VLOOKUP(C124,REKAP[[#All],[ID]:[Stok Akhir]],8,FALSE),"")</f>
        <v>342</v>
      </c>
      <c r="H124" s="11">
        <v>2</v>
      </c>
      <c r="I124" s="11" t="s">
        <v>3825</v>
      </c>
      <c r="J124" s="11" t="s">
        <v>3834</v>
      </c>
      <c r="K124" s="15"/>
      <c r="L124" s="11"/>
      <c r="M124" s="47">
        <f>IFERROR(VLOOKUP(C124,REKAP[[#All],[ID]:[Stok Akhir]],15,FALSE),"")</f>
        <v>27</v>
      </c>
    </row>
    <row r="125" spans="1:13" ht="16.5" thickTop="1" thickBot="1" x14ac:dyDescent="0.3">
      <c r="A125" s="27">
        <f t="shared" si="1"/>
        <v>119</v>
      </c>
      <c r="B125" s="7">
        <v>45359</v>
      </c>
      <c r="C125" s="8" t="s">
        <v>769</v>
      </c>
      <c r="D125" s="16" t="str">
        <f>IFERROR(VLOOKUP(C125,REKAP[[#All],[ID]:[Stok Akhir]],2,FALSE), "")</f>
        <v>Masker Safety (Polytron)</v>
      </c>
      <c r="E125" s="16">
        <f>IFERROR(VLOOKUP(C125,REKAP[[#All],[ID]:[Stok Akhir]],4,FALSE), "")</f>
        <v>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1455</v>
      </c>
      <c r="H125" s="11">
        <v>1</v>
      </c>
      <c r="I125" s="11" t="s">
        <v>3846</v>
      </c>
      <c r="J125" s="11" t="s">
        <v>3663</v>
      </c>
      <c r="K125" s="15"/>
      <c r="L125" s="11"/>
      <c r="M125" s="47">
        <f>IFERROR(VLOOKUP(C125,REKAP[[#All],[ID]:[Stok Akhir]],15,FALSE),"")</f>
        <v>143</v>
      </c>
    </row>
    <row r="126" spans="1:13" ht="16.5" thickTop="1" thickBot="1" x14ac:dyDescent="0.3">
      <c r="A126" s="27">
        <f t="shared" si="1"/>
        <v>120</v>
      </c>
      <c r="B126" s="7">
        <v>45359</v>
      </c>
      <c r="C126" s="8" t="s">
        <v>743</v>
      </c>
      <c r="D126" s="16" t="str">
        <f>IFERROR(VLOOKUP(C126,REKAP[[#All],[ID]:[Stok Akhir]],2,FALSE), "")</f>
        <v>Gerinda Potong 4" 1X25"</v>
      </c>
      <c r="E126" s="16" t="str">
        <f>IFERROR(VLOOKUP(C126,REKAP[[#All],[ID]:[Stok Akhir]],4,FALSE), "")</f>
        <v>4x1,25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4000</v>
      </c>
      <c r="H126" s="11">
        <v>1</v>
      </c>
      <c r="I126" s="11" t="s">
        <v>3716</v>
      </c>
      <c r="J126" s="11" t="s">
        <v>3829</v>
      </c>
      <c r="K126" s="15"/>
      <c r="L126" s="11"/>
      <c r="M126" s="47">
        <f>IFERROR(VLOOKUP(C126,REKAP[[#All],[ID]:[Stok Akhir]],15,FALSE),"")</f>
        <v>3</v>
      </c>
    </row>
    <row r="127" spans="1:13" ht="16.5" thickTop="1" thickBot="1" x14ac:dyDescent="0.3">
      <c r="A127" s="27">
        <f t="shared" si="1"/>
        <v>121</v>
      </c>
      <c r="B127" s="7">
        <v>45359</v>
      </c>
      <c r="C127" s="8" t="s">
        <v>769</v>
      </c>
      <c r="D127" s="16" t="str">
        <f>IFERROR(VLOOKUP(C127,REKAP[[#All],[ID]:[Stok Akhir]],2,FALSE), "")</f>
        <v>Masker Safety (Polytron)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1455</v>
      </c>
      <c r="H127" s="11">
        <v>1</v>
      </c>
      <c r="I127" s="11" t="s">
        <v>3716</v>
      </c>
      <c r="J127" s="11" t="s">
        <v>3663</v>
      </c>
      <c r="K127" s="15"/>
      <c r="L127" s="11"/>
      <c r="M127" s="47">
        <f>IFERROR(VLOOKUP(C127,REKAP[[#All],[ID]:[Stok Akhir]],15,FALSE),"")</f>
        <v>143</v>
      </c>
    </row>
    <row r="128" spans="1:13" ht="16.5" thickTop="1" thickBot="1" x14ac:dyDescent="0.3">
      <c r="A128" s="27">
        <f t="shared" si="1"/>
        <v>122</v>
      </c>
      <c r="B128" s="7">
        <v>45359</v>
      </c>
      <c r="C128" s="8" t="s">
        <v>737</v>
      </c>
      <c r="D128" s="16" t="str">
        <f>IFERROR(VLOOKUP(C128,REKAP[[#All],[ID]:[Stok Akhir]],2,FALSE), "")</f>
        <v>Gerinda Ampelas 4"</v>
      </c>
      <c r="E128" s="16" t="str">
        <f>IFERROR(VLOOKUP(C128,REKAP[[#All],[ID]:[Stok Akhir]],4,FALSE), "")</f>
        <v>#240</v>
      </c>
      <c r="F128" s="16" t="str">
        <f>IFERROR(VLOOKUP(C128,REKAP[[#All],[ID]:[Stok Akhir]],6,FALSE),"")</f>
        <v>Bahan Pembantu</v>
      </c>
      <c r="G128" s="15">
        <f>IFERROR(VLOOKUP(C128,REKAP[[#All],[ID]:[Stok Akhir]],8,FALSE),"")</f>
        <v>15000</v>
      </c>
      <c r="H128" s="11">
        <v>1</v>
      </c>
      <c r="I128" s="11" t="s">
        <v>3869</v>
      </c>
      <c r="J128" s="11" t="s">
        <v>3666</v>
      </c>
      <c r="K128" s="15">
        <f>IFERROR(MASUK8[[#This Row],[Harga Satuan]]*MASUK8[[#This Row],[Jumlah Keluar]], "")</f>
        <v>15000</v>
      </c>
      <c r="L128" s="11"/>
      <c r="M128" s="47">
        <f>IFERROR(VLOOKUP(C128,REKAP[[#All],[ID]:[Stok Akhir]],15,FALSE),"")</f>
        <v>6</v>
      </c>
    </row>
    <row r="129" spans="1:13" ht="16.5" thickTop="1" thickBot="1" x14ac:dyDescent="0.3">
      <c r="A129" s="27">
        <f t="shared" si="1"/>
        <v>123</v>
      </c>
      <c r="B129" s="7">
        <v>45359</v>
      </c>
      <c r="C129" s="8" t="s">
        <v>463</v>
      </c>
      <c r="D129" s="16" t="str">
        <f>IFERROR(VLOOKUP(C129,REKAP[[#All],[ID]:[Stok Akhir]],2,FALSE), "")</f>
        <v>Baut JFL</v>
      </c>
      <c r="E129" s="16" t="str">
        <f>IFERROR(VLOOKUP(C129,REKAP[[#All],[ID]:[Stok Akhir]],4,FALSE), "")</f>
        <v>M 6 X 15</v>
      </c>
      <c r="F129" s="16" t="str">
        <f>IFERROR(VLOOKUP(C129,REKAP[[#All],[ID]:[Stok Akhir]],6,FALSE),"")</f>
        <v>Mur &amp; Baut</v>
      </c>
      <c r="G129" s="15">
        <f>IFERROR(VLOOKUP(C129,REKAP[[#All],[ID]:[Stok Akhir]],8,FALSE),"")</f>
        <v>1000</v>
      </c>
      <c r="H129" s="11">
        <v>8</v>
      </c>
      <c r="I129" s="11" t="s">
        <v>3825</v>
      </c>
      <c r="J129" s="11" t="s">
        <v>3878</v>
      </c>
      <c r="K129" s="15">
        <f>IFERROR(MASUK8[[#This Row],[Harga Satuan]]*MASUK8[[#This Row],[Jumlah Keluar]], "")</f>
        <v>8000</v>
      </c>
      <c r="L129" s="11"/>
      <c r="M129" s="47">
        <f>IFERROR(VLOOKUP(C129,REKAP[[#All],[ID]:[Stok Akhir]],15,FALSE),"")</f>
        <v>27</v>
      </c>
    </row>
    <row r="130" spans="1:13" ht="16.5" thickTop="1" thickBot="1" x14ac:dyDescent="0.3">
      <c r="A130" s="27">
        <f t="shared" si="1"/>
        <v>124</v>
      </c>
      <c r="B130" s="7">
        <v>45360</v>
      </c>
      <c r="C130" s="8" t="s">
        <v>789</v>
      </c>
      <c r="D130" s="16" t="str">
        <f>IFERROR(VLOOKUP(C130,REKAP[[#All],[ID]:[Stok Akhir]],2,FALSE), "")</f>
        <v>Sarung Tangan Karet</v>
      </c>
      <c r="E130" s="16">
        <f>IFERROR(VLOOKUP(C130,REKAP[[#All],[ID]:[Stok Akhir]],4,FALSE), "")</f>
        <v>0</v>
      </c>
      <c r="F130" s="16" t="str">
        <f>IFERROR(VLOOKUP(C130,REKAP[[#All],[ID]:[Stok Akhir]],6,FALSE),"")</f>
        <v>Bahan Pembantu</v>
      </c>
      <c r="G130" s="15">
        <f>IFERROR(VLOOKUP(C130,REKAP[[#All],[ID]:[Stok Akhir]],8,FALSE),"")</f>
        <v>1800</v>
      </c>
      <c r="H130" s="11">
        <v>2</v>
      </c>
      <c r="I130" s="11" t="s">
        <v>3707</v>
      </c>
      <c r="J130" s="11" t="s">
        <v>3708</v>
      </c>
      <c r="K130" s="15"/>
      <c r="L130" s="11"/>
      <c r="M130" s="47">
        <f>IFERROR(VLOOKUP(C130,REKAP[[#All],[ID]:[Stok Akhir]],15,FALSE),"")</f>
        <v>105</v>
      </c>
    </row>
    <row r="131" spans="1:13" ht="16.5" thickTop="1" thickBot="1" x14ac:dyDescent="0.3">
      <c r="A131" s="27">
        <f t="shared" si="1"/>
        <v>125</v>
      </c>
      <c r="B131" s="7">
        <v>45360</v>
      </c>
      <c r="C131" s="8" t="s">
        <v>692</v>
      </c>
      <c r="D131" s="16" t="str">
        <f>IFERROR(VLOOKUP(C131,REKAP[[#All],[ID]:[Stok Akhir]],2,FALSE), "")</f>
        <v>Alteco / Lem Korea</v>
      </c>
      <c r="E131" s="16" t="str">
        <f>IFERROR(VLOOKUP(C131,REKAP[[#All],[ID]:[Stok Akhir]],4,FALSE), "")</f>
        <v>Alteco 110</v>
      </c>
      <c r="F131" s="16" t="str">
        <f>IFERROR(VLOOKUP(C131,REKAP[[#All],[ID]:[Stok Akhir]],6,FALSE),"")</f>
        <v>Bahan Pembantu</v>
      </c>
      <c r="G131" s="15">
        <f>IFERROR(VLOOKUP(C131,REKAP[[#All],[ID]:[Stok Akhir]],8,FALSE),"")</f>
        <v>5000</v>
      </c>
      <c r="H131" s="11">
        <v>2</v>
      </c>
      <c r="I131" s="11" t="s">
        <v>3665</v>
      </c>
      <c r="J131" s="11" t="s">
        <v>3709</v>
      </c>
      <c r="K131" s="15"/>
      <c r="L131" s="11"/>
      <c r="M131" s="47">
        <f>IFERROR(VLOOKUP(C131,REKAP[[#All],[ID]:[Stok Akhir]],15,FALSE),"")</f>
        <v>4</v>
      </c>
    </row>
    <row r="132" spans="1:13" ht="16.5" thickTop="1" thickBot="1" x14ac:dyDescent="0.3">
      <c r="A132" s="27">
        <f t="shared" si="1"/>
        <v>126</v>
      </c>
      <c r="B132" s="7">
        <v>45360</v>
      </c>
      <c r="C132" s="8" t="s">
        <v>769</v>
      </c>
      <c r="D132" s="16" t="str">
        <f>IFERROR(VLOOKUP(C132,REKAP[[#All],[ID]:[Stok Akhir]],2,FALSE), "")</f>
        <v>Masker Safety (Polytron)</v>
      </c>
      <c r="E132" s="16">
        <f>IFERROR(VLOOKUP(C132,REKAP[[#All],[ID]:[Stok Akhir]],4,FALSE), "")</f>
        <v>0</v>
      </c>
      <c r="F132" s="16" t="str">
        <f>IFERROR(VLOOKUP(C132,REKAP[[#All],[ID]:[Stok Akhir]],6,FALSE),"")</f>
        <v>Bahan Pembantu</v>
      </c>
      <c r="G132" s="15">
        <f>IFERROR(VLOOKUP(C132,REKAP[[#All],[ID]:[Stok Akhir]],8,FALSE),"")</f>
        <v>1455</v>
      </c>
      <c r="H132" s="11">
        <v>2</v>
      </c>
      <c r="I132" s="11" t="s">
        <v>3691</v>
      </c>
      <c r="J132" s="11"/>
      <c r="K132" s="15"/>
      <c r="L132" s="11" t="s">
        <v>3710</v>
      </c>
      <c r="M132" s="47">
        <f>IFERROR(VLOOKUP(C132,REKAP[[#All],[ID]:[Stok Akhir]],15,FALSE),"")</f>
        <v>143</v>
      </c>
    </row>
    <row r="133" spans="1:13" ht="16.5" thickTop="1" thickBot="1" x14ac:dyDescent="0.3">
      <c r="A133" s="27">
        <f t="shared" si="1"/>
        <v>127</v>
      </c>
      <c r="B133" s="7">
        <v>45360</v>
      </c>
      <c r="C133" s="8" t="s">
        <v>788</v>
      </c>
      <c r="D133" s="16" t="str">
        <f>IFERROR(VLOOKUP(C133,REKAP[[#All],[ID]:[Stok Akhir]],2,FALSE), "")</f>
        <v>Sarung Tangan kain</v>
      </c>
      <c r="E133" s="16">
        <f>IFERROR(VLOOKUP(C133,REKAP[[#All],[ID]:[Stok Akhir]],4,FALSE), "")</f>
        <v>0</v>
      </c>
      <c r="F133" s="16" t="str">
        <f>IFERROR(VLOOKUP(C133,REKAP[[#All],[ID]:[Stok Akhir]],6,FALSE),"")</f>
        <v>Bahan Pembantu</v>
      </c>
      <c r="G133" s="15">
        <f>IFERROR(VLOOKUP(C133,REKAP[[#All],[ID]:[Stok Akhir]],8,FALSE),"")</f>
        <v>2000</v>
      </c>
      <c r="H133" s="11">
        <v>1</v>
      </c>
      <c r="I133" s="11" t="s">
        <v>3677</v>
      </c>
      <c r="J133" s="11"/>
      <c r="K133" s="15"/>
      <c r="L133" s="11"/>
      <c r="M133" s="47">
        <f>IFERROR(VLOOKUP(C133,REKAP[[#All],[ID]:[Stok Akhir]],15,FALSE),"")</f>
        <v>0</v>
      </c>
    </row>
    <row r="134" spans="1:13" ht="16.5" thickTop="1" thickBot="1" x14ac:dyDescent="0.3">
      <c r="A134" s="27">
        <f t="shared" si="1"/>
        <v>128</v>
      </c>
      <c r="B134" s="7">
        <v>45360</v>
      </c>
      <c r="C134" s="8" t="s">
        <v>2827</v>
      </c>
      <c r="D134" s="16" t="str">
        <f>IFERROR(VLOOKUP(C134,REKAP[[#All],[ID]:[Stok Akhir]],2,FALSE), "")</f>
        <v xml:space="preserve">End Mill Moldino </v>
      </c>
      <c r="E134" s="16" t="str">
        <f>IFERROR(VLOOKUP(C134,REKAP[[#All],[ID]:[Stok Akhir]],4,FALSE), "")</f>
        <v>ETRP4020-15-0905-TH</v>
      </c>
      <c r="F134" s="16" t="str">
        <f>IFERROR(VLOOKUP(C134,REKAP[[#All],[ID]:[Stok Akhir]],6,FALSE),"")</f>
        <v>Tools</v>
      </c>
      <c r="G134" s="15">
        <f>IFERROR(VLOOKUP(C134,REKAP[[#All],[ID]:[Stok Akhir]],8,FALSE),"")</f>
        <v>961000</v>
      </c>
      <c r="H134" s="11">
        <v>1</v>
      </c>
      <c r="I134" s="11" t="s">
        <v>3711</v>
      </c>
      <c r="J134" s="11" t="s">
        <v>3712</v>
      </c>
      <c r="K134" s="15"/>
      <c r="L134" s="11"/>
      <c r="M134" s="47">
        <f>IFERROR(VLOOKUP(C134,REKAP[[#All],[ID]:[Stok Akhir]],15,FALSE),"")</f>
        <v>2</v>
      </c>
    </row>
    <row r="135" spans="1:13" ht="16.5" thickTop="1" thickBot="1" x14ac:dyDescent="0.3">
      <c r="A135" s="27">
        <f t="shared" ref="A135:A198" si="2">ROW()-ROW($A$6)</f>
        <v>129</v>
      </c>
      <c r="B135" s="7">
        <v>45360</v>
      </c>
      <c r="C135" s="8" t="s">
        <v>2841</v>
      </c>
      <c r="D135" s="16" t="str">
        <f>IFERROR(VLOOKUP(C135,REKAP[[#All],[ID]:[Stok Akhir]],2,FALSE), "")</f>
        <v xml:space="preserve">End Mill Moldino </v>
      </c>
      <c r="E135" s="16" t="str">
        <f>IFERROR(VLOOKUP(C135,REKAP[[#All],[ID]:[Stok Akhir]],4,FALSE), "")</f>
        <v>ER5HS12-PN Ø12xR1x36x42</v>
      </c>
      <c r="F135" s="16" t="str">
        <f>IFERROR(VLOOKUP(C135,REKAP[[#All],[ID]:[Stok Akhir]],6,FALSE),"")</f>
        <v>Tools</v>
      </c>
      <c r="G135" s="15">
        <f>IFERROR(VLOOKUP(C135,REKAP[[#All],[ID]:[Stok Akhir]],8,FALSE),"")</f>
        <v>1565000</v>
      </c>
      <c r="H135" s="11">
        <v>1</v>
      </c>
      <c r="I135" s="11" t="s">
        <v>3682</v>
      </c>
      <c r="J135" s="11" t="s">
        <v>3713</v>
      </c>
      <c r="K135" s="15"/>
      <c r="L135" s="11"/>
      <c r="M135" s="47">
        <f>IFERROR(VLOOKUP(C135,REKAP[[#All],[ID]:[Stok Akhir]],15,FALSE),"")</f>
        <v>1</v>
      </c>
    </row>
    <row r="136" spans="1:13" ht="16.5" thickTop="1" thickBot="1" x14ac:dyDescent="0.3">
      <c r="A136" s="27">
        <f t="shared" si="2"/>
        <v>130</v>
      </c>
      <c r="B136" s="7">
        <v>45360</v>
      </c>
      <c r="C136" s="8" t="s">
        <v>1195</v>
      </c>
      <c r="D136" s="16" t="str">
        <f>IFERROR(VLOOKUP(C136,REKAP[[#All],[ID]:[Stok Akhir]],2,FALSE), "")</f>
        <v>Eye Bolt</v>
      </c>
      <c r="E136" s="16" t="str">
        <f>IFERROR(VLOOKUP(C136,REKAP[[#All],[ID]:[Stok Akhir]],4,FALSE), "")</f>
        <v>BLE-16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43000</v>
      </c>
      <c r="H136" s="11">
        <v>2</v>
      </c>
      <c r="I136" s="11" t="s">
        <v>3825</v>
      </c>
      <c r="J136" s="11" t="s">
        <v>3835</v>
      </c>
      <c r="K136" s="15"/>
      <c r="L136" s="11"/>
      <c r="M136" s="47">
        <f>IFERROR(VLOOKUP(C136,REKAP[[#All],[ID]:[Stok Akhir]],15,FALSE),"")</f>
        <v>0</v>
      </c>
    </row>
    <row r="137" spans="1:13" ht="16.5" thickTop="1" thickBot="1" x14ac:dyDescent="0.3">
      <c r="A137" s="27">
        <f t="shared" si="2"/>
        <v>131</v>
      </c>
      <c r="B137" s="7">
        <v>45360</v>
      </c>
      <c r="C137" s="8" t="s">
        <v>1312</v>
      </c>
      <c r="D137" s="16" t="str">
        <f>IFERROR(VLOOKUP(C137,REKAP[[#All],[ID]:[Stok Akhir]],2,FALSE), "")</f>
        <v>Screw Plugs</v>
      </c>
      <c r="E137" s="16" t="str">
        <f>IFERROR(VLOOKUP(C137,REKAP[[#All],[ID]:[Stok Akhir]],4,FALSE), "")</f>
        <v>QPWA 020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6000</v>
      </c>
      <c r="H137" s="11">
        <v>24</v>
      </c>
      <c r="I137" s="11" t="s">
        <v>3825</v>
      </c>
      <c r="J137" s="11" t="s">
        <v>3835</v>
      </c>
      <c r="K137" s="15"/>
      <c r="L137" s="11"/>
      <c r="M137" s="47">
        <f>IFERROR(VLOOKUP(C137,REKAP[[#All],[ID]:[Stok Akhir]],15,FALSE),"")</f>
        <v>2</v>
      </c>
    </row>
    <row r="138" spans="1:13" ht="16.5" thickTop="1" thickBot="1" x14ac:dyDescent="0.3">
      <c r="A138" s="27">
        <f t="shared" si="2"/>
        <v>132</v>
      </c>
      <c r="B138" s="7">
        <v>45360</v>
      </c>
      <c r="C138" s="8" t="s">
        <v>1311</v>
      </c>
      <c r="D138" s="16" t="str">
        <f>IFERROR(VLOOKUP(C138,REKAP[[#All],[ID]:[Stok Akhir]],2,FALSE), "")</f>
        <v>Screw Plugs</v>
      </c>
      <c r="E138" s="16" t="str">
        <f>IFERROR(VLOOKUP(C138,REKAP[[#All],[ID]:[Stok Akhir]],4,FALSE), "")</f>
        <v>QPWA 010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5500</v>
      </c>
      <c r="H138" s="11">
        <v>16</v>
      </c>
      <c r="I138" s="11" t="s">
        <v>3825</v>
      </c>
      <c r="J138" s="11" t="s">
        <v>3835</v>
      </c>
      <c r="K138" s="15"/>
      <c r="L138" s="11"/>
      <c r="M138" s="47">
        <f>IFERROR(VLOOKUP(C138,REKAP[[#All],[ID]:[Stok Akhir]],15,FALSE),"")</f>
        <v>13</v>
      </c>
    </row>
    <row r="139" spans="1:13" ht="16.5" thickTop="1" thickBot="1" x14ac:dyDescent="0.3">
      <c r="A139" s="27">
        <f t="shared" si="2"/>
        <v>133</v>
      </c>
      <c r="B139" s="7">
        <v>45360</v>
      </c>
      <c r="C139" s="8" t="s">
        <v>954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DPND-5-20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2836</v>
      </c>
      <c r="H139" s="11">
        <v>2</v>
      </c>
      <c r="I139" s="11" t="s">
        <v>3825</v>
      </c>
      <c r="J139" s="11" t="s">
        <v>3836</v>
      </c>
      <c r="K139" s="15"/>
      <c r="L139" s="11"/>
      <c r="M139" s="47">
        <f>IFERROR(VLOOKUP(C139,REKAP[[#All],[ID]:[Stok Akhir]],15,FALSE),"")</f>
        <v>5</v>
      </c>
    </row>
    <row r="140" spans="1:13" ht="16.5" thickTop="1" thickBot="1" x14ac:dyDescent="0.3">
      <c r="A140" s="27">
        <f t="shared" si="2"/>
        <v>134</v>
      </c>
      <c r="B140" s="7">
        <v>45360</v>
      </c>
      <c r="C140" s="8" t="s">
        <v>1030</v>
      </c>
      <c r="D140" s="16" t="str">
        <f>IFERROR(VLOOKUP(C140,REKAP[[#All],[ID]:[Stok Akhir]],2,FALSE), "")</f>
        <v>Ejector Pin</v>
      </c>
      <c r="E140" s="16" t="str">
        <f>IFERROR(VLOOKUP(C140,REKAP[[#All],[ID]:[Stok Akhir]],4,FALSE), "")</f>
        <v>EPC-3,5-100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5500</v>
      </c>
      <c r="H140" s="11">
        <v>2</v>
      </c>
      <c r="I140" s="11" t="s">
        <v>3825</v>
      </c>
      <c r="J140" s="11" t="s">
        <v>3837</v>
      </c>
      <c r="K140" s="15"/>
      <c r="L140" s="11"/>
      <c r="M140" s="47">
        <f>IFERROR(VLOOKUP(C140,REKAP[[#All],[ID]:[Stok Akhir]],15,FALSE),"")</f>
        <v>1</v>
      </c>
    </row>
    <row r="141" spans="1:13" ht="16.5" thickTop="1" thickBot="1" x14ac:dyDescent="0.3">
      <c r="A141" s="27">
        <f t="shared" si="2"/>
        <v>135</v>
      </c>
      <c r="B141" s="7">
        <v>45360</v>
      </c>
      <c r="C141" s="8" t="s">
        <v>1027</v>
      </c>
      <c r="D141" s="16" t="str">
        <f>IFERROR(VLOOKUP(C141,REKAP[[#All],[ID]:[Stok Akhir]],2,FALSE), "")</f>
        <v>Ejector Pin</v>
      </c>
      <c r="E141" s="16" t="str">
        <f>IFERROR(VLOOKUP(C141,REKAP[[#All],[ID]:[Stok Akhir]],4,FALSE), "")</f>
        <v>EPC-3-250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5305</v>
      </c>
      <c r="H141" s="11">
        <v>8</v>
      </c>
      <c r="I141" s="11" t="s">
        <v>3825</v>
      </c>
      <c r="J141" s="11" t="s">
        <v>3759</v>
      </c>
      <c r="K141" s="15">
        <f>IFERROR(MASUK8[[#This Row],[Harga Satuan]]*MASUK8[[#This Row],[Jumlah Keluar]], "")</f>
        <v>42440</v>
      </c>
      <c r="L141" s="11"/>
      <c r="M141" s="47">
        <f>IFERROR(VLOOKUP(C141,REKAP[[#All],[ID]:[Stok Akhir]],15,FALSE),"")</f>
        <v>0</v>
      </c>
    </row>
    <row r="142" spans="1:13" ht="16.5" thickTop="1" thickBot="1" x14ac:dyDescent="0.3">
      <c r="A142" s="27">
        <f t="shared" si="2"/>
        <v>136</v>
      </c>
      <c r="B142" s="7">
        <v>45361</v>
      </c>
      <c r="C142" s="8" t="s">
        <v>788</v>
      </c>
      <c r="D142" s="16" t="str">
        <f>IFERROR(VLOOKUP(C142,REKAP[[#All],[ID]:[Stok Akhir]],2,FALSE), "")</f>
        <v>Sarung Tangan kain</v>
      </c>
      <c r="E142" s="16">
        <f>IFERROR(VLOOKUP(C142,REKAP[[#All],[ID]:[Stok Akhir]],4,FALSE), "")</f>
        <v>0</v>
      </c>
      <c r="F142" s="16" t="str">
        <f>IFERROR(VLOOKUP(C142,REKAP[[#All],[ID]:[Stok Akhir]],6,FALSE),"")</f>
        <v>Bahan Pembantu</v>
      </c>
      <c r="G142" s="15">
        <f>IFERROR(VLOOKUP(C142,REKAP[[#All],[ID]:[Stok Akhir]],8,FALSE),"")</f>
        <v>2000</v>
      </c>
      <c r="H142" s="11">
        <v>1</v>
      </c>
      <c r="I142" s="11" t="s">
        <v>3690</v>
      </c>
      <c r="J142" s="11" t="s">
        <v>3706</v>
      </c>
      <c r="K142" s="15"/>
      <c r="L142" s="11"/>
      <c r="M142" s="47">
        <f>IFERROR(VLOOKUP(C142,REKAP[[#All],[ID]:[Stok Akhir]],15,FALSE),"")</f>
        <v>0</v>
      </c>
    </row>
    <row r="143" spans="1:13" ht="16.5" thickTop="1" thickBot="1" x14ac:dyDescent="0.3">
      <c r="A143" s="27">
        <f t="shared" si="2"/>
        <v>137</v>
      </c>
      <c r="B143" s="7">
        <v>45361</v>
      </c>
      <c r="C143" s="8" t="s">
        <v>2947</v>
      </c>
      <c r="D143" s="16" t="str">
        <f>IFERROR(VLOOKUP(C143,REKAP[[#All],[ID]:[Stok Akhir]],2,FALSE), "")</f>
        <v>Hand Tap NPT Yamawa, WG</v>
      </c>
      <c r="E143" s="16" t="str">
        <f>IFERROR(VLOOKUP(C143,REKAP[[#All],[ID]:[Stok Akhir]],4,FALSE), "")</f>
        <v>1/4-18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565000</v>
      </c>
      <c r="H143" s="11">
        <v>1</v>
      </c>
      <c r="I143" s="11" t="s">
        <v>3690</v>
      </c>
      <c r="J143" s="11" t="s">
        <v>3706</v>
      </c>
      <c r="K143" s="15"/>
      <c r="L143" s="11"/>
      <c r="M143" s="47">
        <f>IFERROR(VLOOKUP(C143,REKAP[[#All],[ID]:[Stok Akhir]],15,FALSE),"")</f>
        <v>2</v>
      </c>
    </row>
    <row r="144" spans="1:13" ht="16.5" thickTop="1" thickBot="1" x14ac:dyDescent="0.3">
      <c r="A144" s="27">
        <f t="shared" si="2"/>
        <v>138</v>
      </c>
      <c r="B144" s="7">
        <v>45363</v>
      </c>
      <c r="C144" s="8" t="s">
        <v>2671</v>
      </c>
      <c r="D144" s="16" t="str">
        <f>IFERROR(VLOOKUP(C144,REKAP[[#All],[ID]:[Stok Akhir]],2,FALSE), "")</f>
        <v>Center Drill Yamawa</v>
      </c>
      <c r="E144" s="16" t="str">
        <f>IFERROR(VLOOKUP(C144,REKAP[[#All],[ID]:[Stok Akhir]],4,FALSE), "")</f>
        <v>2.5 x 60° x 7.7</v>
      </c>
      <c r="F144" s="16" t="str">
        <f>IFERROR(VLOOKUP(C144,REKAP[[#All],[ID]:[Stok Akhir]],6,FALSE),"")</f>
        <v>Tools</v>
      </c>
      <c r="G144" s="15">
        <f>IFERROR(VLOOKUP(C144,REKAP[[#All],[ID]:[Stok Akhir]],8,FALSE),"")</f>
        <v>138000</v>
      </c>
      <c r="H144" s="11">
        <v>1</v>
      </c>
      <c r="I144" s="11" t="s">
        <v>3674</v>
      </c>
      <c r="J144" s="11" t="s">
        <v>3701</v>
      </c>
      <c r="K144" s="15"/>
      <c r="L144" s="11" t="s">
        <v>3676</v>
      </c>
      <c r="M144" s="47">
        <f>IFERROR(VLOOKUP(C144,REKAP[[#All],[ID]:[Stok Akhir]],15,FALSE),"")</f>
        <v>3</v>
      </c>
    </row>
    <row r="145" spans="1:13" ht="16.5" thickTop="1" thickBot="1" x14ac:dyDescent="0.3">
      <c r="A145" s="27">
        <f t="shared" si="2"/>
        <v>139</v>
      </c>
      <c r="B145" s="7">
        <v>45363</v>
      </c>
      <c r="C145" s="8" t="s">
        <v>3005</v>
      </c>
      <c r="D145" s="16" t="str">
        <f>IFERROR(VLOOKUP(C145,REKAP[[#All],[ID]:[Stok Akhir]],2,FALSE), "")</f>
        <v>Insert Kyocera</v>
      </c>
      <c r="E145" s="16" t="str">
        <f>IFERROR(VLOOKUP(C145,REKAP[[#All],[ID]:[Stok Akhir]],4,FALSE), "")</f>
        <v>CCMT09T304</v>
      </c>
      <c r="F145" s="16" t="str">
        <f>IFERROR(VLOOKUP(C145,REKAP[[#All],[ID]:[Stok Akhir]],6,FALSE),"")</f>
        <v>Tools</v>
      </c>
      <c r="G145" s="15">
        <f>IFERROR(VLOOKUP(C145,REKAP[[#All],[ID]:[Stok Akhir]],8,FALSE),"")</f>
        <v>100915</v>
      </c>
      <c r="H145" s="11">
        <v>2</v>
      </c>
      <c r="I145" s="11" t="s">
        <v>3674</v>
      </c>
      <c r="J145" s="11" t="s">
        <v>3701</v>
      </c>
      <c r="K145" s="15"/>
      <c r="L145" s="11" t="s">
        <v>3676</v>
      </c>
      <c r="M145" s="47">
        <f>IFERROR(VLOOKUP(C145,REKAP[[#All],[ID]:[Stok Akhir]],15,FALSE),"")</f>
        <v>6</v>
      </c>
    </row>
    <row r="146" spans="1:13" ht="16.5" thickTop="1" thickBot="1" x14ac:dyDescent="0.3">
      <c r="A146" s="27">
        <f t="shared" si="2"/>
        <v>140</v>
      </c>
      <c r="B146" s="7">
        <v>45363</v>
      </c>
      <c r="C146" s="8" t="s">
        <v>3010</v>
      </c>
      <c r="D146" s="16" t="str">
        <f>IFERROR(VLOOKUP(C146,REKAP[[#All],[ID]:[Stok Akhir]],2,FALSE), "")</f>
        <v>Insert Mitshubishi</v>
      </c>
      <c r="E146" s="16" t="str">
        <f>IFERROR(VLOOKUP(C146,REKAP[[#All],[ID]:[Stok Akhir]],4,FALSE), "")</f>
        <v>CCMT 060204 UE6020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46500</v>
      </c>
      <c r="H146" s="11">
        <v>2</v>
      </c>
      <c r="I146" s="11" t="s">
        <v>3674</v>
      </c>
      <c r="J146" s="11" t="s">
        <v>3701</v>
      </c>
      <c r="K146" s="15"/>
      <c r="L146" s="11" t="s">
        <v>3676</v>
      </c>
      <c r="M146" s="47">
        <f>IFERROR(VLOOKUP(C146,REKAP[[#All],[ID]:[Stok Akhir]],15,FALSE),"")</f>
        <v>8</v>
      </c>
    </row>
    <row r="147" spans="1:13" ht="16.5" thickTop="1" thickBot="1" x14ac:dyDescent="0.3">
      <c r="A147" s="27">
        <f t="shared" si="2"/>
        <v>141</v>
      </c>
      <c r="B147" s="7">
        <v>45363</v>
      </c>
      <c r="C147" s="8" t="s">
        <v>3096</v>
      </c>
      <c r="D147" s="16" t="str">
        <f>IFERROR(VLOOKUP(C147,REKAP[[#All],[ID]:[Stok Akhir]],2,FALSE), "")</f>
        <v>Tap Mesin Yamawa,YG1</v>
      </c>
      <c r="E147" s="16" t="str">
        <f>IFERROR(VLOOKUP(C147,REKAP[[#All],[ID]:[Stok Akhir]],4,FALSE), "")</f>
        <v>M5 x 0.8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110000</v>
      </c>
      <c r="H147" s="11">
        <v>1</v>
      </c>
      <c r="I147" s="11" t="s">
        <v>3677</v>
      </c>
      <c r="J147" s="11" t="s">
        <v>3702</v>
      </c>
      <c r="K147" s="15"/>
      <c r="L147" s="11"/>
      <c r="M147" s="47">
        <f>IFERROR(VLOOKUP(C147,REKAP[[#All],[ID]:[Stok Akhir]],15,FALSE),"")</f>
        <v>3</v>
      </c>
    </row>
    <row r="148" spans="1:13" ht="16.5" thickTop="1" thickBot="1" x14ac:dyDescent="0.3">
      <c r="A148" s="27">
        <f t="shared" si="2"/>
        <v>142</v>
      </c>
      <c r="B148" s="7">
        <v>45363</v>
      </c>
      <c r="C148" s="8" t="s">
        <v>2729</v>
      </c>
      <c r="D148" s="16" t="str">
        <f>IFERROR(VLOOKUP(C148,REKAP[[#All],[ID]:[Stok Akhir]],2,FALSE), "")</f>
        <v>Drill Nachi HSS</v>
      </c>
      <c r="E148" s="16" t="str">
        <f>IFERROR(VLOOKUP(C148,REKAP[[#All],[ID]:[Stok Akhir]],4,FALSE), "")</f>
        <v>Ø8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57500</v>
      </c>
      <c r="H148" s="11">
        <v>1</v>
      </c>
      <c r="I148" s="11" t="s">
        <v>3690</v>
      </c>
      <c r="J148" s="11" t="s">
        <v>3703</v>
      </c>
      <c r="K148" s="15"/>
      <c r="L148" s="11"/>
      <c r="M148" s="47">
        <f>IFERROR(VLOOKUP(C148,REKAP[[#All],[ID]:[Stok Akhir]],15,FALSE),"")</f>
        <v>2</v>
      </c>
    </row>
    <row r="149" spans="1:13" ht="16.5" thickTop="1" thickBot="1" x14ac:dyDescent="0.3">
      <c r="A149" s="27">
        <f t="shared" si="2"/>
        <v>143</v>
      </c>
      <c r="B149" s="7">
        <v>45363</v>
      </c>
      <c r="C149" s="8" t="s">
        <v>692</v>
      </c>
      <c r="D149" s="16" t="str">
        <f>IFERROR(VLOOKUP(C149,REKAP[[#All],[ID]:[Stok Akhir]],2,FALSE), "")</f>
        <v>Alteco / Lem Korea</v>
      </c>
      <c r="E149" s="16" t="str">
        <f>IFERROR(VLOOKUP(C149,REKAP[[#All],[ID]:[Stok Akhir]],4,FALSE), "")</f>
        <v>Alteco 110</v>
      </c>
      <c r="F149" s="16" t="str">
        <f>IFERROR(VLOOKUP(C149,REKAP[[#All],[ID]:[Stok Akhir]],6,FALSE),"")</f>
        <v>Bahan Pembantu</v>
      </c>
      <c r="G149" s="15">
        <f>IFERROR(VLOOKUP(C149,REKAP[[#All],[ID]:[Stok Akhir]],8,FALSE),"")</f>
        <v>5000</v>
      </c>
      <c r="H149" s="11">
        <v>2</v>
      </c>
      <c r="I149" s="11" t="s">
        <v>3670</v>
      </c>
      <c r="J149" s="11" t="s">
        <v>3701</v>
      </c>
      <c r="K149" s="15"/>
      <c r="L149" s="11"/>
      <c r="M149" s="47">
        <f>IFERROR(VLOOKUP(C149,REKAP[[#All],[ID]:[Stok Akhir]],15,FALSE),"")</f>
        <v>4</v>
      </c>
    </row>
    <row r="150" spans="1:13" ht="16.5" thickTop="1" thickBot="1" x14ac:dyDescent="0.3">
      <c r="A150" s="27">
        <f t="shared" si="2"/>
        <v>144</v>
      </c>
      <c r="B150" s="7">
        <v>45363</v>
      </c>
      <c r="C150" s="8" t="s">
        <v>703</v>
      </c>
      <c r="D150" s="16" t="str">
        <f>IFERROR(VLOOKUP(C150,REKAP[[#All],[ID]:[Stok Akhir]],2,FALSE), "")</f>
        <v>Ampelas</v>
      </c>
      <c r="E150" s="16" t="str">
        <f>IFERROR(VLOOKUP(C150,REKAP[[#All],[ID]:[Stok Akhir]],4,FALSE), "")</f>
        <v>Grit 800</v>
      </c>
      <c r="F150" s="16" t="str">
        <f>IFERROR(VLOOKUP(C150,REKAP[[#All],[ID]:[Stok Akhir]],6,FALSE),"")</f>
        <v>Bahan Pembantu</v>
      </c>
      <c r="G150" s="15">
        <f>IFERROR(VLOOKUP(C150,REKAP[[#All],[ID]:[Stok Akhir]],8,FALSE),"")</f>
        <v>4000</v>
      </c>
      <c r="H150" s="11">
        <v>2</v>
      </c>
      <c r="I150" s="11" t="s">
        <v>3670</v>
      </c>
      <c r="J150" s="11" t="s">
        <v>3701</v>
      </c>
      <c r="K150" s="15"/>
      <c r="L150" s="11"/>
      <c r="M150" s="47">
        <f>IFERROR(VLOOKUP(C150,REKAP[[#All],[ID]:[Stok Akhir]],15,FALSE),"")</f>
        <v>0</v>
      </c>
    </row>
    <row r="151" spans="1:13" ht="16.5" thickTop="1" thickBot="1" x14ac:dyDescent="0.3">
      <c r="A151" s="27">
        <f t="shared" si="2"/>
        <v>145</v>
      </c>
      <c r="B151" s="7">
        <v>45363</v>
      </c>
      <c r="C151" s="8" t="s">
        <v>2598</v>
      </c>
      <c r="D151" s="16" t="str">
        <f>IFERROR(VLOOKUP(C151,REKAP[[#All],[ID]:[Stok Akhir]],2,FALSE), "")</f>
        <v>BNC Moldino (R0.5x10)</v>
      </c>
      <c r="E151" s="16" t="str">
        <f>IFERROR(VLOOKUP(C151,REKAP[[#All],[ID]:[Stok Akhir]],4,FALSE), "")</f>
        <v>EPDBE2010-10-ATH</v>
      </c>
      <c r="F151" s="16" t="str">
        <f>IFERROR(VLOOKUP(C151,REKAP[[#All],[ID]:[Stok Akhir]],6,FALSE),"")</f>
        <v>Tools</v>
      </c>
      <c r="G151" s="15">
        <f>IFERROR(VLOOKUP(C151,REKAP[[#All],[ID]:[Stok Akhir]],8,FALSE),"")</f>
        <v>423000</v>
      </c>
      <c r="H151" s="11">
        <v>1</v>
      </c>
      <c r="I151" s="11" t="s">
        <v>3704</v>
      </c>
      <c r="J151" s="11" t="s">
        <v>3705</v>
      </c>
      <c r="K151" s="15"/>
      <c r="L151" s="11"/>
      <c r="M151" s="47">
        <f>IFERROR(VLOOKUP(C151,REKAP[[#All],[ID]:[Stok Akhir]],15,FALSE),"")</f>
        <v>2</v>
      </c>
    </row>
    <row r="152" spans="1:13" ht="16.5" thickTop="1" thickBot="1" x14ac:dyDescent="0.3">
      <c r="A152" s="27">
        <f t="shared" si="2"/>
        <v>146</v>
      </c>
      <c r="B152" s="7">
        <v>45363</v>
      </c>
      <c r="C152" s="8" t="s">
        <v>3821</v>
      </c>
      <c r="D152" s="16" t="str">
        <f>IFERROR(VLOOKUP(C152,REKAP[[#All],[ID]:[Stok Akhir]],2,FALSE), "")</f>
        <v>BNC STS</v>
      </c>
      <c r="E152" s="16" t="str">
        <f>IFERROR(VLOOKUP(C152,REKAP[[#All],[ID]:[Stok Akhir]],4,FALSE), "")</f>
        <v>OT-BLN R0.5X10</v>
      </c>
      <c r="F152" s="16" t="str">
        <f>IFERROR(VLOOKUP(C152,REKAP[[#All],[ID]:[Stok Akhir]],6,FALSE),"")</f>
        <v>Tools</v>
      </c>
      <c r="G152" s="15">
        <f>IFERROR(VLOOKUP(C152,REKAP[[#All],[ID]:[Stok Akhir]],8,FALSE),"")</f>
        <v>0</v>
      </c>
      <c r="H152" s="11">
        <v>1</v>
      </c>
      <c r="I152" s="11" t="s">
        <v>3704</v>
      </c>
      <c r="J152" s="11" t="s">
        <v>3705</v>
      </c>
      <c r="K152" s="15"/>
      <c r="L152" s="11"/>
      <c r="M152" s="47">
        <f>IFERROR(VLOOKUP(C152,REKAP[[#All],[ID]:[Stok Akhir]],15,FALSE),"")</f>
        <v>3</v>
      </c>
    </row>
    <row r="153" spans="1:13" ht="16.5" thickTop="1" thickBot="1" x14ac:dyDescent="0.3">
      <c r="A153" s="27">
        <f t="shared" si="2"/>
        <v>147</v>
      </c>
      <c r="B153" s="7">
        <v>45363</v>
      </c>
      <c r="C153" s="8" t="s">
        <v>731</v>
      </c>
      <c r="D153" s="16" t="str">
        <f>IFERROR(VLOOKUP(C153,REKAP[[#All],[ID]:[Stok Akhir]],2,FALSE), "")</f>
        <v xml:space="preserve">EDM WIRE </v>
      </c>
      <c r="E153" s="16" t="str">
        <f>IFERROR(VLOOKUP(C153,REKAP[[#All],[ID]:[Stok Akhir]],4,FALSE), "")</f>
        <v>0.25mm</v>
      </c>
      <c r="F153" s="16" t="str">
        <f>IFERROR(VLOOKUP(C153,REKAP[[#All],[ID]:[Stok Akhir]],6,FALSE),"")</f>
        <v>Bahan Pembantu</v>
      </c>
      <c r="G153" s="15">
        <f>IFERROR(VLOOKUP(C153,REKAP[[#All],[ID]:[Stok Akhir]],8,FALSE),"")</f>
        <v>160000</v>
      </c>
      <c r="H153" s="11">
        <v>1</v>
      </c>
      <c r="I153" s="11" t="s">
        <v>3716</v>
      </c>
      <c r="J153" s="11"/>
      <c r="K153" s="15"/>
      <c r="L153" s="11"/>
      <c r="M153" s="47">
        <f>IFERROR(VLOOKUP(C153,REKAP[[#All],[ID]:[Stok Akhir]],15,FALSE),"")</f>
        <v>7</v>
      </c>
    </row>
    <row r="154" spans="1:13" ht="16.5" thickTop="1" thickBot="1" x14ac:dyDescent="0.3">
      <c r="A154" s="27">
        <f t="shared" si="2"/>
        <v>148</v>
      </c>
      <c r="B154" s="7">
        <v>45363</v>
      </c>
      <c r="C154" s="8" t="s">
        <v>3817</v>
      </c>
      <c r="D154" s="16" t="str">
        <f>IFERROR(VLOOKUP(C154,REKAP[[#All],[ID]:[Stok Akhir]],2,FALSE), "")</f>
        <v>RETTURN PIN</v>
      </c>
      <c r="E154" s="16" t="str">
        <f>IFERROR(VLOOKUP(C154,REKAP[[#All],[ID]:[Stok Akhir]],4,FALSE), "")</f>
        <v>MERPSTH 20-280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0</v>
      </c>
      <c r="H154" s="11">
        <v>4</v>
      </c>
      <c r="I154" s="11" t="s">
        <v>3825</v>
      </c>
      <c r="J154" s="11" t="s">
        <v>3838</v>
      </c>
      <c r="K154" s="15"/>
      <c r="L154" s="11"/>
      <c r="M154" s="47">
        <f>IFERROR(VLOOKUP(C154,REKAP[[#All],[ID]:[Stok Akhir]],15,FALSE),"")</f>
        <v>0</v>
      </c>
    </row>
    <row r="155" spans="1:13" ht="16.5" thickTop="1" thickBot="1" x14ac:dyDescent="0.3">
      <c r="A155" s="27">
        <f t="shared" si="2"/>
        <v>149</v>
      </c>
      <c r="B155" s="7">
        <v>45363</v>
      </c>
      <c r="C155" s="8" t="s">
        <v>1264</v>
      </c>
      <c r="D155" s="16" t="str">
        <f>IFERROR(VLOOKUP(C155,REKAP[[#All],[ID]:[Stok Akhir]],2,FALSE), "")</f>
        <v>Guide Pin Top B</v>
      </c>
      <c r="E155" s="16" t="str">
        <f>IFERROR(VLOOKUP(C155,REKAP[[#All],[ID]:[Stok Akhir]],4,FALSE), "")</f>
        <v>GPEB/EGH 25-100</v>
      </c>
      <c r="F155" s="16" t="str">
        <f>IFERROR(VLOOKUP(C155,REKAP[[#All],[ID]:[Stok Akhir]],6,FALSE),"")</f>
        <v>Accessories Mold</v>
      </c>
      <c r="G155" s="15">
        <f>IFERROR(VLOOKUP(C155,REKAP[[#All],[ID]:[Stok Akhir]],8,FALSE),"")</f>
        <v>220000</v>
      </c>
      <c r="H155" s="11">
        <v>2</v>
      </c>
      <c r="I155" s="11" t="s">
        <v>3825</v>
      </c>
      <c r="J155" s="11" t="s">
        <v>3838</v>
      </c>
      <c r="K155" s="15"/>
      <c r="L155" s="11"/>
      <c r="M155" s="47">
        <f>IFERROR(VLOOKUP(C155,REKAP[[#All],[ID]:[Stok Akhir]],15,FALSE),"")</f>
        <v>0</v>
      </c>
    </row>
    <row r="156" spans="1:13" ht="16.5" thickTop="1" thickBot="1" x14ac:dyDescent="0.3">
      <c r="A156" s="27">
        <f t="shared" si="2"/>
        <v>150</v>
      </c>
      <c r="B156" s="7">
        <v>45363</v>
      </c>
      <c r="C156" s="8" t="s">
        <v>1069</v>
      </c>
      <c r="D156" s="16" t="str">
        <f>IFERROR(VLOOKUP(C156,REKAP[[#All],[ID]:[Stok Akhir]],2,FALSE), "")</f>
        <v>Ejector Pin</v>
      </c>
      <c r="E156" s="16" t="str">
        <f>IFERROR(VLOOKUP(C156,REKAP[[#All],[ID]:[Stok Akhir]],4,FALSE), "")</f>
        <v>EPC-10-150</v>
      </c>
      <c r="F156" s="16" t="str">
        <f>IFERROR(VLOOKUP(C156,REKAP[[#All],[ID]:[Stok Akhir]],6,FALSE),"")</f>
        <v>Accessories Mold</v>
      </c>
      <c r="G156" s="15">
        <f>IFERROR(VLOOKUP(C156,REKAP[[#All],[ID]:[Stok Akhir]],8,FALSE),"")</f>
        <v>24790</v>
      </c>
      <c r="H156" s="11">
        <v>48</v>
      </c>
      <c r="I156" s="11" t="s">
        <v>3825</v>
      </c>
      <c r="J156" s="11" t="s">
        <v>3835</v>
      </c>
      <c r="K156" s="15"/>
      <c r="L156" s="11"/>
      <c r="M156" s="47">
        <f>IFERROR(VLOOKUP(C156,REKAP[[#All],[ID]:[Stok Akhir]],15,FALSE),"")</f>
        <v>1</v>
      </c>
    </row>
    <row r="157" spans="1:13" ht="16.5" thickTop="1" thickBot="1" x14ac:dyDescent="0.3">
      <c r="A157" s="27">
        <f t="shared" si="2"/>
        <v>151</v>
      </c>
      <c r="B157" s="7">
        <v>45363</v>
      </c>
      <c r="C157" s="8" t="s">
        <v>3812</v>
      </c>
      <c r="D157" s="16" t="str">
        <f>IFERROR(VLOOKUP(C157,REKAP[[#All],[ID]:[Stok Akhir]],2,FALSE), "")</f>
        <v>GUIDE PIN</v>
      </c>
      <c r="E157" s="16" t="str">
        <f>IFERROR(VLOOKUP(C157,REKAP[[#All],[ID]:[Stok Akhir]],4,FALSE), "")</f>
        <v>SPWS 10-60</v>
      </c>
      <c r="F157" s="16" t="str">
        <f>IFERROR(VLOOKUP(C157,REKAP[[#All],[ID]:[Stok Akhir]],6,FALSE),"")</f>
        <v>Accessories Mold</v>
      </c>
      <c r="G157" s="15">
        <f>IFERROR(VLOOKUP(C157,REKAP[[#All],[ID]:[Stok Akhir]],8,FALSE),"")</f>
        <v>0</v>
      </c>
      <c r="H157" s="11">
        <v>4</v>
      </c>
      <c r="I157" s="11" t="s">
        <v>3825</v>
      </c>
      <c r="J157" s="11" t="s">
        <v>3839</v>
      </c>
      <c r="K157" s="15"/>
      <c r="L157" s="11"/>
      <c r="M157" s="47">
        <f>IFERROR(VLOOKUP(C157,REKAP[[#All],[ID]:[Stok Akhir]],15,FALSE),"")</f>
        <v>0</v>
      </c>
    </row>
    <row r="158" spans="1:13" ht="16.5" thickTop="1" thickBot="1" x14ac:dyDescent="0.3">
      <c r="A158" s="27">
        <f t="shared" si="2"/>
        <v>152</v>
      </c>
      <c r="B158" s="7">
        <v>45363</v>
      </c>
      <c r="C158" s="8" t="s">
        <v>3815</v>
      </c>
      <c r="D158" s="16" t="str">
        <f>IFERROR(VLOOKUP(C158,REKAP[[#All],[ID]:[Stok Akhir]],2,FALSE), "")</f>
        <v>GUIDE PIN</v>
      </c>
      <c r="E158" s="16" t="str">
        <f>IFERROR(VLOOKUP(C158,REKAP[[#All],[ID]:[Stok Akhir]],4,FALSE), "")</f>
        <v>SPWS 12-60</v>
      </c>
      <c r="F158" s="16" t="str">
        <f>IFERROR(VLOOKUP(C158,REKAP[[#All],[ID]:[Stok Akhir]],6,FALSE),"")</f>
        <v>Accessories Mold</v>
      </c>
      <c r="G158" s="15">
        <f>IFERROR(VLOOKUP(C158,REKAP[[#All],[ID]:[Stok Akhir]],8,FALSE),"")</f>
        <v>0</v>
      </c>
      <c r="H158" s="11">
        <v>4</v>
      </c>
      <c r="I158" s="11" t="s">
        <v>3825</v>
      </c>
      <c r="J158" s="11" t="s">
        <v>3839</v>
      </c>
      <c r="K158" s="15"/>
      <c r="L158" s="11"/>
      <c r="M158" s="47">
        <f>IFERROR(VLOOKUP(C158,REKAP[[#All],[ID]:[Stok Akhir]],15,FALSE),"")</f>
        <v>0</v>
      </c>
    </row>
    <row r="159" spans="1:13" ht="16.5" thickTop="1" thickBot="1" x14ac:dyDescent="0.3">
      <c r="A159" s="27">
        <f t="shared" si="2"/>
        <v>153</v>
      </c>
      <c r="B159" s="7">
        <v>45363</v>
      </c>
      <c r="C159" s="8" t="s">
        <v>1227</v>
      </c>
      <c r="D159" s="16" t="str">
        <f>IFERROR(VLOOKUP(C159,REKAP[[#All],[ID]:[Stok Akhir]],2,FALSE), "")</f>
        <v>Guide Bush</v>
      </c>
      <c r="E159" s="16" t="str">
        <f>IFERROR(VLOOKUP(C159,REKAP[[#All],[ID]:[Stok Akhir]],4,FALSE), "")</f>
        <v>GBST-20-20</v>
      </c>
      <c r="F159" s="16" t="str">
        <f>IFERROR(VLOOKUP(C159,REKAP[[#All],[ID]:[Stok Akhir]],6,FALSE),"")</f>
        <v>Accessories Mold</v>
      </c>
      <c r="G159" s="15">
        <f>IFERROR(VLOOKUP(C159,REKAP[[#All],[ID]:[Stok Akhir]],8,FALSE),"")</f>
        <v>37329</v>
      </c>
      <c r="H159" s="11">
        <v>4</v>
      </c>
      <c r="I159" s="11" t="s">
        <v>3825</v>
      </c>
      <c r="J159" s="11" t="s">
        <v>3839</v>
      </c>
      <c r="K159" s="15"/>
      <c r="L159" s="11"/>
      <c r="M159" s="47">
        <f>IFERROR(VLOOKUP(C159,REKAP[[#All],[ID]:[Stok Akhir]],15,FALSE),"")</f>
        <v>5</v>
      </c>
    </row>
    <row r="160" spans="1:13" ht="16.5" thickTop="1" thickBot="1" x14ac:dyDescent="0.3">
      <c r="A160" s="27">
        <f t="shared" si="2"/>
        <v>154</v>
      </c>
      <c r="B160" s="7">
        <v>45363</v>
      </c>
      <c r="C160" s="8" t="s">
        <v>3251</v>
      </c>
      <c r="D160" s="16" t="str">
        <f>IFERROR(VLOOKUP(C160,REKAP[[#All],[ID]:[Stok Akhir]],2,FALSE), "")</f>
        <v>BLOW NOZLE 1 1/2"</v>
      </c>
      <c r="E160" s="16">
        <f>IFERROR(VLOOKUP(C160,REKAP[[#All],[ID]:[Stok Akhir]],4,FALSE), "")</f>
        <v>0</v>
      </c>
      <c r="F160" s="16" t="str">
        <f>IFERROR(VLOOKUP(C160,REKAP[[#All],[ID]:[Stok Akhir]],6,FALSE),"")</f>
        <v>Barang Jadi</v>
      </c>
      <c r="G160" s="15">
        <f>IFERROR(VLOOKUP(C160,REKAP[[#All],[ID]:[Stok Akhir]],8,FALSE),"")</f>
        <v>400000</v>
      </c>
      <c r="H160" s="11">
        <v>1</v>
      </c>
      <c r="I160" s="11" t="s">
        <v>3825</v>
      </c>
      <c r="J160" s="11" t="s">
        <v>3835</v>
      </c>
      <c r="K160" s="15"/>
      <c r="L160" s="11"/>
      <c r="M160" s="47">
        <f>IFERROR(VLOOKUP(C160,REKAP[[#All],[ID]:[Stok Akhir]],15,FALSE),"")</f>
        <v>4</v>
      </c>
    </row>
    <row r="161" spans="1:13" ht="16.5" thickTop="1" thickBot="1" x14ac:dyDescent="0.3">
      <c r="A161" s="27">
        <f t="shared" si="2"/>
        <v>155</v>
      </c>
      <c r="B161" s="7">
        <v>45363</v>
      </c>
      <c r="C161" s="8" t="s">
        <v>3261</v>
      </c>
      <c r="D161" s="16" t="str">
        <f>IFERROR(VLOOKUP(C161,REKAP[[#All],[ID]:[Stok Akhir]],2,FALSE), "")</f>
        <v>Bush A</v>
      </c>
      <c r="E161" s="16">
        <f>IFERROR(VLOOKUP(C161,REKAP[[#All],[ID]:[Stok Akhir]],4,FALSE), "")</f>
        <v>0</v>
      </c>
      <c r="F161" s="16" t="str">
        <f>IFERROR(VLOOKUP(C161,REKAP[[#All],[ID]:[Stok Akhir]],6,FALSE),"")</f>
        <v>Barang Jadi</v>
      </c>
      <c r="G161" s="15">
        <f>IFERROR(VLOOKUP(C161,REKAP[[#All],[ID]:[Stok Akhir]],8,FALSE),"")</f>
        <v>220000</v>
      </c>
      <c r="H161" s="11">
        <v>8</v>
      </c>
      <c r="I161" s="11" t="s">
        <v>3825</v>
      </c>
      <c r="J161" s="11" t="s">
        <v>3756</v>
      </c>
      <c r="K161" s="15"/>
      <c r="L161" s="11"/>
      <c r="M161" s="47">
        <f>IFERROR(VLOOKUP(C161,REKAP[[#All],[ID]:[Stok Akhir]],15,FALSE),"")</f>
        <v>8</v>
      </c>
    </row>
    <row r="162" spans="1:13" ht="16.5" thickTop="1" thickBot="1" x14ac:dyDescent="0.3">
      <c r="A162" s="27">
        <f t="shared" si="2"/>
        <v>156</v>
      </c>
      <c r="B162" s="7">
        <v>45363</v>
      </c>
      <c r="C162" s="8" t="s">
        <v>3263</v>
      </c>
      <c r="D162" s="16" t="str">
        <f>IFERROR(VLOOKUP(C162,REKAP[[#All],[ID]:[Stok Akhir]],2,FALSE), "")</f>
        <v>Bush B</v>
      </c>
      <c r="E162" s="16">
        <f>IFERROR(VLOOKUP(C162,REKAP[[#All],[ID]:[Stok Akhir]],4,FALSE), "")</f>
        <v>0</v>
      </c>
      <c r="F162" s="16" t="str">
        <f>IFERROR(VLOOKUP(C162,REKAP[[#All],[ID]:[Stok Akhir]],6,FALSE),"")</f>
        <v>Barang Jadi</v>
      </c>
      <c r="G162" s="15">
        <f>IFERROR(VLOOKUP(C162,REKAP[[#All],[ID]:[Stok Akhir]],8,FALSE),"")</f>
        <v>220000</v>
      </c>
      <c r="H162" s="11">
        <v>4</v>
      </c>
      <c r="I162" s="11" t="s">
        <v>3825</v>
      </c>
      <c r="J162" s="11" t="s">
        <v>3756</v>
      </c>
      <c r="K162" s="15"/>
      <c r="L162" s="11"/>
      <c r="M162" s="47">
        <f>IFERROR(VLOOKUP(C162,REKAP[[#All],[ID]:[Stok Akhir]],15,FALSE),"")</f>
        <v>8</v>
      </c>
    </row>
    <row r="163" spans="1:13" ht="16.5" thickTop="1" thickBot="1" x14ac:dyDescent="0.3">
      <c r="A163" s="27">
        <f t="shared" si="2"/>
        <v>157</v>
      </c>
      <c r="B163" s="7">
        <v>45363</v>
      </c>
      <c r="C163" s="8" t="s">
        <v>3294</v>
      </c>
      <c r="D163" s="16" t="str">
        <f>IFERROR(VLOOKUP(C163,REKAP[[#All],[ID]:[Stok Akhir]],2,FALSE), "")</f>
        <v>Sliding Block</v>
      </c>
      <c r="E163" s="16">
        <f>IFERROR(VLOOKUP(C163,REKAP[[#All],[ID]:[Stok Akhir]],4,FALSE), "")</f>
        <v>0</v>
      </c>
      <c r="F163" s="16" t="str">
        <f>IFERROR(VLOOKUP(C163,REKAP[[#All],[ID]:[Stok Akhir]],6,FALSE),"")</f>
        <v>Barang Jadi</v>
      </c>
      <c r="G163" s="15">
        <f>IFERROR(VLOOKUP(C163,REKAP[[#All],[ID]:[Stok Akhir]],8,FALSE),"")</f>
        <v>200000</v>
      </c>
      <c r="H163" s="11">
        <v>8</v>
      </c>
      <c r="I163" s="11" t="s">
        <v>3825</v>
      </c>
      <c r="J163" s="11" t="s">
        <v>3756</v>
      </c>
      <c r="K163" s="15"/>
      <c r="L163" s="11"/>
      <c r="M163" s="47">
        <f>IFERROR(VLOOKUP(C163,REKAP[[#All],[ID]:[Stok Akhir]],15,FALSE),"")</f>
        <v>8</v>
      </c>
    </row>
    <row r="164" spans="1:13" ht="16.5" thickTop="1" thickBot="1" x14ac:dyDescent="0.3">
      <c r="A164" s="27">
        <f t="shared" si="2"/>
        <v>158</v>
      </c>
      <c r="B164" s="7">
        <v>45363</v>
      </c>
      <c r="C164" s="8" t="s">
        <v>446</v>
      </c>
      <c r="D164" s="16" t="str">
        <f>IFERROR(VLOOKUP(C164,REKAP[[#All],[ID]:[Stok Akhir]],2,FALSE), "")</f>
        <v>Baut JFL</v>
      </c>
      <c r="E164" s="16" t="str">
        <f>IFERROR(VLOOKUP(C164,REKAP[[#All],[ID]:[Stok Akhir]],4,FALSE), "")</f>
        <v>M 3 x 10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500</v>
      </c>
      <c r="H164" s="11">
        <v>8</v>
      </c>
      <c r="I164" s="11" t="s">
        <v>3825</v>
      </c>
      <c r="J164" s="11" t="s">
        <v>3840</v>
      </c>
      <c r="K164" s="15"/>
      <c r="L164" s="11"/>
      <c r="M164" s="47">
        <f>IFERROR(VLOOKUP(C164,REKAP[[#All],[ID]:[Stok Akhir]],15,FALSE),"")</f>
        <v>50</v>
      </c>
    </row>
    <row r="165" spans="1:13" ht="16.5" thickTop="1" thickBot="1" x14ac:dyDescent="0.3">
      <c r="A165" s="27">
        <f t="shared" si="2"/>
        <v>159</v>
      </c>
      <c r="B165" s="7">
        <v>45363</v>
      </c>
      <c r="C165" s="8" t="s">
        <v>359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12 X 35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3200</v>
      </c>
      <c r="H165" s="11">
        <v>12</v>
      </c>
      <c r="I165" s="11" t="s">
        <v>3825</v>
      </c>
      <c r="J165" s="11" t="s">
        <v>3835</v>
      </c>
      <c r="K165" s="15"/>
      <c r="L165" s="11"/>
      <c r="M165" s="47">
        <f>IFERROR(VLOOKUP(C165,REKAP[[#All],[ID]:[Stok Akhir]],15,FALSE),"")</f>
        <v>21</v>
      </c>
    </row>
    <row r="166" spans="1:13" ht="16.5" thickTop="1" thickBot="1" x14ac:dyDescent="0.3">
      <c r="A166" s="27">
        <f t="shared" si="2"/>
        <v>160</v>
      </c>
      <c r="B166" s="7">
        <v>45363</v>
      </c>
      <c r="C166" s="8" t="s">
        <v>358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12 X 30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3100</v>
      </c>
      <c r="H166" s="11">
        <v>8</v>
      </c>
      <c r="I166" s="11" t="s">
        <v>3825</v>
      </c>
      <c r="J166" s="11" t="s">
        <v>3835</v>
      </c>
      <c r="K166" s="15"/>
      <c r="L166" s="11"/>
      <c r="M166" s="47">
        <f>IFERROR(VLOOKUP(C166,REKAP[[#All],[ID]:[Stok Akhir]],15,FALSE),"")</f>
        <v>4</v>
      </c>
    </row>
    <row r="167" spans="1:13" ht="16.5" thickTop="1" thickBot="1" x14ac:dyDescent="0.3">
      <c r="A167" s="27">
        <f t="shared" si="2"/>
        <v>161</v>
      </c>
      <c r="B167" s="7">
        <v>45363</v>
      </c>
      <c r="C167" s="8" t="s">
        <v>360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12 X 40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3750</v>
      </c>
      <c r="H167" s="11">
        <v>16</v>
      </c>
      <c r="I167" s="11" t="s">
        <v>3825</v>
      </c>
      <c r="J167" s="11" t="s">
        <v>3835</v>
      </c>
      <c r="K167" s="15"/>
      <c r="L167" s="11"/>
      <c r="M167" s="47">
        <f>IFERROR(VLOOKUP(C167,REKAP[[#All],[ID]:[Stok Akhir]],15,FALSE),"")</f>
        <v>7</v>
      </c>
    </row>
    <row r="168" spans="1:13" ht="16.5" thickTop="1" thickBot="1" x14ac:dyDescent="0.3">
      <c r="A168" s="27">
        <f t="shared" si="2"/>
        <v>162</v>
      </c>
      <c r="B168" s="7">
        <v>45363</v>
      </c>
      <c r="C168" s="8" t="s">
        <v>394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16 X 55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4515</v>
      </c>
      <c r="H168" s="11">
        <v>4</v>
      </c>
      <c r="I168" s="11" t="s">
        <v>3825</v>
      </c>
      <c r="J168" s="11" t="s">
        <v>3835</v>
      </c>
      <c r="K168" s="15"/>
      <c r="L168" s="11"/>
      <c r="M168" s="47">
        <f>IFERROR(VLOOKUP(C168,REKAP[[#All],[ID]:[Stok Akhir]],15,FALSE),"")</f>
        <v>8</v>
      </c>
    </row>
    <row r="169" spans="1:13" ht="16.5" thickTop="1" thickBot="1" x14ac:dyDescent="0.3">
      <c r="A169" s="27">
        <f t="shared" si="2"/>
        <v>163</v>
      </c>
      <c r="B169" s="7">
        <v>45363</v>
      </c>
      <c r="C169" s="8" t="s">
        <v>308</v>
      </c>
      <c r="D169" s="16" t="str">
        <f>IFERROR(VLOOKUP(C169,REKAP[[#All],[ID]:[Stok Akhir]],2,FALSE), "")</f>
        <v>Baut LPK</v>
      </c>
      <c r="E169" s="16" t="str">
        <f>IFERROR(VLOOKUP(C169,REKAP[[#All],[ID]:[Stok Akhir]],4,FALSE), "")</f>
        <v xml:space="preserve">M 8 X 20 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1300</v>
      </c>
      <c r="H169" s="11">
        <v>4</v>
      </c>
      <c r="I169" s="11" t="s">
        <v>3825</v>
      </c>
      <c r="J169" s="11" t="s">
        <v>3835</v>
      </c>
      <c r="K169" s="15"/>
      <c r="L169" s="11"/>
      <c r="M169" s="47">
        <f>IFERROR(VLOOKUP(C169,REKAP[[#All],[ID]:[Stok Akhir]],15,FALSE),"")</f>
        <v>53</v>
      </c>
    </row>
    <row r="170" spans="1:13" ht="16.5" thickTop="1" thickBot="1" x14ac:dyDescent="0.3">
      <c r="A170" s="27">
        <f t="shared" si="2"/>
        <v>164</v>
      </c>
      <c r="B170" s="7">
        <v>45363</v>
      </c>
      <c r="C170" s="8" t="s">
        <v>297</v>
      </c>
      <c r="D170" s="16" t="str">
        <f>IFERROR(VLOOKUP(C170,REKAP[[#All],[ID]:[Stok Akhir]],2,FALSE), "")</f>
        <v>Baut LPK</v>
      </c>
      <c r="E170" s="16" t="str">
        <f>IFERROR(VLOOKUP(C170,REKAP[[#All],[ID]:[Stok Akhir]],4,FALSE), "")</f>
        <v>M 6 X 70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1600</v>
      </c>
      <c r="H170" s="11">
        <v>6</v>
      </c>
      <c r="I170" s="11" t="s">
        <v>3825</v>
      </c>
      <c r="J170" s="11" t="s">
        <v>3835</v>
      </c>
      <c r="K170" s="15"/>
      <c r="L170" s="11"/>
      <c r="M170" s="47">
        <f>IFERROR(VLOOKUP(C170,REKAP[[#All],[ID]:[Stok Akhir]],15,FALSE),"")</f>
        <v>29</v>
      </c>
    </row>
    <row r="171" spans="1:13" ht="16.5" thickTop="1" thickBot="1" x14ac:dyDescent="0.3">
      <c r="A171" s="27">
        <f t="shared" si="2"/>
        <v>165</v>
      </c>
      <c r="B171" s="7">
        <v>45363</v>
      </c>
      <c r="C171" s="8" t="s">
        <v>288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6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750</v>
      </c>
      <c r="H171" s="11">
        <v>4</v>
      </c>
      <c r="I171" s="11" t="s">
        <v>3825</v>
      </c>
      <c r="J171" s="11" t="s">
        <v>3835</v>
      </c>
      <c r="K171" s="15"/>
      <c r="L171" s="11"/>
      <c r="M171" s="47">
        <f>IFERROR(VLOOKUP(C171,REKAP[[#All],[ID]:[Stok Akhir]],15,FALSE),"")</f>
        <v>24</v>
      </c>
    </row>
    <row r="172" spans="1:13" ht="16.5" thickTop="1" thickBot="1" x14ac:dyDescent="0.3">
      <c r="A172" s="27">
        <f t="shared" si="2"/>
        <v>166</v>
      </c>
      <c r="B172" s="7">
        <v>45363</v>
      </c>
      <c r="C172" s="8" t="s">
        <v>333</v>
      </c>
      <c r="D172" s="16" t="str">
        <f>IFERROR(VLOOKUP(C172,REKAP[[#All],[ID]:[Stok Akhir]],2,FALSE), "")</f>
        <v>Baut LPK</v>
      </c>
      <c r="E172" s="16" t="str">
        <f>IFERROR(VLOOKUP(C172,REKAP[[#All],[ID]:[Stok Akhir]],4,FALSE), "")</f>
        <v>M 10 X 35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2500</v>
      </c>
      <c r="H172" s="11">
        <v>4</v>
      </c>
      <c r="I172" s="11" t="s">
        <v>3825</v>
      </c>
      <c r="J172" s="11" t="s">
        <v>3835</v>
      </c>
      <c r="K172" s="15"/>
      <c r="L172" s="11"/>
      <c r="M172" s="47">
        <f>IFERROR(VLOOKUP(C172,REKAP[[#All],[ID]:[Stok Akhir]],15,FALSE),"")</f>
        <v>16</v>
      </c>
    </row>
    <row r="173" spans="1:13" ht="16.5" thickTop="1" thickBot="1" x14ac:dyDescent="0.3">
      <c r="A173" s="27">
        <f t="shared" si="2"/>
        <v>167</v>
      </c>
      <c r="B173" s="7">
        <v>45363</v>
      </c>
      <c r="C173" s="8" t="s">
        <v>451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4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600</v>
      </c>
      <c r="H173" s="11">
        <v>8</v>
      </c>
      <c r="I173" s="11" t="s">
        <v>3825</v>
      </c>
      <c r="J173" s="11" t="s">
        <v>3835</v>
      </c>
      <c r="K173" s="15"/>
      <c r="L173" s="11"/>
      <c r="M173" s="47">
        <f>IFERROR(VLOOKUP(C173,REKAP[[#All],[ID]:[Stok Akhir]],15,FALSE),"")</f>
        <v>19</v>
      </c>
    </row>
    <row r="174" spans="1:13" ht="16.5" thickTop="1" thickBot="1" x14ac:dyDescent="0.3">
      <c r="A174" s="27">
        <f t="shared" si="2"/>
        <v>168</v>
      </c>
      <c r="B174" s="7">
        <v>45363</v>
      </c>
      <c r="C174" s="8" t="s">
        <v>463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6 X 15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1000</v>
      </c>
      <c r="H174" s="11">
        <v>4</v>
      </c>
      <c r="I174" s="11" t="s">
        <v>3825</v>
      </c>
      <c r="J174" s="11" t="s">
        <v>3835</v>
      </c>
      <c r="K174" s="15"/>
      <c r="L174" s="11"/>
      <c r="M174" s="47">
        <f>IFERROR(VLOOKUP(C174,REKAP[[#All],[ID]:[Stok Akhir]],15,FALSE),"")</f>
        <v>27</v>
      </c>
    </row>
    <row r="175" spans="1:13" ht="16.5" thickTop="1" thickBot="1" x14ac:dyDescent="0.3">
      <c r="A175" s="27">
        <f t="shared" si="2"/>
        <v>169</v>
      </c>
      <c r="B175" s="7">
        <v>45363</v>
      </c>
      <c r="C175" s="8" t="s">
        <v>473</v>
      </c>
      <c r="D175" s="16" t="str">
        <f>IFERROR(VLOOKUP(C175,REKAP[[#All],[ID]:[Stok Akhir]],2,FALSE), "")</f>
        <v>Baut JFL</v>
      </c>
      <c r="E175" s="16" t="str">
        <f>IFERROR(VLOOKUP(C175,REKAP[[#All],[ID]:[Stok Akhir]],4,FALSE), "")</f>
        <v xml:space="preserve">M 8 X 25 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1500</v>
      </c>
      <c r="H175" s="11">
        <v>8</v>
      </c>
      <c r="I175" s="11" t="s">
        <v>3825</v>
      </c>
      <c r="J175" s="11" t="s">
        <v>3839</v>
      </c>
      <c r="K175" s="15"/>
      <c r="L175" s="11"/>
      <c r="M175" s="47">
        <f>IFERROR(VLOOKUP(C175,REKAP[[#All],[ID]:[Stok Akhir]],15,FALSE),"")</f>
        <v>31</v>
      </c>
    </row>
    <row r="176" spans="1:13" ht="16.5" thickTop="1" thickBot="1" x14ac:dyDescent="0.3">
      <c r="A176" s="27">
        <f t="shared" si="2"/>
        <v>170</v>
      </c>
      <c r="B176" s="7">
        <v>45363</v>
      </c>
      <c r="C176" s="8" t="s">
        <v>309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8 X 25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1500</v>
      </c>
      <c r="H176" s="11">
        <v>4</v>
      </c>
      <c r="I176" s="11" t="s">
        <v>3825</v>
      </c>
      <c r="J176" s="11" t="s">
        <v>3839</v>
      </c>
      <c r="K176" s="15"/>
      <c r="L176" s="11"/>
      <c r="M176" s="47">
        <f>IFERROR(VLOOKUP(C176,REKAP[[#All],[ID]:[Stok Akhir]],15,FALSE),"")</f>
        <v>15</v>
      </c>
    </row>
    <row r="177" spans="1:13" ht="16.5" thickTop="1" thickBot="1" x14ac:dyDescent="0.3">
      <c r="A177" s="27">
        <f t="shared" si="2"/>
        <v>171</v>
      </c>
      <c r="B177" s="7">
        <v>45363</v>
      </c>
      <c r="C177" s="8" t="s">
        <v>513</v>
      </c>
      <c r="D177" s="16" t="str">
        <f>IFERROR(VLOOKUP(C177,REKAP[[#All],[ID]:[Stok Akhir]],2,FALSE), "")</f>
        <v>Baut Tanam</v>
      </c>
      <c r="E177" s="16" t="str">
        <f>IFERROR(VLOOKUP(C177,REKAP[[#All],[ID]:[Stok Akhir]],4,FALSE), "")</f>
        <v xml:space="preserve">M 6 X 10 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4</v>
      </c>
      <c r="I177" s="11" t="s">
        <v>3825</v>
      </c>
      <c r="J177" s="11" t="s">
        <v>3839</v>
      </c>
      <c r="K177" s="15"/>
      <c r="L177" s="11"/>
      <c r="M177" s="47">
        <f>IFERROR(VLOOKUP(C177,REKAP[[#All],[ID]:[Stok Akhir]],15,FALSE),"")</f>
        <v>23</v>
      </c>
    </row>
    <row r="178" spans="1:13" ht="16.5" thickTop="1" thickBot="1" x14ac:dyDescent="0.3">
      <c r="A178" s="27">
        <f t="shared" si="2"/>
        <v>172</v>
      </c>
      <c r="B178" s="7">
        <v>45364</v>
      </c>
      <c r="C178" s="8" t="s">
        <v>270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>M 5 X 30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725</v>
      </c>
      <c r="H178" s="11">
        <v>1</v>
      </c>
      <c r="I178" s="11" t="s">
        <v>3686</v>
      </c>
      <c r="J178" s="11" t="s">
        <v>3695</v>
      </c>
      <c r="K178" s="15"/>
      <c r="L178" s="11"/>
      <c r="M178" s="47">
        <f>IFERROR(VLOOKUP(C178,REKAP[[#All],[ID]:[Stok Akhir]],15,FALSE),"")</f>
        <v>33</v>
      </c>
    </row>
    <row r="179" spans="1:13" ht="16.5" thickTop="1" thickBot="1" x14ac:dyDescent="0.3">
      <c r="A179" s="27">
        <f t="shared" si="2"/>
        <v>173</v>
      </c>
      <c r="B179" s="7">
        <v>45364</v>
      </c>
      <c r="C179" s="8" t="s">
        <v>788</v>
      </c>
      <c r="D179" s="16" t="str">
        <f>IFERROR(VLOOKUP(C179,REKAP[[#All],[ID]:[Stok Akhir]],2,FALSE), "")</f>
        <v>Sarung Tangan kain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2000</v>
      </c>
      <c r="H179" s="11">
        <v>2</v>
      </c>
      <c r="I179" s="11" t="s">
        <v>3861</v>
      </c>
      <c r="J179" s="11" t="s">
        <v>3696</v>
      </c>
      <c r="K179" s="15"/>
      <c r="L179" s="11"/>
      <c r="M179" s="47">
        <f>IFERROR(VLOOKUP(C179,REKAP[[#All],[ID]:[Stok Akhir]],15,FALSE),"")</f>
        <v>0</v>
      </c>
    </row>
    <row r="180" spans="1:13" ht="16.5" thickTop="1" thickBot="1" x14ac:dyDescent="0.3">
      <c r="A180" s="27">
        <f t="shared" si="2"/>
        <v>174</v>
      </c>
      <c r="B180" s="7">
        <v>45364</v>
      </c>
      <c r="C180" s="8" t="s">
        <v>761</v>
      </c>
      <c r="D180" s="16" t="str">
        <f>IFERROR(VLOOKUP(C180,REKAP[[#All],[ID]:[Stok Akhir]],2,FALSE), "")</f>
        <v>Kuas Cat</v>
      </c>
      <c r="E180" s="16" t="str">
        <f>IFERROR(VLOOKUP(C180,REKAP[[#All],[ID]:[Stok Akhir]],4,FALSE), "")</f>
        <v>1"</v>
      </c>
      <c r="F180" s="16" t="str">
        <f>IFERROR(VLOOKUP(C180,REKAP[[#All],[ID]:[Stok Akhir]],6,FALSE),"")</f>
        <v>Bahan Pembantu</v>
      </c>
      <c r="G180" s="15">
        <f>IFERROR(VLOOKUP(C180,REKAP[[#All],[ID]:[Stok Akhir]],8,FALSE),"")</f>
        <v>4000</v>
      </c>
      <c r="H180" s="11">
        <v>1</v>
      </c>
      <c r="I180" s="11" t="s">
        <v>3697</v>
      </c>
      <c r="J180" s="11" t="s">
        <v>3698</v>
      </c>
      <c r="K180" s="15"/>
      <c r="L180" s="11"/>
      <c r="M180" s="47">
        <f>IFERROR(VLOOKUP(C180,REKAP[[#All],[ID]:[Stok Akhir]],15,FALSE),"")</f>
        <v>3</v>
      </c>
    </row>
    <row r="181" spans="1:13" ht="16.5" thickTop="1" thickBot="1" x14ac:dyDescent="0.3">
      <c r="A181" s="27">
        <f t="shared" si="2"/>
        <v>175</v>
      </c>
      <c r="B181" s="7">
        <v>45364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3697</v>
      </c>
      <c r="J181" s="11" t="s">
        <v>3698</v>
      </c>
      <c r="K181" s="15"/>
      <c r="L181" s="11"/>
      <c r="M181" s="47">
        <f>IFERROR(VLOOKUP(C181,REKAP[[#All],[ID]:[Stok Akhir]],15,FALSE),"")</f>
        <v>143</v>
      </c>
    </row>
    <row r="182" spans="1:13" ht="16.5" thickTop="1" thickBot="1" x14ac:dyDescent="0.3">
      <c r="A182" s="27">
        <f t="shared" si="2"/>
        <v>176</v>
      </c>
      <c r="B182" s="7">
        <v>45364</v>
      </c>
      <c r="C182" s="8" t="s">
        <v>788</v>
      </c>
      <c r="D182" s="16" t="str">
        <f>IFERROR(VLOOKUP(C182,REKAP[[#All],[ID]:[Stok Akhir]],2,FALSE), "")</f>
        <v>Sarung Tangan kain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2000</v>
      </c>
      <c r="H182" s="11">
        <v>1</v>
      </c>
      <c r="I182" s="11" t="s">
        <v>3699</v>
      </c>
      <c r="J182" s="11" t="s">
        <v>3700</v>
      </c>
      <c r="K182" s="15"/>
      <c r="L182" s="11"/>
      <c r="M182" s="47">
        <f>IFERROR(VLOOKUP(C182,REKAP[[#All],[ID]:[Stok Akhir]],15,FALSE),"")</f>
        <v>0</v>
      </c>
    </row>
    <row r="183" spans="1:13" ht="16.5" thickTop="1" thickBot="1" x14ac:dyDescent="0.3">
      <c r="A183" s="27">
        <f t="shared" si="2"/>
        <v>177</v>
      </c>
      <c r="B183" s="7">
        <v>45365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3723</v>
      </c>
      <c r="J183" s="11"/>
      <c r="K183" s="15"/>
      <c r="L183" s="11"/>
      <c r="M183" s="47">
        <f>IFERROR(VLOOKUP(C183,REKAP[[#All],[ID]:[Stok Akhir]],15,FALSE),"")</f>
        <v>0</v>
      </c>
    </row>
    <row r="184" spans="1:13" ht="16.5" thickTop="1" thickBot="1" x14ac:dyDescent="0.3">
      <c r="A184" s="27">
        <f t="shared" si="2"/>
        <v>178</v>
      </c>
      <c r="B184" s="7">
        <v>45365</v>
      </c>
      <c r="C184" s="8" t="s">
        <v>769</v>
      </c>
      <c r="D184" s="16" t="str">
        <f>IFERROR(VLOOKUP(C184,REKAP[[#All],[ID]:[Stok Akhir]],2,FALSE), "")</f>
        <v>Masker Safety (Polytron)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1455</v>
      </c>
      <c r="H184" s="11">
        <v>2</v>
      </c>
      <c r="I184" s="11" t="s">
        <v>3862</v>
      </c>
      <c r="J184" s="11"/>
      <c r="K184" s="15"/>
      <c r="L184" s="11"/>
      <c r="M184" s="47">
        <f>IFERROR(VLOOKUP(C184,REKAP[[#All],[ID]:[Stok Akhir]],15,FALSE),"")</f>
        <v>143</v>
      </c>
    </row>
    <row r="185" spans="1:13" ht="16.5" thickTop="1" thickBot="1" x14ac:dyDescent="0.3">
      <c r="A185" s="27">
        <f t="shared" si="2"/>
        <v>179</v>
      </c>
      <c r="B185" s="7">
        <v>45365</v>
      </c>
      <c r="C185" s="8" t="s">
        <v>580</v>
      </c>
      <c r="D185" s="16" t="str">
        <f>IFERROR(VLOOKUP(C185,REKAP[[#All],[ID]:[Stok Akhir]],2,FALSE), "")</f>
        <v>Ring Per</v>
      </c>
      <c r="E185" s="16" t="str">
        <f>IFERROR(VLOOKUP(C185,REKAP[[#All],[ID]:[Stok Akhir]],4,FALSE), "")</f>
        <v>M8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100</v>
      </c>
      <c r="H185" s="11">
        <v>16</v>
      </c>
      <c r="I185" s="11" t="s">
        <v>3693</v>
      </c>
      <c r="J185" s="11" t="s">
        <v>3694</v>
      </c>
      <c r="K185" s="15"/>
      <c r="L185" s="11"/>
      <c r="M185" s="47">
        <f>IFERROR(VLOOKUP(C185,REKAP[[#All],[ID]:[Stok Akhir]],15,FALSE),"")</f>
        <v>36</v>
      </c>
    </row>
    <row r="186" spans="1:13" ht="16.5" thickTop="1" thickBot="1" x14ac:dyDescent="0.3">
      <c r="A186" s="27">
        <f t="shared" si="2"/>
        <v>180</v>
      </c>
      <c r="B186" s="7">
        <v>45365</v>
      </c>
      <c r="C186" s="8" t="s">
        <v>769</v>
      </c>
      <c r="D186" s="16" t="str">
        <f>IFERROR(VLOOKUP(C186,REKAP[[#All],[ID]:[Stok Akhir]],2,FALSE), "")</f>
        <v>Masker Safety (Polytron)</v>
      </c>
      <c r="E186" s="16">
        <f>IFERROR(VLOOKUP(C186,REKAP[[#All],[ID]:[Stok Akhir]],4,FALSE), "")</f>
        <v>0</v>
      </c>
      <c r="F186" s="16" t="str">
        <f>IFERROR(VLOOKUP(C186,REKAP[[#All],[ID]:[Stok Akhir]],6,FALSE),"")</f>
        <v>Bahan Pembantu</v>
      </c>
      <c r="G186" s="15">
        <f>IFERROR(VLOOKUP(C186,REKAP[[#All],[ID]:[Stok Akhir]],8,FALSE),"")</f>
        <v>1455</v>
      </c>
      <c r="H186" s="11">
        <v>1</v>
      </c>
      <c r="I186" s="11" t="s">
        <v>3740</v>
      </c>
      <c r="J186" s="11" t="s">
        <v>3744</v>
      </c>
      <c r="K186" s="15"/>
      <c r="L186" s="11"/>
      <c r="M186" s="47">
        <f>IFERROR(VLOOKUP(C186,REKAP[[#All],[ID]:[Stok Akhir]],15,FALSE),"")</f>
        <v>143</v>
      </c>
    </row>
    <row r="187" spans="1:13" ht="16.5" thickTop="1" thickBot="1" x14ac:dyDescent="0.3">
      <c r="A187" s="27">
        <f t="shared" si="2"/>
        <v>181</v>
      </c>
      <c r="B187" s="7">
        <v>45366</v>
      </c>
      <c r="C187" s="8" t="s">
        <v>797</v>
      </c>
      <c r="D187" s="16" t="str">
        <f>IFERROR(VLOOKUP(C187,REKAP[[#All],[ID]:[Stok Akhir]],2,FALSE), "")</f>
        <v>Thinner Laba - Laba</v>
      </c>
      <c r="E187" s="16">
        <f>IFERROR(VLOOKUP(C187,REKAP[[#All],[ID]:[Stok Akhir]],4,FALSE), "")</f>
        <v>0</v>
      </c>
      <c r="F187" s="16" t="str">
        <f>IFERROR(VLOOKUP(C187,REKAP[[#All],[ID]:[Stok Akhir]],6,FALSE),"")</f>
        <v>Bahan Pembantu</v>
      </c>
      <c r="G187" s="15">
        <f>IFERROR(VLOOKUP(C187,REKAP[[#All],[ID]:[Stok Akhir]],8,FALSE),"")</f>
        <v>145000</v>
      </c>
      <c r="H187" s="11">
        <v>1</v>
      </c>
      <c r="I187" s="11" t="s">
        <v>3691</v>
      </c>
      <c r="J187" s="11"/>
      <c r="K187" s="15"/>
      <c r="L187" s="11" t="s">
        <v>3692</v>
      </c>
      <c r="M187" s="47">
        <f>IFERROR(VLOOKUP(C187,REKAP[[#All],[ID]:[Stok Akhir]],15,FALSE),"")</f>
        <v>2</v>
      </c>
    </row>
    <row r="188" spans="1:13" ht="16.5" thickTop="1" thickBot="1" x14ac:dyDescent="0.3">
      <c r="A188" s="27">
        <f t="shared" si="2"/>
        <v>182</v>
      </c>
      <c r="B188" s="7">
        <v>45366</v>
      </c>
      <c r="C188" s="8" t="s">
        <v>788</v>
      </c>
      <c r="D188" s="16" t="str">
        <f>IFERROR(VLOOKUP(C188,REKAP[[#All],[ID]:[Stok Akhir]],2,FALSE), "")</f>
        <v>Sarung Tangan kain</v>
      </c>
      <c r="E188" s="16">
        <f>IFERROR(VLOOKUP(C188,REKAP[[#All],[ID]:[Stok Akhir]],4,FALSE), "")</f>
        <v>0</v>
      </c>
      <c r="F188" s="16" t="str">
        <f>IFERROR(VLOOKUP(C188,REKAP[[#All],[ID]:[Stok Akhir]],6,FALSE),"")</f>
        <v>Bahan Pembantu</v>
      </c>
      <c r="G188" s="15">
        <f>IFERROR(VLOOKUP(C188,REKAP[[#All],[ID]:[Stok Akhir]],8,FALSE),"")</f>
        <v>2000</v>
      </c>
      <c r="H188" s="11">
        <v>1</v>
      </c>
      <c r="I188" s="11" t="s">
        <v>3691</v>
      </c>
      <c r="J188" s="11"/>
      <c r="K188" s="15"/>
      <c r="L188" s="11"/>
      <c r="M188" s="47">
        <f>IFERROR(VLOOKUP(C188,REKAP[[#All],[ID]:[Stok Akhir]],15,FALSE),"")</f>
        <v>0</v>
      </c>
    </row>
    <row r="189" spans="1:13" ht="16.5" thickTop="1" thickBot="1" x14ac:dyDescent="0.3">
      <c r="A189" s="27">
        <f t="shared" si="2"/>
        <v>183</v>
      </c>
      <c r="B189" s="7">
        <v>45366</v>
      </c>
      <c r="C189" s="8" t="s">
        <v>788</v>
      </c>
      <c r="D189" s="16" t="str">
        <f>IFERROR(VLOOKUP(C189,REKAP[[#All],[ID]:[Stok Akhir]],2,FALSE), "")</f>
        <v>Sarung Tangan kain</v>
      </c>
      <c r="E189" s="16">
        <f>IFERROR(VLOOKUP(C189,REKAP[[#All],[ID]:[Stok Akhir]],4,FALSE), "")</f>
        <v>0</v>
      </c>
      <c r="F189" s="16" t="str">
        <f>IFERROR(VLOOKUP(C189,REKAP[[#All],[ID]:[Stok Akhir]],6,FALSE),"")</f>
        <v>Bahan Pembantu</v>
      </c>
      <c r="G189" s="15">
        <f>IFERROR(VLOOKUP(C189,REKAP[[#All],[ID]:[Stok Akhir]],8,FALSE),"")</f>
        <v>2000</v>
      </c>
      <c r="H189" s="11">
        <v>1</v>
      </c>
      <c r="I189" s="11" t="s">
        <v>3664</v>
      </c>
      <c r="J189" s="11"/>
      <c r="K189" s="15"/>
      <c r="L189" s="11"/>
      <c r="M189" s="47">
        <f>IFERROR(VLOOKUP(C189,REKAP[[#All],[ID]:[Stok Akhir]],15,FALSE),"")</f>
        <v>0</v>
      </c>
    </row>
    <row r="190" spans="1:13" ht="16.5" thickTop="1" thickBot="1" x14ac:dyDescent="0.3">
      <c r="A190" s="27">
        <f t="shared" si="2"/>
        <v>184</v>
      </c>
      <c r="B190" s="7">
        <v>45366</v>
      </c>
      <c r="C190" s="8" t="s">
        <v>731</v>
      </c>
      <c r="D190" s="16" t="str">
        <f>IFERROR(VLOOKUP(C190,REKAP[[#All],[ID]:[Stok Akhir]],2,FALSE), "")</f>
        <v xml:space="preserve">EDM WIRE </v>
      </c>
      <c r="E190" s="16" t="str">
        <f>IFERROR(VLOOKUP(C190,REKAP[[#All],[ID]:[Stok Akhir]],4,FALSE), "")</f>
        <v>0.25mm</v>
      </c>
      <c r="F190" s="16" t="str">
        <f>IFERROR(VLOOKUP(C190,REKAP[[#All],[ID]:[Stok Akhir]],6,FALSE),"")</f>
        <v>Bahan Pembantu</v>
      </c>
      <c r="G190" s="15">
        <f>IFERROR(VLOOKUP(C190,REKAP[[#All],[ID]:[Stok Akhir]],8,FALSE),"")</f>
        <v>160000</v>
      </c>
      <c r="H190" s="11">
        <v>1</v>
      </c>
      <c r="I190" s="11" t="s">
        <v>3716</v>
      </c>
      <c r="J190" s="11"/>
      <c r="K190" s="15"/>
      <c r="L190" s="11"/>
      <c r="M190" s="47">
        <f>IFERROR(VLOOKUP(C190,REKAP[[#All],[ID]:[Stok Akhir]],15,FALSE),"")</f>
        <v>7</v>
      </c>
    </row>
    <row r="191" spans="1:13" ht="16.5" thickTop="1" thickBot="1" x14ac:dyDescent="0.3">
      <c r="A191" s="27">
        <f t="shared" si="2"/>
        <v>185</v>
      </c>
      <c r="B191" s="7">
        <v>45366</v>
      </c>
      <c r="C191" s="8" t="s">
        <v>293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50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1500</v>
      </c>
      <c r="H191" s="11">
        <v>2</v>
      </c>
      <c r="I191" s="11" t="s">
        <v>3825</v>
      </c>
      <c r="J191" s="11" t="s">
        <v>3797</v>
      </c>
      <c r="K191" s="15"/>
      <c r="L191" s="11"/>
      <c r="M191" s="47">
        <f>IFERROR(VLOOKUP(C191,REKAP[[#All],[ID]:[Stok Akhir]],15,FALSE),"")</f>
        <v>9</v>
      </c>
    </row>
    <row r="192" spans="1:13" ht="16.5" thickTop="1" thickBot="1" x14ac:dyDescent="0.3">
      <c r="A192" s="27">
        <f t="shared" si="2"/>
        <v>186</v>
      </c>
      <c r="B192" s="7">
        <v>45366</v>
      </c>
      <c r="C192" s="8" t="s">
        <v>372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12 X 120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13500</v>
      </c>
      <c r="H192" s="11">
        <v>4</v>
      </c>
      <c r="I192" s="11" t="s">
        <v>3825</v>
      </c>
      <c r="J192" s="11" t="s">
        <v>3797</v>
      </c>
      <c r="K192" s="15"/>
      <c r="L192" s="11"/>
      <c r="M192" s="47">
        <f>IFERROR(VLOOKUP(C192,REKAP[[#All],[ID]:[Stok Akhir]],15,FALSE),"")</f>
        <v>3</v>
      </c>
    </row>
    <row r="193" spans="1:13" ht="16.5" thickTop="1" thickBot="1" x14ac:dyDescent="0.3">
      <c r="A193" s="27">
        <f t="shared" si="2"/>
        <v>187</v>
      </c>
      <c r="B193" s="7">
        <v>45366</v>
      </c>
      <c r="C193" s="8" t="s">
        <v>292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45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</v>
      </c>
      <c r="I193" s="11" t="s">
        <v>3825</v>
      </c>
      <c r="J193" s="11" t="s">
        <v>3797</v>
      </c>
      <c r="K193" s="15"/>
      <c r="L193" s="11"/>
      <c r="M193" s="47">
        <f>IFERROR(VLOOKUP(C193,REKAP[[#All],[ID]:[Stok Akhir]],15,FALSE),"")</f>
        <v>24</v>
      </c>
    </row>
    <row r="194" spans="1:13" ht="16.5" thickTop="1" thickBot="1" x14ac:dyDescent="0.3">
      <c r="A194" s="27">
        <f t="shared" si="2"/>
        <v>188</v>
      </c>
      <c r="B194" s="7">
        <v>45366</v>
      </c>
      <c r="C194" s="8" t="s">
        <v>601</v>
      </c>
      <c r="D194" s="16" t="str">
        <f>IFERROR(VLOOKUP(C194,REKAP[[#All],[ID]:[Stok Akhir]],2,FALSE), "")</f>
        <v>Mur</v>
      </c>
      <c r="E194" s="16" t="str">
        <f>IFERROR(VLOOKUP(C194,REKAP[[#All],[ID]:[Stok Akhir]],4,FALSE), "")</f>
        <v>M24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6500</v>
      </c>
      <c r="H194" s="11">
        <v>1</v>
      </c>
      <c r="I194" s="11" t="s">
        <v>3825</v>
      </c>
      <c r="J194" s="11" t="s">
        <v>3797</v>
      </c>
      <c r="K194" s="15"/>
      <c r="L194" s="11"/>
      <c r="M194" s="47">
        <f>IFERROR(VLOOKUP(C194,REKAP[[#All],[ID]:[Stok Akhir]],15,FALSE),"")</f>
        <v>29</v>
      </c>
    </row>
    <row r="195" spans="1:13" ht="16.5" thickTop="1" thickBot="1" x14ac:dyDescent="0.3">
      <c r="A195" s="27">
        <f t="shared" si="2"/>
        <v>189</v>
      </c>
      <c r="B195" s="7">
        <v>45366</v>
      </c>
      <c r="C195" s="8" t="s">
        <v>577</v>
      </c>
      <c r="D195" s="16" t="str">
        <f>IFERROR(VLOOKUP(C195,REKAP[[#All],[ID]:[Stok Akhir]],2,FALSE), "")</f>
        <v>Ring Plate</v>
      </c>
      <c r="E195" s="16" t="str">
        <f>IFERROR(VLOOKUP(C195,REKAP[[#All],[ID]:[Stok Akhir]],4,FALSE), "")</f>
        <v>M24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1100</v>
      </c>
      <c r="H195" s="11">
        <v>1</v>
      </c>
      <c r="I195" s="11" t="s">
        <v>3825</v>
      </c>
      <c r="J195" s="11" t="s">
        <v>3797</v>
      </c>
      <c r="K195" s="15"/>
      <c r="L195" s="11"/>
      <c r="M195" s="47">
        <f>IFERROR(VLOOKUP(C195,REKAP[[#All],[ID]:[Stok Akhir]],15,FALSE),"")</f>
        <v>34</v>
      </c>
    </row>
    <row r="196" spans="1:13" ht="16.5" thickTop="1" thickBot="1" x14ac:dyDescent="0.3">
      <c r="A196" s="27">
        <f t="shared" si="2"/>
        <v>190</v>
      </c>
      <c r="B196" s="7">
        <v>45367</v>
      </c>
      <c r="C196" s="8" t="s">
        <v>2703</v>
      </c>
      <c r="D196" s="16" t="str">
        <f>IFERROR(VLOOKUP(C196,REKAP[[#All],[ID]:[Stok Akhir]],2,FALSE), "")</f>
        <v>Drill Nachi HSS</v>
      </c>
      <c r="E196" s="16" t="str">
        <f>IFERROR(VLOOKUP(C196,REKAP[[#All],[ID]:[Stok Akhir]],4,FALSE), "")</f>
        <v>Ø4.5</v>
      </c>
      <c r="F196" s="16" t="str">
        <f>IFERROR(VLOOKUP(C196,REKAP[[#All],[ID]:[Stok Akhir]],6,FALSE),"")</f>
        <v>Tools</v>
      </c>
      <c r="G196" s="15">
        <f>IFERROR(VLOOKUP(C196,REKAP[[#All],[ID]:[Stok Akhir]],8,FALSE),"")</f>
        <v>23800</v>
      </c>
      <c r="H196" s="11">
        <v>1</v>
      </c>
      <c r="I196" s="11" t="s">
        <v>3690</v>
      </c>
      <c r="J196" s="11"/>
      <c r="K196" s="15"/>
      <c r="L196" s="11"/>
      <c r="M196" s="47">
        <f>IFERROR(VLOOKUP(C196,REKAP[[#All],[ID]:[Stok Akhir]],15,FALSE),"")</f>
        <v>4</v>
      </c>
    </row>
    <row r="197" spans="1:13" ht="16.5" thickTop="1" thickBot="1" x14ac:dyDescent="0.3">
      <c r="A197" s="27">
        <f t="shared" si="2"/>
        <v>191</v>
      </c>
      <c r="B197" s="7">
        <v>45367</v>
      </c>
      <c r="C197" s="8" t="s">
        <v>2601</v>
      </c>
      <c r="D197" s="16" t="str">
        <f>IFERROR(VLOOKUP(C197,REKAP[[#All],[ID]:[Stok Akhir]],2,FALSE), "")</f>
        <v>BNC Moldino (R1x12)</v>
      </c>
      <c r="E197" s="16" t="str">
        <f>IFERROR(VLOOKUP(C197,REKAP[[#All],[ID]:[Stok Akhir]],4,FALSE), "")</f>
        <v>EPDBE2020-12-ATH</v>
      </c>
      <c r="F197" s="16" t="str">
        <f>IFERROR(VLOOKUP(C197,REKAP[[#All],[ID]:[Stok Akhir]],6,FALSE),"")</f>
        <v>Tools</v>
      </c>
      <c r="G197" s="15">
        <f>IFERROR(VLOOKUP(C197,REKAP[[#All],[ID]:[Stok Akhir]],8,FALSE),"")</f>
        <v>423000</v>
      </c>
      <c r="H197" s="11">
        <v>1</v>
      </c>
      <c r="I197" s="11" t="s">
        <v>3749</v>
      </c>
      <c r="J197" s="11" t="s">
        <v>3750</v>
      </c>
      <c r="K197" s="15"/>
      <c r="L197" s="11"/>
      <c r="M197" s="47">
        <f>IFERROR(VLOOKUP(C197,REKAP[[#All],[ID]:[Stok Akhir]],15,FALSE),"")</f>
        <v>0</v>
      </c>
    </row>
    <row r="198" spans="1:13" ht="16.5" thickTop="1" thickBot="1" x14ac:dyDescent="0.3">
      <c r="A198" s="27">
        <f t="shared" si="2"/>
        <v>192</v>
      </c>
      <c r="B198" s="7">
        <v>45367</v>
      </c>
      <c r="C198" s="8" t="s">
        <v>318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8 X 70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2600</v>
      </c>
      <c r="H198" s="11">
        <v>2</v>
      </c>
      <c r="I198" s="11" t="s">
        <v>3825</v>
      </c>
      <c r="J198" s="11" t="s">
        <v>3841</v>
      </c>
      <c r="K198" s="15"/>
      <c r="L198" s="11"/>
      <c r="M198" s="47">
        <f>IFERROR(VLOOKUP(C198,REKAP[[#All],[ID]:[Stok Akhir]],15,FALSE),"")</f>
        <v>11</v>
      </c>
    </row>
    <row r="199" spans="1:13" ht="16.5" thickTop="1" thickBot="1" x14ac:dyDescent="0.3">
      <c r="A199" s="27">
        <f t="shared" ref="A199:A262" si="3">ROW()-ROW($A$6)</f>
        <v>193</v>
      </c>
      <c r="B199" s="7">
        <v>45367</v>
      </c>
      <c r="C199" s="8" t="s">
        <v>286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6 X 15/16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600</v>
      </c>
      <c r="H199" s="11">
        <v>2</v>
      </c>
      <c r="I199" s="11" t="s">
        <v>3825</v>
      </c>
      <c r="J199" s="11" t="s">
        <v>3836</v>
      </c>
      <c r="K199" s="15"/>
      <c r="L199" s="11"/>
      <c r="M199" s="47">
        <f>IFERROR(VLOOKUP(C199,REKAP[[#All],[ID]:[Stok Akhir]],15,FALSE),"")</f>
        <v>61</v>
      </c>
    </row>
    <row r="200" spans="1:13" ht="16.5" thickTop="1" thickBot="1" x14ac:dyDescent="0.3">
      <c r="A200" s="27">
        <f t="shared" si="3"/>
        <v>194</v>
      </c>
      <c r="B200" s="7">
        <v>45369</v>
      </c>
      <c r="C200" s="8" t="s">
        <v>765</v>
      </c>
      <c r="D200" s="16" t="str">
        <f>IFERROR(VLOOKUP(C200,REKAP[[#All],[ID]:[Stok Akhir]],2,FALSE), "")</f>
        <v>Lipstik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12258</v>
      </c>
      <c r="H200" s="11">
        <v>1</v>
      </c>
      <c r="I200" s="11" t="s">
        <v>3686</v>
      </c>
      <c r="J200" s="11" t="s">
        <v>3685</v>
      </c>
      <c r="K200" s="15"/>
      <c r="L200" s="11"/>
      <c r="M200" s="47">
        <f>IFERROR(VLOOKUP(C200,REKAP[[#All],[ID]:[Stok Akhir]],15,FALSE),"")</f>
        <v>6</v>
      </c>
    </row>
    <row r="201" spans="1:13" ht="15.75" thickTop="1" x14ac:dyDescent="0.25">
      <c r="A201" s="27">
        <f t="shared" si="3"/>
        <v>195</v>
      </c>
      <c r="B201" s="112">
        <v>45369</v>
      </c>
      <c r="C201" s="113" t="s">
        <v>788</v>
      </c>
      <c r="D201" s="16" t="str">
        <f>IFERROR(VLOOKUP(C201,REKAP[[#All],[ID]:[Stok Akhir]],2,FALSE), "")</f>
        <v>Sarung Tangan kain</v>
      </c>
      <c r="E201" s="16">
        <f>IFERROR(VLOOKUP(C201,REKAP[[#All],[ID]:[Stok Akhir]],4,FALSE), "")</f>
        <v>0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2000</v>
      </c>
      <c r="H201" s="114">
        <v>1</v>
      </c>
      <c r="I201" s="114" t="s">
        <v>3687</v>
      </c>
      <c r="J201" s="114" t="s">
        <v>3742</v>
      </c>
      <c r="K201" s="15"/>
      <c r="L201" s="114" t="s">
        <v>3663</v>
      </c>
      <c r="M201" s="47">
        <f>IFERROR(VLOOKUP(C201,REKAP[[#All],[ID]:[Stok Akhir]],15,FALSE),"")</f>
        <v>0</v>
      </c>
    </row>
    <row r="202" spans="1:13" x14ac:dyDescent="0.25">
      <c r="A202" s="27">
        <f t="shared" si="3"/>
        <v>196</v>
      </c>
      <c r="B202" s="115">
        <v>45369</v>
      </c>
      <c r="C202" s="116" t="s">
        <v>692</v>
      </c>
      <c r="D202" s="16" t="str">
        <f>IFERROR(VLOOKUP(C202,REKAP[[#All],[ID]:[Stok Akhir]],2,FALSE), "")</f>
        <v>Alteco / Lem Korea</v>
      </c>
      <c r="E202" s="16" t="str">
        <f>IFERROR(VLOOKUP(C202,REKAP[[#All],[ID]:[Stok Akhir]],4,FALSE), "")</f>
        <v>Alteco 110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5000</v>
      </c>
      <c r="H202" s="117">
        <v>1</v>
      </c>
      <c r="I202" s="117" t="s">
        <v>3688</v>
      </c>
      <c r="J202" s="117"/>
      <c r="K202" s="30"/>
      <c r="L202" s="117"/>
      <c r="M202" s="47">
        <f>IFERROR(VLOOKUP(C202,REKAP[[#All],[ID]:[Stok Akhir]],15,FALSE),"")</f>
        <v>4</v>
      </c>
    </row>
    <row r="203" spans="1:13" ht="15.75" thickBot="1" x14ac:dyDescent="0.3">
      <c r="A203" s="27">
        <f t="shared" si="3"/>
        <v>197</v>
      </c>
      <c r="B203" s="13">
        <v>45369</v>
      </c>
      <c r="C203" s="9" t="s">
        <v>2619</v>
      </c>
      <c r="D203" s="39" t="str">
        <f>IFERROR(VLOOKUP(C203,REKAP[[#All],[ID]:[Stok Akhir]],2,FALSE), "")</f>
        <v>BNC Moldino (R3x30)</v>
      </c>
      <c r="E203" s="39" t="str">
        <f>IFERROR(VLOOKUP(C203,REKAP[[#All],[ID]:[Stok Akhir]],4,FALSE), "")</f>
        <v xml:space="preserve">Ø6 EPDBE2060-30-ATH </v>
      </c>
      <c r="F203" s="39" t="str">
        <f>IFERROR(VLOOKUP(C203,REKAP[[#All],[ID]:[Stok Akhir]],6,FALSE),"")</f>
        <v>Tools</v>
      </c>
      <c r="G203" s="17">
        <f>IFERROR(VLOOKUP(C203,REKAP[[#All],[ID]:[Stok Akhir]],8,FALSE),"")</f>
        <v>574000</v>
      </c>
      <c r="H203" s="14">
        <v>1</v>
      </c>
      <c r="I203" s="14" t="s">
        <v>3682</v>
      </c>
      <c r="J203" s="14"/>
      <c r="K203" s="17"/>
      <c r="L203" s="14"/>
      <c r="M203" s="47">
        <f>IFERROR(VLOOKUP(C203,REKAP[[#All],[ID]:[Stok Akhir]],15,FALSE),"")</f>
        <v>16</v>
      </c>
    </row>
    <row r="204" spans="1:13" ht="16.5" thickTop="1" thickBot="1" x14ac:dyDescent="0.3">
      <c r="A204" s="27">
        <f t="shared" si="3"/>
        <v>198</v>
      </c>
      <c r="B204" s="7">
        <v>45369</v>
      </c>
      <c r="C204" s="8" t="s">
        <v>769</v>
      </c>
      <c r="D204" s="16" t="str">
        <f>IFERROR(VLOOKUP(C204,REKAP[[#All],[ID]:[Stok Akhir]],2,FALSE), "")</f>
        <v>Masker Safety (Polytron)</v>
      </c>
      <c r="E204" s="16">
        <f>IFERROR(VLOOKUP(C204,REKAP[[#All],[ID]:[Stok Akhir]],4,FALSE), "")</f>
        <v>0</v>
      </c>
      <c r="F204" s="16" t="str">
        <f>IFERROR(VLOOKUP(C204,REKAP[[#All],[ID]:[Stok Akhir]],6,FALSE),"")</f>
        <v>Bahan Pembantu</v>
      </c>
      <c r="G204" s="15">
        <f>IFERROR(VLOOKUP(C204,REKAP[[#All],[ID]:[Stok Akhir]],8,FALSE),"")</f>
        <v>1455</v>
      </c>
      <c r="H204" s="11">
        <v>2</v>
      </c>
      <c r="I204" s="11" t="s">
        <v>3665</v>
      </c>
      <c r="J204" s="11"/>
      <c r="K204" s="15"/>
      <c r="L204" s="11" t="s">
        <v>3689</v>
      </c>
      <c r="M204" s="47">
        <f>IFERROR(VLOOKUP(C204,REKAP[[#All],[ID]:[Stok Akhir]],15,FALSE),"")</f>
        <v>143</v>
      </c>
    </row>
    <row r="205" spans="1:13" ht="16.5" thickTop="1" thickBot="1" x14ac:dyDescent="0.3">
      <c r="A205" s="27">
        <f t="shared" si="3"/>
        <v>199</v>
      </c>
      <c r="B205" s="7">
        <v>45369</v>
      </c>
      <c r="C205" s="8" t="s">
        <v>769</v>
      </c>
      <c r="D205" s="16" t="str">
        <f>IFERROR(VLOOKUP(C205,REKAP[[#All],[ID]:[Stok Akhir]],2,FALSE), "")</f>
        <v>Masker Safety (Polytron)</v>
      </c>
      <c r="E205" s="16">
        <f>IFERROR(VLOOKUP(C205,REKAP[[#All],[ID]:[Stok Akhir]],4,FALSE), "")</f>
        <v>0</v>
      </c>
      <c r="F205" s="16" t="str">
        <f>IFERROR(VLOOKUP(C205,REKAP[[#All],[ID]:[Stok Akhir]],6,FALSE),"")</f>
        <v>Bahan Pembantu</v>
      </c>
      <c r="G205" s="15">
        <f>IFERROR(VLOOKUP(C205,REKAP[[#All],[ID]:[Stok Akhir]],8,FALSE),"")</f>
        <v>1455</v>
      </c>
      <c r="H205" s="11">
        <v>1</v>
      </c>
      <c r="I205" s="11" t="s">
        <v>3674</v>
      </c>
      <c r="J205" s="11" t="s">
        <v>3745</v>
      </c>
      <c r="K205" s="15"/>
      <c r="L205" s="11"/>
      <c r="M205" s="47">
        <f>IFERROR(VLOOKUP(C205,REKAP[[#All],[ID]:[Stok Akhir]],15,FALSE),"")</f>
        <v>143</v>
      </c>
    </row>
    <row r="206" spans="1:13" ht="16.5" thickTop="1" thickBot="1" x14ac:dyDescent="0.3">
      <c r="A206" s="27">
        <f t="shared" si="3"/>
        <v>200</v>
      </c>
      <c r="B206" s="7">
        <v>45369</v>
      </c>
      <c r="C206" s="8" t="s">
        <v>757</v>
      </c>
      <c r="D206" s="16" t="str">
        <f>IFERROR(VLOOKUP(C206,REKAP[[#All],[ID]:[Stok Akhir]],2,FALSE), "")</f>
        <v>Kawat Mesin Gerinding</v>
      </c>
      <c r="E206" s="16" t="str">
        <f>IFERROR(VLOOKUP(C206,REKAP[[#All],[ID]:[Stok Akhir]],4,FALSE), "")</f>
        <v>Dia. 3</v>
      </c>
      <c r="F206" s="16" t="str">
        <f>IFERROR(VLOOKUP(C206,REKAP[[#All],[ID]:[Stok Akhir]],6,FALSE),"")</f>
        <v>Bahan Pembantu</v>
      </c>
      <c r="G206" s="15">
        <f>IFERROR(VLOOKUP(C206,REKAP[[#All],[ID]:[Stok Akhir]],8,FALSE),"")</f>
        <v>4100</v>
      </c>
      <c r="H206" s="11">
        <v>2</v>
      </c>
      <c r="I206" s="11" t="s">
        <v>3686</v>
      </c>
      <c r="J206" s="11"/>
      <c r="K206" s="15"/>
      <c r="L206" s="11"/>
      <c r="M206" s="47">
        <f>IFERROR(VLOOKUP(C206,REKAP[[#All],[ID]:[Stok Akhir]],15,FALSE),"")</f>
        <v>8</v>
      </c>
    </row>
    <row r="207" spans="1:13" ht="16.5" thickTop="1" thickBot="1" x14ac:dyDescent="0.3">
      <c r="A207" s="27">
        <f t="shared" si="3"/>
        <v>201</v>
      </c>
      <c r="B207" s="7">
        <v>45369</v>
      </c>
      <c r="C207" s="8" t="s">
        <v>731</v>
      </c>
      <c r="D207" s="16" t="str">
        <f>IFERROR(VLOOKUP(C207,REKAP[[#All],[ID]:[Stok Akhir]],2,FALSE), "")</f>
        <v xml:space="preserve">EDM WIRE </v>
      </c>
      <c r="E207" s="16" t="str">
        <f>IFERROR(VLOOKUP(C207,REKAP[[#All],[ID]:[Stok Akhir]],4,FALSE), "")</f>
        <v>0.25mm</v>
      </c>
      <c r="F207" s="16" t="str">
        <f>IFERROR(VLOOKUP(C207,REKAP[[#All],[ID]:[Stok Akhir]],6,FALSE),"")</f>
        <v>Bahan Pembantu</v>
      </c>
      <c r="G207" s="15">
        <f>IFERROR(VLOOKUP(C207,REKAP[[#All],[ID]:[Stok Akhir]],8,FALSE),"")</f>
        <v>160000</v>
      </c>
      <c r="H207" s="11">
        <v>1</v>
      </c>
      <c r="I207" s="11" t="s">
        <v>3716</v>
      </c>
      <c r="J207" s="11"/>
      <c r="K207" s="15"/>
      <c r="L207" s="11"/>
      <c r="M207" s="47">
        <f>IFERROR(VLOOKUP(C207,REKAP[[#All],[ID]:[Stok Akhir]],15,FALSE),"")</f>
        <v>7</v>
      </c>
    </row>
    <row r="208" spans="1:13" ht="16.5" thickTop="1" thickBot="1" x14ac:dyDescent="0.3">
      <c r="A208" s="27">
        <f t="shared" si="3"/>
        <v>202</v>
      </c>
      <c r="B208" s="7">
        <v>45369</v>
      </c>
      <c r="C208" s="8" t="s">
        <v>1048</v>
      </c>
      <c r="D208" s="16" t="str">
        <f>IFERROR(VLOOKUP(C208,REKAP[[#All],[ID]:[Stok Akhir]],2,FALSE), "")</f>
        <v>Ejector Pin</v>
      </c>
      <c r="E208" s="16" t="str">
        <f>IFERROR(VLOOKUP(C208,REKAP[[#All],[ID]:[Stok Akhir]],4,FALSE), "")</f>
        <v>EPC-6-250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15832</v>
      </c>
      <c r="H208" s="11">
        <v>24</v>
      </c>
      <c r="I208" s="11" t="s">
        <v>3825</v>
      </c>
      <c r="J208" s="11" t="s">
        <v>3842</v>
      </c>
      <c r="K208" s="15"/>
      <c r="L208" s="11"/>
      <c r="M208" s="47">
        <f>IFERROR(VLOOKUP(C208,REKAP[[#All],[ID]:[Stok Akhir]],15,FALSE),"")</f>
        <v>0</v>
      </c>
    </row>
    <row r="209" spans="1:13" ht="16.5" thickTop="1" thickBot="1" x14ac:dyDescent="0.3">
      <c r="A209" s="27">
        <f t="shared" si="3"/>
        <v>203</v>
      </c>
      <c r="B209" s="7">
        <v>45369</v>
      </c>
      <c r="C209" s="8" t="s">
        <v>1294</v>
      </c>
      <c r="D209" s="16" t="str">
        <f>IFERROR(VLOOKUP(C209,REKAP[[#All],[ID]:[Stok Akhir]],2,FALSE), "")</f>
        <v>Po-Lock</v>
      </c>
      <c r="E209" s="16" t="str">
        <f>IFERROR(VLOOKUP(C209,REKAP[[#All],[ID]:[Stok Akhir]],4,FALSE), "")</f>
        <v>PN-16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18240</v>
      </c>
      <c r="H209" s="11">
        <v>4</v>
      </c>
      <c r="I209" s="11" t="s">
        <v>3825</v>
      </c>
      <c r="J209" s="11" t="s">
        <v>3843</v>
      </c>
      <c r="K209" s="15"/>
      <c r="L209" s="11"/>
      <c r="M209" s="47">
        <f>IFERROR(VLOOKUP(C209,REKAP[[#All],[ID]:[Stok Akhir]],15,FALSE),"")</f>
        <v>0</v>
      </c>
    </row>
    <row r="210" spans="1:13" ht="16.5" thickTop="1" thickBot="1" x14ac:dyDescent="0.3">
      <c r="A210" s="27">
        <f t="shared" si="3"/>
        <v>204</v>
      </c>
      <c r="B210" s="7">
        <v>45369</v>
      </c>
      <c r="C210" s="8" t="s">
        <v>1009</v>
      </c>
      <c r="D210" s="16" t="str">
        <f>IFERROR(VLOOKUP(C210,REKAP[[#All],[ID]:[Stok Akhir]],2,FALSE), "")</f>
        <v>Ejector Pin</v>
      </c>
      <c r="E210" s="16" t="str">
        <f>IFERROR(VLOOKUP(C210,REKAP[[#All],[ID]:[Stok Akhir]],4,FALSE), "")</f>
        <v>EPC-1-100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6463</v>
      </c>
      <c r="H210" s="11">
        <v>6</v>
      </c>
      <c r="I210" s="11" t="s">
        <v>3825</v>
      </c>
      <c r="J210" s="11" t="s">
        <v>3844</v>
      </c>
      <c r="K210" s="15"/>
      <c r="L210" s="11"/>
      <c r="M210" s="47">
        <f>IFERROR(VLOOKUP(C210,REKAP[[#All],[ID]:[Stok Akhir]],15,FALSE),"")</f>
        <v>0</v>
      </c>
    </row>
    <row r="211" spans="1:13" ht="16.5" thickTop="1" thickBot="1" x14ac:dyDescent="0.3">
      <c r="A211" s="27">
        <f t="shared" si="3"/>
        <v>205</v>
      </c>
      <c r="B211" s="7">
        <v>45369</v>
      </c>
      <c r="C211" s="8" t="s">
        <v>995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DPTM-10-25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11564</v>
      </c>
      <c r="H211" s="11">
        <v>16</v>
      </c>
      <c r="I211" s="11" t="s">
        <v>3825</v>
      </c>
      <c r="J211" s="11" t="s">
        <v>3845</v>
      </c>
      <c r="K211" s="15"/>
      <c r="L211" s="11"/>
      <c r="M211" s="47">
        <f>IFERROR(VLOOKUP(C211,REKAP[[#All],[ID]:[Stok Akhir]],15,FALSE),"")</f>
        <v>0</v>
      </c>
    </row>
    <row r="212" spans="1:13" ht="16.5" thickTop="1" thickBot="1" x14ac:dyDescent="0.3">
      <c r="A212" s="27">
        <f t="shared" si="3"/>
        <v>206</v>
      </c>
      <c r="B212" s="7">
        <v>45369</v>
      </c>
      <c r="C212" s="8" t="s">
        <v>985</v>
      </c>
      <c r="D212" s="16" t="str">
        <f>IFERROR(VLOOKUP(C212,REKAP[[#All],[ID]:[Stok Akhir]],2,FALSE), "")</f>
        <v>Dowel Pin</v>
      </c>
      <c r="E212" s="16" t="str">
        <f>IFERROR(VLOOKUP(C212,REKAP[[#All],[ID]:[Stok Akhir]],4,FALSE), "")</f>
        <v>DPTM-8-20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8622</v>
      </c>
      <c r="H212" s="11">
        <v>8</v>
      </c>
      <c r="I212" s="11" t="s">
        <v>3846</v>
      </c>
      <c r="J212" s="11" t="s">
        <v>3845</v>
      </c>
      <c r="K212" s="15"/>
      <c r="L212" s="11"/>
      <c r="M212" s="47">
        <f>IFERROR(VLOOKUP(C212,REKAP[[#All],[ID]:[Stok Akhir]],15,FALSE),"")</f>
        <v>0</v>
      </c>
    </row>
    <row r="213" spans="1:13" ht="16.5" thickTop="1" thickBot="1" x14ac:dyDescent="0.3">
      <c r="A213" s="27">
        <f t="shared" si="3"/>
        <v>207</v>
      </c>
      <c r="B213" s="7">
        <v>45369</v>
      </c>
      <c r="C213" s="8" t="s">
        <v>950</v>
      </c>
      <c r="D213" s="16" t="str">
        <f>IFERROR(VLOOKUP(C213,REKAP[[#All],[ID]:[Stok Akhir]],2,FALSE), "")</f>
        <v>Dowel Pin</v>
      </c>
      <c r="E213" s="16" t="str">
        <f>IFERROR(VLOOKUP(C213,REKAP[[#All],[ID]:[Stok Akhir]],4,FALSE), "")</f>
        <v>DPND-4-25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2421</v>
      </c>
      <c r="H213" s="11">
        <v>8</v>
      </c>
      <c r="I213" s="11" t="s">
        <v>3825</v>
      </c>
      <c r="J213" s="11" t="s">
        <v>3845</v>
      </c>
      <c r="K213" s="15"/>
      <c r="L213" s="11"/>
      <c r="M213" s="47">
        <f>IFERROR(VLOOKUP(C213,REKAP[[#All],[ID]:[Stok Akhir]],15,FALSE),"")</f>
        <v>0</v>
      </c>
    </row>
    <row r="214" spans="1:13" ht="16.5" thickTop="1" thickBot="1" x14ac:dyDescent="0.3">
      <c r="A214" s="27">
        <f t="shared" si="3"/>
        <v>208</v>
      </c>
      <c r="B214" s="7">
        <v>45369</v>
      </c>
      <c r="C214" s="8" t="s">
        <v>945</v>
      </c>
      <c r="D214" s="16" t="str">
        <f>IFERROR(VLOOKUP(C214,REKAP[[#All],[ID]:[Stok Akhir]],2,FALSE), "")</f>
        <v>Dowel Pin</v>
      </c>
      <c r="E214" s="16" t="str">
        <f>IFERROR(VLOOKUP(C214,REKAP[[#All],[ID]:[Stok Akhir]],4,FALSE), "")</f>
        <v>DPND-3-10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2421</v>
      </c>
      <c r="H214" s="11">
        <v>8</v>
      </c>
      <c r="I214" s="11" t="s">
        <v>3846</v>
      </c>
      <c r="J214" s="11" t="s">
        <v>3845</v>
      </c>
      <c r="K214" s="15"/>
      <c r="L214" s="11"/>
      <c r="M214" s="47">
        <f>IFERROR(VLOOKUP(C214,REKAP[[#All],[ID]:[Stok Akhir]],15,FALSE),"")</f>
        <v>0</v>
      </c>
    </row>
    <row r="215" spans="1:13" ht="16.5" thickTop="1" thickBot="1" x14ac:dyDescent="0.3">
      <c r="A215" s="27">
        <f t="shared" si="3"/>
        <v>209</v>
      </c>
      <c r="B215" s="7">
        <v>45369</v>
      </c>
      <c r="C215" s="8" t="s">
        <v>947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DPND-4-10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2421</v>
      </c>
      <c r="H215" s="11">
        <v>29</v>
      </c>
      <c r="I215" s="11" t="s">
        <v>3825</v>
      </c>
      <c r="J215" s="11" t="s">
        <v>3845</v>
      </c>
      <c r="K215" s="15"/>
      <c r="L215" s="11"/>
      <c r="M215" s="47">
        <f>IFERROR(VLOOKUP(C215,REKAP[[#All],[ID]:[Stok Akhir]],15,FALSE),"")</f>
        <v>0</v>
      </c>
    </row>
    <row r="216" spans="1:13" ht="16.5" thickTop="1" thickBot="1" x14ac:dyDescent="0.3">
      <c r="A216" s="27">
        <f t="shared" si="3"/>
        <v>210</v>
      </c>
      <c r="B216" s="7">
        <v>45369</v>
      </c>
      <c r="C216" s="8" t="s">
        <v>947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DPND-4-10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2421</v>
      </c>
      <c r="H216" s="11">
        <v>7</v>
      </c>
      <c r="I216" s="11" t="s">
        <v>3846</v>
      </c>
      <c r="J216" s="11" t="s">
        <v>3845</v>
      </c>
      <c r="K216" s="15"/>
      <c r="L216" s="11"/>
      <c r="M216" s="47">
        <f>IFERROR(VLOOKUP(C216,REKAP[[#All],[ID]:[Stok Akhir]],15,FALSE),"")</f>
        <v>0</v>
      </c>
    </row>
    <row r="217" spans="1:13" ht="16.5" thickTop="1" thickBot="1" x14ac:dyDescent="0.3">
      <c r="A217" s="27">
        <f t="shared" si="3"/>
        <v>211</v>
      </c>
      <c r="B217" s="7">
        <v>45369</v>
      </c>
      <c r="C217" s="8" t="s">
        <v>288</v>
      </c>
      <c r="D217" s="16" t="str">
        <f>IFERROR(VLOOKUP(C217,REKAP[[#All],[ID]:[Stok Akhir]],2,FALSE), "")</f>
        <v>Baut LPK</v>
      </c>
      <c r="E217" s="16" t="str">
        <f>IFERROR(VLOOKUP(C217,REKAP[[#All],[ID]:[Stok Akhir]],4,FALSE), "")</f>
        <v>M 6 X 25</v>
      </c>
      <c r="F217" s="16" t="str">
        <f>IFERROR(VLOOKUP(C217,REKAP[[#All],[ID]:[Stok Akhir]],6,FALSE),"")</f>
        <v>Mur &amp; Baut</v>
      </c>
      <c r="G217" s="15">
        <f>IFERROR(VLOOKUP(C217,REKAP[[#All],[ID]:[Stok Akhir]],8,FALSE),"")</f>
        <v>750</v>
      </c>
      <c r="H217" s="11">
        <v>4</v>
      </c>
      <c r="I217" s="11" t="s">
        <v>3825</v>
      </c>
      <c r="J217" s="11" t="s">
        <v>3836</v>
      </c>
      <c r="K217" s="15"/>
      <c r="L217" s="11"/>
      <c r="M217" s="47">
        <f>IFERROR(VLOOKUP(C217,REKAP[[#All],[ID]:[Stok Akhir]],15,FALSE),"")</f>
        <v>24</v>
      </c>
    </row>
    <row r="218" spans="1:13" ht="16.5" thickTop="1" thickBot="1" x14ac:dyDescent="0.3">
      <c r="A218" s="27">
        <f t="shared" si="3"/>
        <v>212</v>
      </c>
      <c r="B218" s="7">
        <v>45369</v>
      </c>
      <c r="C218" s="8" t="s">
        <v>286</v>
      </c>
      <c r="D218" s="16" t="str">
        <f>IFERROR(VLOOKUP(C218,REKAP[[#All],[ID]:[Stok Akhir]],2,FALSE), "")</f>
        <v>Baut LPK</v>
      </c>
      <c r="E218" s="16" t="str">
        <f>IFERROR(VLOOKUP(C218,REKAP[[#All],[ID]:[Stok Akhir]],4,FALSE), "")</f>
        <v>M 6 X 15/16</v>
      </c>
      <c r="F218" s="16" t="str">
        <f>IFERROR(VLOOKUP(C218,REKAP[[#All],[ID]:[Stok Akhir]],6,FALSE),"")</f>
        <v>Mur &amp; Baut</v>
      </c>
      <c r="G218" s="15">
        <f>IFERROR(VLOOKUP(C218,REKAP[[#All],[ID]:[Stok Akhir]],8,FALSE),"")</f>
        <v>600</v>
      </c>
      <c r="H218" s="11">
        <v>1</v>
      </c>
      <c r="I218" s="11" t="s">
        <v>3825</v>
      </c>
      <c r="J218" s="11" t="s">
        <v>3836</v>
      </c>
      <c r="K218" s="15"/>
      <c r="L218" s="11"/>
      <c r="M218" s="47">
        <f>IFERROR(VLOOKUP(C218,REKAP[[#All],[ID]:[Stok Akhir]],15,FALSE),"")</f>
        <v>61</v>
      </c>
    </row>
    <row r="219" spans="1:13" ht="16.5" thickTop="1" thickBot="1" x14ac:dyDescent="0.3">
      <c r="A219" s="27">
        <f t="shared" si="3"/>
        <v>213</v>
      </c>
      <c r="B219" s="7">
        <v>45369</v>
      </c>
      <c r="C219" s="8" t="s">
        <v>265</v>
      </c>
      <c r="D219" s="16" t="str">
        <f>IFERROR(VLOOKUP(C219,REKAP[[#All],[ID]:[Stok Akhir]],2,FALSE), "")</f>
        <v>Baut LPK</v>
      </c>
      <c r="E219" s="16" t="str">
        <f>IFERROR(VLOOKUP(C219,REKAP[[#All],[ID]:[Stok Akhir]],4,FALSE), "")</f>
        <v>M 5 X 10</v>
      </c>
      <c r="F219" s="16" t="str">
        <f>IFERROR(VLOOKUP(C219,REKAP[[#All],[ID]:[Stok Akhir]],6,FALSE),"")</f>
        <v>Mur &amp; Baut</v>
      </c>
      <c r="G219" s="15">
        <f>IFERROR(VLOOKUP(C219,REKAP[[#All],[ID]:[Stok Akhir]],8,FALSE),"")</f>
        <v>450</v>
      </c>
      <c r="H219" s="11">
        <v>4</v>
      </c>
      <c r="I219" s="11" t="s">
        <v>3825</v>
      </c>
      <c r="J219" s="11" t="s">
        <v>3877</v>
      </c>
      <c r="K219" s="15"/>
      <c r="L219" s="11"/>
      <c r="M219" s="47">
        <f>IFERROR(VLOOKUP(C219,REKAP[[#All],[ID]:[Stok Akhir]],15,FALSE),"")</f>
        <v>22</v>
      </c>
    </row>
    <row r="220" spans="1:13" ht="16.5" thickTop="1" thickBot="1" x14ac:dyDescent="0.3">
      <c r="A220" s="27">
        <f t="shared" si="3"/>
        <v>214</v>
      </c>
      <c r="B220" s="7">
        <v>45369</v>
      </c>
      <c r="C220" s="8" t="s">
        <v>953</v>
      </c>
      <c r="D220" s="16" t="str">
        <f>IFERROR(VLOOKUP(C220,REKAP[[#All],[ID]:[Stok Akhir]],2,FALSE), "")</f>
        <v>Dowel Pin</v>
      </c>
      <c r="E220" s="16" t="str">
        <f>IFERROR(VLOOKUP(C220,REKAP[[#All],[ID]:[Stok Akhir]],4,FALSE), "")</f>
        <v>DPND-5-15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2618</v>
      </c>
      <c r="H220" s="11">
        <v>2</v>
      </c>
      <c r="I220" s="11" t="s">
        <v>3825</v>
      </c>
      <c r="J220" s="11" t="s">
        <v>3845</v>
      </c>
      <c r="K220" s="15"/>
      <c r="L220" s="11"/>
      <c r="M220" s="47">
        <f>IFERROR(VLOOKUP(C220,REKAP[[#All],[ID]:[Stok Akhir]],15,FALSE),"")</f>
        <v>19</v>
      </c>
    </row>
    <row r="221" spans="1:13" ht="16.5" thickTop="1" thickBot="1" x14ac:dyDescent="0.3">
      <c r="A221" s="27">
        <f t="shared" si="3"/>
        <v>215</v>
      </c>
      <c r="B221" s="7">
        <v>45369</v>
      </c>
      <c r="C221" s="8" t="s">
        <v>954</v>
      </c>
      <c r="D221" s="16" t="str">
        <f>IFERROR(VLOOKUP(C221,REKAP[[#All],[ID]:[Stok Akhir]],2,FALSE), "")</f>
        <v>Dowel Pin</v>
      </c>
      <c r="E221" s="16" t="str">
        <f>IFERROR(VLOOKUP(C221,REKAP[[#All],[ID]:[Stok Akhir]],4,FALSE), "")</f>
        <v>DPND-5-20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2836</v>
      </c>
      <c r="H221" s="11">
        <v>2</v>
      </c>
      <c r="I221" s="11" t="s">
        <v>3825</v>
      </c>
      <c r="J221" s="11" t="s">
        <v>3845</v>
      </c>
      <c r="K221" s="15"/>
      <c r="L221" s="11"/>
      <c r="M221" s="47">
        <f>IFERROR(VLOOKUP(C221,REKAP[[#All],[ID]:[Stok Akhir]],15,FALSE),"")</f>
        <v>5</v>
      </c>
    </row>
    <row r="222" spans="1:13" ht="16.5" thickTop="1" thickBot="1" x14ac:dyDescent="0.3">
      <c r="A222" s="27">
        <f t="shared" si="3"/>
        <v>216</v>
      </c>
      <c r="B222" s="7">
        <v>45369</v>
      </c>
      <c r="C222" s="8" t="s">
        <v>955</v>
      </c>
      <c r="D222" s="16" t="str">
        <f>IFERROR(VLOOKUP(C222,REKAP[[#All],[ID]:[Stok Akhir]],2,FALSE), "")</f>
        <v>Dowel Pin</v>
      </c>
      <c r="E222" s="16" t="str">
        <f>IFERROR(VLOOKUP(C222,REKAP[[#All],[ID]:[Stok Akhir]],4,FALSE), "")</f>
        <v>DPND-5-25</v>
      </c>
      <c r="F222" s="16" t="str">
        <f>IFERROR(VLOOKUP(C222,REKAP[[#All],[ID]:[Stok Akhir]],6,FALSE),"")</f>
        <v>Accessories Mold</v>
      </c>
      <c r="G222" s="15">
        <f>IFERROR(VLOOKUP(C222,REKAP[[#All],[ID]:[Stok Akhir]],8,FALSE),"")</f>
        <v>10000</v>
      </c>
      <c r="H222" s="11">
        <v>2</v>
      </c>
      <c r="I222" s="11" t="s">
        <v>3825</v>
      </c>
      <c r="J222" s="11" t="s">
        <v>3845</v>
      </c>
      <c r="K222" s="15"/>
      <c r="L222" s="11"/>
      <c r="M222" s="47">
        <f>IFERROR(VLOOKUP(C222,REKAP[[#All],[ID]:[Stok Akhir]],15,FALSE),"")</f>
        <v>5</v>
      </c>
    </row>
    <row r="223" spans="1:13" ht="16.5" thickTop="1" thickBot="1" x14ac:dyDescent="0.3">
      <c r="A223" s="27">
        <f t="shared" si="3"/>
        <v>217</v>
      </c>
      <c r="B223" s="7">
        <v>45370</v>
      </c>
      <c r="C223" s="8" t="s">
        <v>2887</v>
      </c>
      <c r="D223" s="16" t="str">
        <f>IFERROR(VLOOKUP(C223,REKAP[[#All],[ID]:[Stok Akhir]],2,FALSE), "")</f>
        <v>End Mill STS</v>
      </c>
      <c r="E223" s="16" t="str">
        <f>IFERROR(VLOOKUP(C223,REKAP[[#All],[ID]:[Stok Akhir]],4,FALSE), "")</f>
        <v>Ø6 OT-4RHFR-6 R0.5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570000</v>
      </c>
      <c r="H223" s="11">
        <v>1</v>
      </c>
      <c r="I223" s="11" t="s">
        <v>3680</v>
      </c>
      <c r="J223" s="11" t="s">
        <v>3679</v>
      </c>
      <c r="K223" s="15"/>
      <c r="L223" s="11"/>
      <c r="M223" s="47">
        <f>IFERROR(VLOOKUP(C223,REKAP[[#All],[ID]:[Stok Akhir]],15,FALSE),"")</f>
        <v>0</v>
      </c>
    </row>
    <row r="224" spans="1:13" ht="16.5" thickTop="1" thickBot="1" x14ac:dyDescent="0.3">
      <c r="A224" s="27">
        <f t="shared" si="3"/>
        <v>218</v>
      </c>
      <c r="B224" s="7">
        <v>45370</v>
      </c>
      <c r="C224" s="8" t="s">
        <v>2671</v>
      </c>
      <c r="D224" s="16" t="str">
        <f>IFERROR(VLOOKUP(C224,REKAP[[#All],[ID]:[Stok Akhir]],2,FALSE), "")</f>
        <v>Center Drill Yamawa</v>
      </c>
      <c r="E224" s="16" t="str">
        <f>IFERROR(VLOOKUP(C224,REKAP[[#All],[ID]:[Stok Akhir]],4,FALSE), "")</f>
        <v>2.5 x 60° x 7.7</v>
      </c>
      <c r="F224" s="16" t="str">
        <f>IFERROR(VLOOKUP(C224,REKAP[[#All],[ID]:[Stok Akhir]],6,FALSE),"")</f>
        <v>Tools</v>
      </c>
      <c r="G224" s="15">
        <f>IFERROR(VLOOKUP(C224,REKAP[[#All],[ID]:[Stok Akhir]],8,FALSE),"")</f>
        <v>138000</v>
      </c>
      <c r="H224" s="11">
        <v>1</v>
      </c>
      <c r="I224" s="11" t="s">
        <v>3674</v>
      </c>
      <c r="J224" s="11" t="s">
        <v>3681</v>
      </c>
      <c r="K224" s="15"/>
      <c r="L224" s="11" t="s">
        <v>3676</v>
      </c>
      <c r="M224" s="47">
        <f>IFERROR(VLOOKUP(C224,REKAP[[#All],[ID]:[Stok Akhir]],15,FALSE),"")</f>
        <v>3</v>
      </c>
    </row>
    <row r="225" spans="1:13" ht="16.5" thickTop="1" thickBot="1" x14ac:dyDescent="0.3">
      <c r="A225" s="27">
        <f t="shared" si="3"/>
        <v>219</v>
      </c>
      <c r="B225" s="7">
        <v>45370</v>
      </c>
      <c r="C225" s="8" t="s">
        <v>2619</v>
      </c>
      <c r="D225" s="16" t="str">
        <f>IFERROR(VLOOKUP(C225,REKAP[[#All],[ID]:[Stok Akhir]],2,FALSE), "")</f>
        <v>BNC Moldino (R3x30)</v>
      </c>
      <c r="E225" s="16" t="str">
        <f>IFERROR(VLOOKUP(C225,REKAP[[#All],[ID]:[Stok Akhir]],4,FALSE), "")</f>
        <v xml:space="preserve">Ø6 EPDBE2060-30-ATH </v>
      </c>
      <c r="F225" s="16" t="str">
        <f>IFERROR(VLOOKUP(C225,REKAP[[#All],[ID]:[Stok Akhir]],6,FALSE),"")</f>
        <v>Tools</v>
      </c>
      <c r="G225" s="15">
        <f>IFERROR(VLOOKUP(C225,REKAP[[#All],[ID]:[Stok Akhir]],8,FALSE),"")</f>
        <v>574000</v>
      </c>
      <c r="H225" s="11">
        <v>1</v>
      </c>
      <c r="I225" s="11" t="s">
        <v>3682</v>
      </c>
      <c r="J225" s="11" t="s">
        <v>3683</v>
      </c>
      <c r="K225" s="15"/>
      <c r="L225" s="11"/>
      <c r="M225" s="47">
        <f>IFERROR(VLOOKUP(C225,REKAP[[#All],[ID]:[Stok Akhir]],15,FALSE),"")</f>
        <v>16</v>
      </c>
    </row>
    <row r="226" spans="1:13" ht="16.5" thickTop="1" thickBot="1" x14ac:dyDescent="0.3">
      <c r="A226" s="27">
        <f t="shared" si="3"/>
        <v>220</v>
      </c>
      <c r="B226" s="7">
        <v>45370</v>
      </c>
      <c r="C226" s="8" t="s">
        <v>2831</v>
      </c>
      <c r="D226" s="16" t="str">
        <f>IFERROR(VLOOKUP(C226,REKAP[[#All],[ID]:[Stok Akhir]],2,FALSE), "")</f>
        <v xml:space="preserve">End Mill Moldino </v>
      </c>
      <c r="E226" s="16" t="str">
        <f>IFERROR(VLOOKUP(C226,REKAP[[#All],[ID]:[Stok Akhir]],4,FALSE), "")</f>
        <v>ETRP4030-30-0908-TH</v>
      </c>
      <c r="F226" s="16" t="str">
        <f>IFERROR(VLOOKUP(C226,REKAP[[#All],[ID]:[Stok Akhir]],6,FALSE),"")</f>
        <v>Tools</v>
      </c>
      <c r="G226" s="15">
        <f>IFERROR(VLOOKUP(C226,REKAP[[#All],[ID]:[Stok Akhir]],8,FALSE),"")</f>
        <v>1348000</v>
      </c>
      <c r="H226" s="11">
        <v>1</v>
      </c>
      <c r="I226" s="11" t="s">
        <v>3680</v>
      </c>
      <c r="J226" s="11"/>
      <c r="K226" s="15">
        <f>IFERROR(MASUK8[[#This Row],[Harga Satuan]]*MASUK8[[#This Row],[Jumlah Keluar]], "")</f>
        <v>1348000</v>
      </c>
      <c r="L226" s="11"/>
      <c r="M226" s="47">
        <f>IFERROR(VLOOKUP(C226,REKAP[[#All],[ID]:[Stok Akhir]],15,FALSE),"")</f>
        <v>2</v>
      </c>
    </row>
    <row r="227" spans="1:13" ht="16.5" thickTop="1" thickBot="1" x14ac:dyDescent="0.3">
      <c r="A227" s="27">
        <f t="shared" si="3"/>
        <v>221</v>
      </c>
      <c r="B227" s="7">
        <v>45370</v>
      </c>
      <c r="C227" s="8" t="s">
        <v>2861</v>
      </c>
      <c r="D227" s="16" t="str">
        <f>IFERROR(VLOOKUP(C227,REKAP[[#All],[ID]:[Stok Akhir]],2,FALSE), "")</f>
        <v>End Mill STS</v>
      </c>
      <c r="E227" s="16" t="str">
        <f>IFERROR(VLOOKUP(C227,REKAP[[#All],[ID]:[Stok Akhir]],4,FALSE), "")</f>
        <v>Ø1 OT-4HELN-1x6</v>
      </c>
      <c r="F227" s="16" t="str">
        <f>IFERROR(VLOOKUP(C227,REKAP[[#All],[ID]:[Stok Akhir]],6,FALSE),"")</f>
        <v>Tools</v>
      </c>
      <c r="G227" s="15">
        <f>IFERROR(VLOOKUP(C227,REKAP[[#All],[ID]:[Stok Akhir]],8,FALSE),"")</f>
        <v>175200</v>
      </c>
      <c r="H227" s="11">
        <v>1</v>
      </c>
      <c r="I227" s="11" t="s">
        <v>3680</v>
      </c>
      <c r="J227" s="11"/>
      <c r="K227" s="15">
        <f>IFERROR(MASUK8[[#This Row],[Harga Satuan]]*MASUK8[[#This Row],[Jumlah Keluar]], "")</f>
        <v>175200</v>
      </c>
      <c r="L227" s="11"/>
      <c r="M227" s="47">
        <f>IFERROR(VLOOKUP(C227,REKAP[[#All],[ID]:[Stok Akhir]],15,FALSE),"")</f>
        <v>3</v>
      </c>
    </row>
    <row r="228" spans="1:13" ht="16.5" thickTop="1" thickBot="1" x14ac:dyDescent="0.3">
      <c r="A228" s="27">
        <f t="shared" si="3"/>
        <v>222</v>
      </c>
      <c r="B228" s="7">
        <v>45370</v>
      </c>
      <c r="C228" s="8" t="s">
        <v>2810</v>
      </c>
      <c r="D228" s="16" t="str">
        <f>IFERROR(VLOOKUP(C228,REKAP[[#All],[ID]:[Stok Akhir]],2,FALSE), "")</f>
        <v xml:space="preserve">End Mill Moldino </v>
      </c>
      <c r="E228" s="16" t="str">
        <f>IFERROR(VLOOKUP(C228,REKAP[[#All],[ID]:[Stok Akhir]],4,FALSE), "")</f>
        <v>ETM4100-20-TH</v>
      </c>
      <c r="F228" s="16" t="str">
        <f>IFERROR(VLOOKUP(C228,REKAP[[#All],[ID]:[Stok Akhir]],6,FALSE),"")</f>
        <v>Tools</v>
      </c>
      <c r="G228" s="15">
        <f>IFERROR(VLOOKUP(C228,REKAP[[#All],[ID]:[Stok Akhir]],8,FALSE),"")</f>
        <v>1471000</v>
      </c>
      <c r="H228" s="11">
        <v>1</v>
      </c>
      <c r="I228" s="11" t="s">
        <v>3680</v>
      </c>
      <c r="J228" s="11"/>
      <c r="K228" s="15">
        <f>IFERROR(MASUK8[[#This Row],[Harga Satuan]]*MASUK8[[#This Row],[Jumlah Keluar]], "")</f>
        <v>1471000</v>
      </c>
      <c r="L228" s="11"/>
      <c r="M228" s="47">
        <f>IFERROR(VLOOKUP(C228,REKAP[[#All],[ID]:[Stok Akhir]],15,FALSE),"")</f>
        <v>1</v>
      </c>
    </row>
    <row r="229" spans="1:13" ht="16.5" thickTop="1" thickBot="1" x14ac:dyDescent="0.3">
      <c r="A229" s="27">
        <f t="shared" si="3"/>
        <v>223</v>
      </c>
      <c r="B229" s="7">
        <v>45370</v>
      </c>
      <c r="C229" s="8" t="s">
        <v>911</v>
      </c>
      <c r="D229" s="16" t="str">
        <f>IFERROR(VLOOKUP(C229,REKAP[[#All],[ID]:[Stok Akhir]],2,FALSE), "")</f>
        <v>Ball Bearing NTN</v>
      </c>
      <c r="E229" s="16" t="str">
        <f>IFERROR(VLOOKUP(C229,REKAP[[#All],[ID]:[Stok Akhir]],4,FALSE), "")</f>
        <v>4T-32004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60000</v>
      </c>
      <c r="H229" s="11">
        <v>3</v>
      </c>
      <c r="I229" s="11" t="s">
        <v>3825</v>
      </c>
      <c r="J229" s="11" t="s">
        <v>3845</v>
      </c>
      <c r="K229" s="15">
        <f>IFERROR(MASUK8[[#This Row],[Harga Satuan]]*MASUK8[[#This Row],[Jumlah Keluar]], "")</f>
        <v>180000</v>
      </c>
      <c r="L229" s="11"/>
      <c r="M229" s="47">
        <f>IFERROR(VLOOKUP(C229,REKAP[[#All],[ID]:[Stok Akhir]],15,FALSE),"")</f>
        <v>0</v>
      </c>
    </row>
    <row r="230" spans="1:13" ht="16.5" thickTop="1" thickBot="1" x14ac:dyDescent="0.3">
      <c r="A230" s="27">
        <f t="shared" si="3"/>
        <v>224</v>
      </c>
      <c r="B230" s="7">
        <v>45370</v>
      </c>
      <c r="C230" s="8" t="s">
        <v>912</v>
      </c>
      <c r="D230" s="16" t="str">
        <f>IFERROR(VLOOKUP(C230,REKAP[[#All],[ID]:[Stok Akhir]],2,FALSE), "")</f>
        <v>Ball Bearing NTN</v>
      </c>
      <c r="E230" s="16" t="str">
        <f>IFERROR(VLOOKUP(C230,REKAP[[#All],[ID]:[Stok Akhir]],4,FALSE), "")</f>
        <v>4T-32204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55000</v>
      </c>
      <c r="H230" s="11">
        <v>3</v>
      </c>
      <c r="I230" s="11" t="s">
        <v>3825</v>
      </c>
      <c r="J230" s="11" t="s">
        <v>3845</v>
      </c>
      <c r="K230" s="15">
        <f>IFERROR(MASUK8[[#This Row],[Harga Satuan]]*MASUK8[[#This Row],[Jumlah Keluar]], "")</f>
        <v>165000</v>
      </c>
      <c r="L230" s="11"/>
      <c r="M230" s="47">
        <f>IFERROR(VLOOKUP(C230,REKAP[[#All],[ID]:[Stok Akhir]],15,FALSE),"")</f>
        <v>0</v>
      </c>
    </row>
    <row r="231" spans="1:13" ht="16.5" thickTop="1" thickBot="1" x14ac:dyDescent="0.3">
      <c r="A231" s="27">
        <f t="shared" si="3"/>
        <v>225</v>
      </c>
      <c r="B231" s="7">
        <v>45370</v>
      </c>
      <c r="C231" s="8" t="s">
        <v>910</v>
      </c>
      <c r="D231" s="16" t="str">
        <f>IFERROR(VLOOKUP(C231,REKAP[[#All],[ID]:[Stok Akhir]],2,FALSE), "")</f>
        <v>Ball Bearing NTN</v>
      </c>
      <c r="E231" s="16" t="str">
        <f>IFERROR(VLOOKUP(C231,REKAP[[#All],[ID]:[Stok Akhir]],4,FALSE), "")</f>
        <v>4T-32203R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41000</v>
      </c>
      <c r="H231" s="11">
        <v>6</v>
      </c>
      <c r="I231" s="11" t="s">
        <v>3825</v>
      </c>
      <c r="J231" s="11" t="s">
        <v>3845</v>
      </c>
      <c r="K231" s="15">
        <f>IFERROR(MASUK8[[#This Row],[Harga Satuan]]*MASUK8[[#This Row],[Jumlah Keluar]], "")</f>
        <v>246000</v>
      </c>
      <c r="L231" s="11"/>
      <c r="M231" s="47">
        <f>IFERROR(VLOOKUP(C231,REKAP[[#All],[ID]:[Stok Akhir]],15,FALSE),"")</f>
        <v>0</v>
      </c>
    </row>
    <row r="232" spans="1:13" ht="16.5" thickTop="1" thickBot="1" x14ac:dyDescent="0.3">
      <c r="A232" s="27">
        <f t="shared" si="3"/>
        <v>226</v>
      </c>
      <c r="B232" s="7">
        <v>45370</v>
      </c>
      <c r="C232" s="8" t="s">
        <v>913</v>
      </c>
      <c r="D232" s="16" t="str">
        <f>IFERROR(VLOOKUP(C232,REKAP[[#All],[ID]:[Stok Akhir]],2,FALSE), "")</f>
        <v>Ball Bearing NTN</v>
      </c>
      <c r="E232" s="16" t="str">
        <f>IFERROR(VLOOKUP(C232,REKAP[[#All],[ID]:[Stok Akhir]],4,FALSE), "")</f>
        <v>6202- ZZ C3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21000</v>
      </c>
      <c r="H232" s="11">
        <v>16</v>
      </c>
      <c r="I232" s="11" t="s">
        <v>3825</v>
      </c>
      <c r="J232" s="11" t="s">
        <v>3845</v>
      </c>
      <c r="K232" s="15">
        <f>IFERROR(MASUK8[[#This Row],[Harga Satuan]]*MASUK8[[#This Row],[Jumlah Keluar]], "")</f>
        <v>336000</v>
      </c>
      <c r="L232" s="11"/>
      <c r="M232" s="47">
        <f>IFERROR(VLOOKUP(C232,REKAP[[#All],[ID]:[Stok Akhir]],15,FALSE),"")</f>
        <v>0</v>
      </c>
    </row>
    <row r="233" spans="1:13" ht="16.5" thickTop="1" thickBot="1" x14ac:dyDescent="0.3">
      <c r="A233" s="27">
        <f t="shared" si="3"/>
        <v>227</v>
      </c>
      <c r="B233" s="7">
        <v>45370</v>
      </c>
      <c r="C233" s="8" t="s">
        <v>917</v>
      </c>
      <c r="D233" s="16" t="str">
        <f>IFERROR(VLOOKUP(C233,REKAP[[#All],[ID]:[Stok Akhir]],2,FALSE), "")</f>
        <v>Ball Bearing Transfer</v>
      </c>
      <c r="E233" s="16" t="str">
        <f>IFERROR(VLOOKUP(C233,REKAP[[#All],[ID]:[Stok Akhir]],4,FALSE), "")</f>
        <v>1 INCH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40000</v>
      </c>
      <c r="H233" s="11">
        <v>21</v>
      </c>
      <c r="I233" s="11" t="s">
        <v>3825</v>
      </c>
      <c r="J233" s="11" t="s">
        <v>3845</v>
      </c>
      <c r="K233" s="15">
        <f>IFERROR(MASUK8[[#This Row],[Harga Satuan]]*MASUK8[[#This Row],[Jumlah Keluar]], "")</f>
        <v>840000</v>
      </c>
      <c r="L233" s="11"/>
      <c r="M233" s="47">
        <f>IFERROR(VLOOKUP(C233,REKAP[[#All],[ID]:[Stok Akhir]],15,FALSE),"")</f>
        <v>0</v>
      </c>
    </row>
    <row r="234" spans="1:13" ht="16.5" thickTop="1" thickBot="1" x14ac:dyDescent="0.3">
      <c r="A234" s="27">
        <f t="shared" si="3"/>
        <v>228</v>
      </c>
      <c r="B234" s="7">
        <v>45370</v>
      </c>
      <c r="C234" s="8" t="s">
        <v>1302</v>
      </c>
      <c r="D234" s="16" t="str">
        <f>IFERROR(VLOOKUP(C234,REKAP[[#All],[ID]:[Stok Akhir]],2,FALSE), "")</f>
        <v>Quick Fitting</v>
      </c>
      <c r="E234" s="16" t="str">
        <f>IFERROR(VLOOKUP(C234,REKAP[[#All],[ID]:[Stok Akhir]],4,FALSE), "")</f>
        <v>QFT 02-10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25000</v>
      </c>
      <c r="H234" s="11">
        <v>12</v>
      </c>
      <c r="I234" s="11" t="s">
        <v>3825</v>
      </c>
      <c r="J234" s="11" t="s">
        <v>3878</v>
      </c>
      <c r="K234" s="15">
        <f>IFERROR(MASUK8[[#This Row],[Harga Satuan]]*MASUK8[[#This Row],[Jumlah Keluar]], "")</f>
        <v>300000</v>
      </c>
      <c r="L234" s="11"/>
      <c r="M234" s="47">
        <f>IFERROR(VLOOKUP(C234,REKAP[[#All],[ID]:[Stok Akhir]],15,FALSE),"")</f>
        <v>0</v>
      </c>
    </row>
    <row r="235" spans="1:13" ht="16.5" thickTop="1" thickBot="1" x14ac:dyDescent="0.3">
      <c r="A235" s="27">
        <f t="shared" si="3"/>
        <v>229</v>
      </c>
      <c r="B235" s="7">
        <v>45370</v>
      </c>
      <c r="C235" s="8" t="s">
        <v>1197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BLE-24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170000</v>
      </c>
      <c r="H235" s="11">
        <v>2</v>
      </c>
      <c r="I235" s="11" t="s">
        <v>3825</v>
      </c>
      <c r="J235" s="11" t="s">
        <v>3878</v>
      </c>
      <c r="K235" s="15">
        <f>IFERROR(MASUK8[[#This Row],[Harga Satuan]]*MASUK8[[#This Row],[Jumlah Keluar]], "")</f>
        <v>340000</v>
      </c>
      <c r="L235" s="11"/>
      <c r="M235" s="47">
        <f>IFERROR(VLOOKUP(C235,REKAP[[#All],[ID]:[Stok Akhir]],15,FALSE),"")</f>
        <v>0</v>
      </c>
    </row>
    <row r="236" spans="1:13" ht="16.5" thickTop="1" thickBot="1" x14ac:dyDescent="0.3">
      <c r="A236" s="27">
        <f t="shared" si="3"/>
        <v>230</v>
      </c>
      <c r="B236" s="7">
        <v>45370</v>
      </c>
      <c r="C236" s="8" t="s">
        <v>1140</v>
      </c>
      <c r="D236" s="16" t="str">
        <f>IFERROR(VLOOKUP(C236,REKAP[[#All],[ID]:[Stok Akhir]],2,FALSE), "")</f>
        <v>Ejector Pin</v>
      </c>
      <c r="E236" s="16" t="str">
        <f>IFERROR(VLOOKUP(C236,REKAP[[#All],[ID]:[Stok Akhir]],4,FALSE), "")</f>
        <v>EPD-6-100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21500</v>
      </c>
      <c r="H236" s="11">
        <v>8</v>
      </c>
      <c r="I236" s="11" t="s">
        <v>3825</v>
      </c>
      <c r="J236" s="11" t="s">
        <v>3878</v>
      </c>
      <c r="K236" s="15">
        <f>IFERROR(MASUK8[[#This Row],[Harga Satuan]]*MASUK8[[#This Row],[Jumlah Keluar]], "")</f>
        <v>172000</v>
      </c>
      <c r="L236" s="11"/>
      <c r="M236" s="47">
        <f>IFERROR(VLOOKUP(C236,REKAP[[#All],[ID]:[Stok Akhir]],15,FALSE),"")</f>
        <v>0</v>
      </c>
    </row>
    <row r="237" spans="1:13" ht="16.5" thickTop="1" thickBot="1" x14ac:dyDescent="0.3">
      <c r="A237" s="27">
        <f t="shared" si="3"/>
        <v>231</v>
      </c>
      <c r="B237" s="7">
        <v>45370</v>
      </c>
      <c r="C237" s="8" t="s">
        <v>1326</v>
      </c>
      <c r="D237" s="16" t="str">
        <f>IFERROR(VLOOKUP(C237,REKAP[[#All],[ID]:[Stok Akhir]],2,FALSE), "")</f>
        <v>Spring</v>
      </c>
      <c r="E237" s="16" t="str">
        <f>IFERROR(VLOOKUP(C237,REKAP[[#All],[ID]:[Stok Akhir]],4,FALSE), "")</f>
        <v>CSF 14-35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27000</v>
      </c>
      <c r="H237" s="11">
        <v>2</v>
      </c>
      <c r="I237" s="11" t="s">
        <v>3825</v>
      </c>
      <c r="J237" s="11" t="s">
        <v>3878</v>
      </c>
      <c r="K237" s="15">
        <f>IFERROR(MASUK8[[#This Row],[Harga Satuan]]*MASUK8[[#This Row],[Jumlah Keluar]], "")</f>
        <v>54000</v>
      </c>
      <c r="L237" s="11"/>
      <c r="M237" s="47">
        <f>IFERROR(VLOOKUP(C237,REKAP[[#All],[ID]:[Stok Akhir]],15,FALSE),"")</f>
        <v>0</v>
      </c>
    </row>
    <row r="238" spans="1:13" ht="16.5" thickTop="1" thickBot="1" x14ac:dyDescent="0.3">
      <c r="A238" s="27">
        <f t="shared" si="3"/>
        <v>232</v>
      </c>
      <c r="B238" s="7">
        <v>45370</v>
      </c>
      <c r="C238" s="8" t="s">
        <v>1361</v>
      </c>
      <c r="D238" s="16" t="str">
        <f>IFERROR(VLOOKUP(C238,REKAP[[#All],[ID]:[Stok Akhir]],2,FALSE), "")</f>
        <v>Spring</v>
      </c>
      <c r="E238" s="16" t="str">
        <f>IFERROR(VLOOKUP(C238,REKAP[[#All],[ID]:[Stok Akhir]],4,FALSE), "")</f>
        <v>CWR 31-40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43000</v>
      </c>
      <c r="H238" s="11">
        <v>4</v>
      </c>
      <c r="I238" s="11" t="s">
        <v>3825</v>
      </c>
      <c r="J238" s="11" t="s">
        <v>3878</v>
      </c>
      <c r="K238" s="15">
        <f>IFERROR(MASUK8[[#This Row],[Harga Satuan]]*MASUK8[[#This Row],[Jumlah Keluar]], "")</f>
        <v>172000</v>
      </c>
      <c r="L238" s="11"/>
      <c r="M238" s="47">
        <f>IFERROR(VLOOKUP(C238,REKAP[[#All],[ID]:[Stok Akhir]],15,FALSE),"")</f>
        <v>0</v>
      </c>
    </row>
    <row r="239" spans="1:13" ht="16.5" thickTop="1" thickBot="1" x14ac:dyDescent="0.3">
      <c r="A239" s="27">
        <f t="shared" si="3"/>
        <v>233</v>
      </c>
      <c r="B239" s="7">
        <v>45370</v>
      </c>
      <c r="C239" s="8" t="s">
        <v>1347</v>
      </c>
      <c r="D239" s="16" t="str">
        <f>IFERROR(VLOOKUP(C239,REKAP[[#All],[ID]:[Stok Akhir]],2,FALSE), "")</f>
        <v>Spring</v>
      </c>
      <c r="E239" s="16" t="str">
        <f>IFERROR(VLOOKUP(C239,REKAP[[#All],[ID]:[Stok Akhir]],4,FALSE), "")</f>
        <v>CSF 50-100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117000</v>
      </c>
      <c r="H239" s="11">
        <v>4</v>
      </c>
      <c r="I239" s="11" t="s">
        <v>3825</v>
      </c>
      <c r="J239" s="11" t="s">
        <v>3878</v>
      </c>
      <c r="K239" s="15">
        <f>IFERROR(MASUK8[[#This Row],[Harga Satuan]]*MASUK8[[#This Row],[Jumlah Keluar]], "")</f>
        <v>468000</v>
      </c>
      <c r="L239" s="11"/>
      <c r="M239" s="47">
        <f>IFERROR(VLOOKUP(C239,REKAP[[#All],[ID]:[Stok Akhir]],15,FALSE),"")</f>
        <v>0</v>
      </c>
    </row>
    <row r="240" spans="1:13" ht="16.5" thickTop="1" thickBot="1" x14ac:dyDescent="0.3">
      <c r="A240" s="27">
        <f t="shared" si="3"/>
        <v>234</v>
      </c>
      <c r="B240" s="7">
        <v>45370</v>
      </c>
      <c r="C240" s="8" t="s">
        <v>1195</v>
      </c>
      <c r="D240" s="16" t="str">
        <f>IFERROR(VLOOKUP(C240,REKAP[[#All],[ID]:[Stok Akhir]],2,FALSE), "")</f>
        <v>Eye Bolt</v>
      </c>
      <c r="E240" s="16" t="str">
        <f>IFERROR(VLOOKUP(C240,REKAP[[#All],[ID]:[Stok Akhir]],4,FALSE), "")</f>
        <v>BLE-16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43000</v>
      </c>
      <c r="H240" s="11">
        <v>2</v>
      </c>
      <c r="I240" s="11" t="s">
        <v>3825</v>
      </c>
      <c r="J240" s="11" t="s">
        <v>3845</v>
      </c>
      <c r="K240" s="15">
        <f>IFERROR(MASUK8[[#This Row],[Harga Satuan]]*MASUK8[[#This Row],[Jumlah Keluar]], "")</f>
        <v>86000</v>
      </c>
      <c r="L240" s="11"/>
      <c r="M240" s="47">
        <f>IFERROR(VLOOKUP(C240,REKAP[[#All],[ID]:[Stok Akhir]],15,FALSE),"")</f>
        <v>0</v>
      </c>
    </row>
    <row r="241" spans="1:13" ht="16.5" thickTop="1" thickBot="1" x14ac:dyDescent="0.3">
      <c r="A241" s="27">
        <f t="shared" si="3"/>
        <v>235</v>
      </c>
      <c r="B241" s="7">
        <v>45370</v>
      </c>
      <c r="C241" s="8" t="s">
        <v>1333</v>
      </c>
      <c r="D241" s="16" t="str">
        <f>IFERROR(VLOOKUP(C241,REKAP[[#All],[ID]:[Stok Akhir]],2,FALSE), "")</f>
        <v>Spring</v>
      </c>
      <c r="E241" s="16" t="str">
        <f>IFERROR(VLOOKUP(C241,REKAP[[#All],[ID]:[Stok Akhir]],4,FALSE), "")</f>
        <v>CSF 20-125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53000</v>
      </c>
      <c r="H241" s="11">
        <v>3</v>
      </c>
      <c r="I241" s="11" t="s">
        <v>3825</v>
      </c>
      <c r="J241" s="11" t="s">
        <v>3845</v>
      </c>
      <c r="K241" s="15">
        <f>IFERROR(MASUK8[[#This Row],[Harga Satuan]]*MASUK8[[#This Row],[Jumlah Keluar]], "")</f>
        <v>159000</v>
      </c>
      <c r="L241" s="11"/>
      <c r="M241" s="47">
        <f>IFERROR(VLOOKUP(C241,REKAP[[#All],[ID]:[Stok Akhir]],15,FALSE),"")</f>
        <v>0</v>
      </c>
    </row>
    <row r="242" spans="1:13" ht="16.5" thickTop="1" thickBot="1" x14ac:dyDescent="0.3">
      <c r="A242" s="27">
        <f t="shared" si="3"/>
        <v>236</v>
      </c>
      <c r="B242" s="7">
        <v>45370</v>
      </c>
      <c r="C242" s="8" t="s">
        <v>989</v>
      </c>
      <c r="D242" s="16" t="str">
        <f>IFERROR(VLOOKUP(C242,REKAP[[#All],[ID]:[Stok Akhir]],2,FALSE), "")</f>
        <v>Dowel Pin</v>
      </c>
      <c r="E242" s="16" t="str">
        <f>IFERROR(VLOOKUP(C242,REKAP[[#All],[ID]:[Stok Akhir]],4,FALSE), "")</f>
        <v>DPTM-8-40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9383</v>
      </c>
      <c r="H242" s="11">
        <v>16</v>
      </c>
      <c r="I242" s="11" t="s">
        <v>3825</v>
      </c>
      <c r="J242" s="11" t="s">
        <v>3845</v>
      </c>
      <c r="K242" s="15">
        <f>IFERROR(MASUK8[[#This Row],[Harga Satuan]]*MASUK8[[#This Row],[Jumlah Keluar]], "")</f>
        <v>150128</v>
      </c>
      <c r="L242" s="11"/>
      <c r="M242" s="47">
        <f>IFERROR(VLOOKUP(C242,REKAP[[#All],[ID]:[Stok Akhir]],15,FALSE),"")</f>
        <v>7</v>
      </c>
    </row>
    <row r="243" spans="1:13" ht="16.5" thickTop="1" thickBot="1" x14ac:dyDescent="0.3">
      <c r="A243" s="27">
        <f t="shared" si="3"/>
        <v>237</v>
      </c>
      <c r="B243" s="7">
        <v>45370</v>
      </c>
      <c r="C243" s="8" t="s">
        <v>979</v>
      </c>
      <c r="D243" s="16" t="str">
        <f>IFERROR(VLOOKUP(C243,REKAP[[#All],[ID]:[Stok Akhir]],2,FALSE), "")</f>
        <v>Dowel Pin</v>
      </c>
      <c r="E243" s="16" t="str">
        <f>IFERROR(VLOOKUP(C243,REKAP[[#All],[ID]:[Stok Akhir]],4,FALSE), "")</f>
        <v>DPTM-6-20</v>
      </c>
      <c r="F243" s="16" t="str">
        <f>IFERROR(VLOOKUP(C243,REKAP[[#All],[ID]:[Stok Akhir]],6,FALSE),"")</f>
        <v>Accessories Mold</v>
      </c>
      <c r="G243" s="15">
        <f>IFERROR(VLOOKUP(C243,REKAP[[#All],[ID]:[Stok Akhir]],8,FALSE),"")</f>
        <v>9000</v>
      </c>
      <c r="H243" s="11">
        <v>24</v>
      </c>
      <c r="I243" s="11" t="s">
        <v>3825</v>
      </c>
      <c r="J243" s="11" t="s">
        <v>3845</v>
      </c>
      <c r="K243" s="15">
        <f>IFERROR(MASUK8[[#This Row],[Harga Satuan]]*MASUK8[[#This Row],[Jumlah Keluar]], "")</f>
        <v>216000</v>
      </c>
      <c r="L243" s="11"/>
      <c r="M243" s="47">
        <f>IFERROR(VLOOKUP(C243,REKAP[[#All],[ID]:[Stok Akhir]],15,FALSE),"")</f>
        <v>1</v>
      </c>
    </row>
    <row r="244" spans="1:13" ht="16.5" thickTop="1" thickBot="1" x14ac:dyDescent="0.3">
      <c r="A244" s="27">
        <f t="shared" si="3"/>
        <v>238</v>
      </c>
      <c r="B244" s="7">
        <v>45370</v>
      </c>
      <c r="C244" s="8" t="s">
        <v>956</v>
      </c>
      <c r="D244" s="16" t="str">
        <f>IFERROR(VLOOKUP(C244,REKAP[[#All],[ID]:[Stok Akhir]],2,FALSE), "")</f>
        <v>Dowel Pin</v>
      </c>
      <c r="E244" s="16" t="str">
        <f>IFERROR(VLOOKUP(C244,REKAP[[#All],[ID]:[Stok Akhir]],4,FALSE), "")</f>
        <v>DPND-6-10</v>
      </c>
      <c r="F244" s="16" t="str">
        <f>IFERROR(VLOOKUP(C244,REKAP[[#All],[ID]:[Stok Akhir]],6,FALSE),"")</f>
        <v>Accessories Mold</v>
      </c>
      <c r="G244" s="15">
        <f>IFERROR(VLOOKUP(C244,REKAP[[#All],[ID]:[Stok Akhir]],8,FALSE),"")</f>
        <v>2943</v>
      </c>
      <c r="H244" s="11">
        <v>8</v>
      </c>
      <c r="I244" s="11" t="s">
        <v>3825</v>
      </c>
      <c r="J244" s="11" t="s">
        <v>3845</v>
      </c>
      <c r="K244" s="15">
        <f>IFERROR(MASUK8[[#This Row],[Harga Satuan]]*MASUK8[[#This Row],[Jumlah Keluar]], "")</f>
        <v>23544</v>
      </c>
      <c r="L244" s="11"/>
      <c r="M244" s="47">
        <f>IFERROR(VLOOKUP(C244,REKAP[[#All],[ID]:[Stok Akhir]],15,FALSE),"")</f>
        <v>0</v>
      </c>
    </row>
    <row r="245" spans="1:13" ht="16.5" thickTop="1" thickBot="1" x14ac:dyDescent="0.3">
      <c r="A245" s="27">
        <f t="shared" si="3"/>
        <v>239</v>
      </c>
      <c r="B245" s="7">
        <v>45370</v>
      </c>
      <c r="C245" s="8" t="s">
        <v>1292</v>
      </c>
      <c r="D245" s="16" t="str">
        <f>IFERROR(VLOOKUP(C245,REKAP[[#All],[ID]:[Stok Akhir]],2,FALSE), "")</f>
        <v>Paralel Keys</v>
      </c>
      <c r="E245" s="16" t="str">
        <f>IFERROR(VLOOKUP(C245,REKAP[[#All],[ID]:[Stok Akhir]],4,FALSE), "")</f>
        <v>KES-5-20</v>
      </c>
      <c r="F245" s="16" t="str">
        <f>IFERROR(VLOOKUP(C245,REKAP[[#All],[ID]:[Stok Akhir]],6,FALSE),"")</f>
        <v>Accessories Mold</v>
      </c>
      <c r="G245" s="15">
        <f>IFERROR(VLOOKUP(C245,REKAP[[#All],[ID]:[Stok Akhir]],8,FALSE),"")</f>
        <v>53400</v>
      </c>
      <c r="H245" s="11">
        <v>3</v>
      </c>
      <c r="I245" s="11" t="s">
        <v>3825</v>
      </c>
      <c r="J245" s="11" t="s">
        <v>3845</v>
      </c>
      <c r="K245" s="15">
        <f>IFERROR(MASUK8[[#This Row],[Harga Satuan]]*MASUK8[[#This Row],[Jumlah Keluar]], "")</f>
        <v>160200</v>
      </c>
      <c r="L245" s="11"/>
      <c r="M245" s="47">
        <f>IFERROR(VLOOKUP(C245,REKAP[[#All],[ID]:[Stok Akhir]],15,FALSE),"")</f>
        <v>0</v>
      </c>
    </row>
    <row r="246" spans="1:13" ht="16.5" thickTop="1" thickBot="1" x14ac:dyDescent="0.3">
      <c r="A246" s="27">
        <f t="shared" si="3"/>
        <v>240</v>
      </c>
      <c r="B246" s="7">
        <v>45370</v>
      </c>
      <c r="C246" s="8" t="s">
        <v>1293</v>
      </c>
      <c r="D246" s="16" t="str">
        <f>IFERROR(VLOOKUP(C246,REKAP[[#All],[ID]:[Stok Akhir]],2,FALSE), "")</f>
        <v>Paralel Keys</v>
      </c>
      <c r="E246" s="16" t="str">
        <f>IFERROR(VLOOKUP(C246,REKAP[[#All],[ID]:[Stok Akhir]],4,FALSE), "")</f>
        <v>KEG-5-20</v>
      </c>
      <c r="F246" s="16" t="str">
        <f>IFERROR(VLOOKUP(C246,REKAP[[#All],[ID]:[Stok Akhir]],6,FALSE),"")</f>
        <v>Accessories Mold</v>
      </c>
      <c r="G246" s="15">
        <f>IFERROR(VLOOKUP(C246,REKAP[[#All],[ID]:[Stok Akhir]],8,FALSE),"")</f>
        <v>71200</v>
      </c>
      <c r="H246" s="11">
        <v>3</v>
      </c>
      <c r="I246" s="11" t="s">
        <v>3825</v>
      </c>
      <c r="J246" s="11" t="s">
        <v>3845</v>
      </c>
      <c r="K246" s="15">
        <f>IFERROR(MASUK8[[#This Row],[Harga Satuan]]*MASUK8[[#This Row],[Jumlah Keluar]], "")</f>
        <v>213600</v>
      </c>
      <c r="L246" s="11"/>
      <c r="M246" s="47">
        <f>IFERROR(VLOOKUP(C246,REKAP[[#All],[ID]:[Stok Akhir]],15,FALSE),"")</f>
        <v>0</v>
      </c>
    </row>
    <row r="247" spans="1:13" ht="16.5" thickTop="1" thickBot="1" x14ac:dyDescent="0.3">
      <c r="A247" s="27">
        <f t="shared" si="3"/>
        <v>241</v>
      </c>
      <c r="B247" s="7">
        <v>45370</v>
      </c>
      <c r="C247" s="8" t="s">
        <v>1200</v>
      </c>
      <c r="D247" s="16" t="str">
        <f>IFERROR(VLOOKUP(C247,REKAP[[#All],[ID]:[Stok Akhir]],2,FALSE), "")</f>
        <v>Grease Niple</v>
      </c>
      <c r="E247" s="16" t="str">
        <f>IFERROR(VLOOKUP(C247,REKAP[[#All],[ID]:[Stok Akhir]],4,FALSE), "")</f>
        <v>GPA-6</v>
      </c>
      <c r="F247" s="16" t="str">
        <f>IFERROR(VLOOKUP(C247,REKAP[[#All],[ID]:[Stok Akhir]],6,FALSE),"")</f>
        <v>Accessories Mold</v>
      </c>
      <c r="G247" s="15">
        <f>IFERROR(VLOOKUP(C247,REKAP[[#All],[ID]:[Stok Akhir]],8,FALSE),"")</f>
        <v>15900</v>
      </c>
      <c r="H247" s="11">
        <v>19</v>
      </c>
      <c r="I247" s="11" t="s">
        <v>3825</v>
      </c>
      <c r="J247" s="11" t="s">
        <v>3845</v>
      </c>
      <c r="K247" s="15">
        <f>IFERROR(MASUK8[[#This Row],[Harga Satuan]]*MASUK8[[#This Row],[Jumlah Keluar]], "")</f>
        <v>302100</v>
      </c>
      <c r="L247" s="11"/>
      <c r="M247" s="47">
        <f>IFERROR(VLOOKUP(C247,REKAP[[#All],[ID]:[Stok Akhir]],15,FALSE),"")</f>
        <v>0</v>
      </c>
    </row>
    <row r="248" spans="1:13" ht="16.5" thickTop="1" thickBot="1" x14ac:dyDescent="0.3">
      <c r="A248" s="27">
        <f t="shared" si="3"/>
        <v>242</v>
      </c>
      <c r="B248" s="7">
        <v>45370</v>
      </c>
      <c r="C248" s="8" t="s">
        <v>286</v>
      </c>
      <c r="D248" s="16" t="str">
        <f>IFERROR(VLOOKUP(C248,REKAP[[#All],[ID]:[Stok Akhir]],2,FALSE), "")</f>
        <v>Baut LPK</v>
      </c>
      <c r="E248" s="16" t="str">
        <f>IFERROR(VLOOKUP(C248,REKAP[[#All],[ID]:[Stok Akhir]],4,FALSE), "")</f>
        <v>M 6 X 15/16</v>
      </c>
      <c r="F248" s="16" t="str">
        <f>IFERROR(VLOOKUP(C248,REKAP[[#All],[ID]:[Stok Akhir]],6,FALSE),"")</f>
        <v>Mur &amp; Baut</v>
      </c>
      <c r="G248" s="15">
        <f>IFERROR(VLOOKUP(C248,REKAP[[#All],[ID]:[Stok Akhir]],8,FALSE),"")</f>
        <v>600</v>
      </c>
      <c r="H248" s="11">
        <v>96</v>
      </c>
      <c r="I248" s="11" t="s">
        <v>3825</v>
      </c>
      <c r="J248" s="11" t="s">
        <v>3827</v>
      </c>
      <c r="K248" s="15">
        <f>IFERROR(MASUK8[[#This Row],[Harga Satuan]]*MASUK8[[#This Row],[Jumlah Keluar]], "")</f>
        <v>57600</v>
      </c>
      <c r="L248" s="11"/>
      <c r="M248" s="47">
        <f>IFERROR(VLOOKUP(C248,REKAP[[#All],[ID]:[Stok Akhir]],15,FALSE),"")</f>
        <v>61</v>
      </c>
    </row>
    <row r="249" spans="1:13" ht="16.5" thickTop="1" thickBot="1" x14ac:dyDescent="0.3">
      <c r="A249" s="27">
        <f t="shared" si="3"/>
        <v>243</v>
      </c>
      <c r="B249" s="7">
        <v>45370</v>
      </c>
      <c r="C249" s="8" t="s">
        <v>339</v>
      </c>
      <c r="D249" s="16" t="str">
        <f>IFERROR(VLOOKUP(C249,REKAP[[#All],[ID]:[Stok Akhir]],2,FALSE), "")</f>
        <v>Baut LPK</v>
      </c>
      <c r="E249" s="16" t="str">
        <f>IFERROR(VLOOKUP(C249,REKAP[[#All],[ID]:[Stok Akhir]],4,FALSE), "")</f>
        <v>M 10 X 65</v>
      </c>
      <c r="F249" s="16" t="str">
        <f>IFERROR(VLOOKUP(C249,REKAP[[#All],[ID]:[Stok Akhir]],6,FALSE),"")</f>
        <v>Mur &amp; Baut</v>
      </c>
      <c r="G249" s="15">
        <f>IFERROR(VLOOKUP(C249,REKAP[[#All],[ID]:[Stok Akhir]],8,FALSE),"")</f>
        <v>3600</v>
      </c>
      <c r="H249" s="11">
        <v>2</v>
      </c>
      <c r="I249" s="11" t="s">
        <v>3825</v>
      </c>
      <c r="J249" s="11" t="s">
        <v>3827</v>
      </c>
      <c r="K249" s="15">
        <f>IFERROR(MASUK8[[#This Row],[Harga Satuan]]*MASUK8[[#This Row],[Jumlah Keluar]], "")</f>
        <v>7200</v>
      </c>
      <c r="L249" s="11"/>
      <c r="M249" s="47">
        <f>IFERROR(VLOOKUP(C249,REKAP[[#All],[ID]:[Stok Akhir]],15,FALSE),"")</f>
        <v>1</v>
      </c>
    </row>
    <row r="250" spans="1:13" ht="16.5" thickTop="1" thickBot="1" x14ac:dyDescent="0.3">
      <c r="A250" s="27">
        <f t="shared" si="3"/>
        <v>244</v>
      </c>
      <c r="B250" s="7">
        <v>45370</v>
      </c>
      <c r="C250" s="8" t="s">
        <v>515</v>
      </c>
      <c r="D250" s="16" t="str">
        <f>IFERROR(VLOOKUP(C250,REKAP[[#All],[ID]:[Stok Akhir]],2,FALSE), "")</f>
        <v>Baut Tanam</v>
      </c>
      <c r="E250" s="16" t="str">
        <f>IFERROR(VLOOKUP(C250,REKAP[[#All],[ID]:[Stok Akhir]],4,FALSE), "")</f>
        <v xml:space="preserve">M 6 X 15 </v>
      </c>
      <c r="F250" s="16" t="str">
        <f>IFERROR(VLOOKUP(C250,REKAP[[#All],[ID]:[Stok Akhir]],6,FALSE),"")</f>
        <v>Mur &amp; Baut</v>
      </c>
      <c r="G250" s="15">
        <f>IFERROR(VLOOKUP(C250,REKAP[[#All],[ID]:[Stok Akhir]],8,FALSE),"")</f>
        <v>600</v>
      </c>
      <c r="H250" s="11">
        <v>40</v>
      </c>
      <c r="I250" s="11" t="s">
        <v>3846</v>
      </c>
      <c r="J250" s="11" t="s">
        <v>3839</v>
      </c>
      <c r="K250" s="15">
        <f>IFERROR(MASUK8[[#This Row],[Harga Satuan]]*MASUK8[[#This Row],[Jumlah Keluar]], "")</f>
        <v>24000</v>
      </c>
      <c r="L250" s="11"/>
      <c r="M250" s="47">
        <f>IFERROR(VLOOKUP(C250,REKAP[[#All],[ID]:[Stok Akhir]],15,FALSE),"")</f>
        <v>22</v>
      </c>
    </row>
    <row r="251" spans="1:13" ht="16.5" thickTop="1" thickBot="1" x14ac:dyDescent="0.3">
      <c r="A251" s="27">
        <f t="shared" si="3"/>
        <v>245</v>
      </c>
      <c r="B251" s="7">
        <v>45370</v>
      </c>
      <c r="C251" s="8" t="s">
        <v>788</v>
      </c>
      <c r="D251" s="16" t="str">
        <f>IFERROR(VLOOKUP(C251,REKAP[[#All],[ID]:[Stok Akhir]],2,FALSE), "")</f>
        <v>Sarung Tangan kain</v>
      </c>
      <c r="E251" s="16">
        <f>IFERROR(VLOOKUP(C251,REKAP[[#All],[ID]:[Stok Akhir]],4,FALSE), "")</f>
        <v>0</v>
      </c>
      <c r="F251" s="16" t="str">
        <f>IFERROR(VLOOKUP(C251,REKAP[[#All],[ID]:[Stok Akhir]],6,FALSE),"")</f>
        <v>Bahan Pembantu</v>
      </c>
      <c r="G251" s="15">
        <f>IFERROR(VLOOKUP(C251,REKAP[[#All],[ID]:[Stok Akhir]],8,FALSE),"")</f>
        <v>2000</v>
      </c>
      <c r="H251" s="11">
        <v>1</v>
      </c>
      <c r="I251" s="11" t="s">
        <v>3863</v>
      </c>
      <c r="J251" s="11" t="s">
        <v>3663</v>
      </c>
      <c r="K251" s="15">
        <f>IFERROR(MASUK8[[#This Row],[Harga Satuan]]*MASUK8[[#This Row],[Jumlah Keluar]], "")</f>
        <v>2000</v>
      </c>
      <c r="L251" s="11"/>
      <c r="M251" s="47">
        <f>IFERROR(VLOOKUP(C251,REKAP[[#All],[ID]:[Stok Akhir]],15,FALSE),"")</f>
        <v>0</v>
      </c>
    </row>
    <row r="252" spans="1:13" ht="16.5" thickTop="1" thickBot="1" x14ac:dyDescent="0.3">
      <c r="A252" s="27">
        <f t="shared" si="3"/>
        <v>246</v>
      </c>
      <c r="B252" s="7">
        <v>45370</v>
      </c>
      <c r="C252" s="8" t="s">
        <v>769</v>
      </c>
      <c r="D252" s="16" t="str">
        <f>IFERROR(VLOOKUP(C252,REKAP[[#All],[ID]:[Stok Akhir]],2,FALSE), "")</f>
        <v>Masker Safety (Polytron)</v>
      </c>
      <c r="E252" s="16">
        <f>IFERROR(VLOOKUP(C252,REKAP[[#All],[ID]:[Stok Akhir]],4,FALSE), "")</f>
        <v>0</v>
      </c>
      <c r="F252" s="16" t="str">
        <f>IFERROR(VLOOKUP(C252,REKAP[[#All],[ID]:[Stok Akhir]],6,FALSE),"")</f>
        <v>Bahan Pembantu</v>
      </c>
      <c r="G252" s="15">
        <f>IFERROR(VLOOKUP(C252,REKAP[[#All],[ID]:[Stok Akhir]],8,FALSE),"")</f>
        <v>1455</v>
      </c>
      <c r="H252" s="11">
        <v>1</v>
      </c>
      <c r="I252" s="11" t="s">
        <v>3864</v>
      </c>
      <c r="J252" s="11" t="s">
        <v>3663</v>
      </c>
      <c r="K252" s="15">
        <f>IFERROR(MASUK8[[#This Row],[Harga Satuan]]*MASUK8[[#This Row],[Jumlah Keluar]], "")</f>
        <v>1455</v>
      </c>
      <c r="L252" s="11"/>
      <c r="M252" s="47">
        <f>IFERROR(VLOOKUP(C252,REKAP[[#All],[ID]:[Stok Akhir]],15,FALSE),"")</f>
        <v>143</v>
      </c>
    </row>
    <row r="253" spans="1:13" ht="16.5" thickTop="1" thickBot="1" x14ac:dyDescent="0.3">
      <c r="A253" s="27">
        <f t="shared" si="3"/>
        <v>247</v>
      </c>
      <c r="B253" s="7">
        <v>45371</v>
      </c>
      <c r="C253" s="8" t="s">
        <v>2904</v>
      </c>
      <c r="D253" s="16" t="str">
        <f>IFERROR(VLOOKUP(C253,REKAP[[#All],[ID]:[Stok Akhir]],2,FALSE), "")</f>
        <v>End Mill STS</v>
      </c>
      <c r="E253" s="16" t="str">
        <f>IFERROR(VLOOKUP(C253,REKAP[[#All],[ID]:[Stok Akhir]],4,FALSE), "")</f>
        <v>Ø12 OT-4HFR-12</v>
      </c>
      <c r="F253" s="16" t="str">
        <f>IFERROR(VLOOKUP(C253,REKAP[[#All],[ID]:[Stok Akhir]],6,FALSE),"")</f>
        <v>Tools</v>
      </c>
      <c r="G253" s="15">
        <f>IFERROR(VLOOKUP(C253,REKAP[[#All],[ID]:[Stok Akhir]],8,FALSE),"")</f>
        <v>1008600</v>
      </c>
      <c r="H253" s="11">
        <v>1</v>
      </c>
      <c r="I253" s="11" t="s">
        <v>3680</v>
      </c>
      <c r="J253" s="11" t="s">
        <v>3684</v>
      </c>
      <c r="K253" s="15">
        <f>IFERROR(MASUK8[[#This Row],[Harga Satuan]]*MASUK8[[#This Row],[Jumlah Keluar]], "")</f>
        <v>1008600</v>
      </c>
      <c r="L253" s="11"/>
      <c r="M253" s="47">
        <f>IFERROR(VLOOKUP(C253,REKAP[[#All],[ID]:[Stok Akhir]],15,FALSE),"")</f>
        <v>4</v>
      </c>
    </row>
    <row r="254" spans="1:13" ht="16.5" thickTop="1" thickBot="1" x14ac:dyDescent="0.3">
      <c r="A254" s="27">
        <f t="shared" si="3"/>
        <v>248</v>
      </c>
      <c r="B254" s="7">
        <v>45371</v>
      </c>
      <c r="C254" s="8" t="s">
        <v>2868</v>
      </c>
      <c r="D254" s="16" t="str">
        <f>IFERROR(VLOOKUP(C254,REKAP[[#All],[ID]:[Stok Akhir]],2,FALSE), "")</f>
        <v>End Mill STS</v>
      </c>
      <c r="E254" s="16" t="str">
        <f>IFERROR(VLOOKUP(C254,REKAP[[#All],[ID]:[Stok Akhir]],4,FALSE), "")</f>
        <v>Ø2 OT-4HELN 2x12</v>
      </c>
      <c r="F254" s="16" t="str">
        <f>IFERROR(VLOOKUP(C254,REKAP[[#All],[ID]:[Stok Akhir]],6,FALSE),"")</f>
        <v>Tools</v>
      </c>
      <c r="G254" s="15">
        <f>IFERROR(VLOOKUP(C254,REKAP[[#All],[ID]:[Stok Akhir]],8,FALSE),"")</f>
        <v>175200</v>
      </c>
      <c r="H254" s="11">
        <v>1</v>
      </c>
      <c r="I254" s="11" t="s">
        <v>3680</v>
      </c>
      <c r="J254" s="11" t="s">
        <v>3684</v>
      </c>
      <c r="K254" s="15">
        <f>IFERROR(MASUK8[[#This Row],[Harga Satuan]]*MASUK8[[#This Row],[Jumlah Keluar]], "")</f>
        <v>175200</v>
      </c>
      <c r="L254" s="11"/>
      <c r="M254" s="47">
        <f>IFERROR(VLOOKUP(C254,REKAP[[#All],[ID]:[Stok Akhir]],15,FALSE),"")</f>
        <v>0</v>
      </c>
    </row>
    <row r="255" spans="1:13" ht="16.5" thickTop="1" thickBot="1" x14ac:dyDescent="0.3">
      <c r="A255" s="27">
        <f t="shared" si="3"/>
        <v>249</v>
      </c>
      <c r="B255" s="7">
        <v>45371</v>
      </c>
      <c r="C255" s="8" t="s">
        <v>3082</v>
      </c>
      <c r="D255" s="16" t="str">
        <f>IFERROR(VLOOKUP(C255,REKAP[[#All],[ID]:[Stok Akhir]],2,FALSE), "")</f>
        <v>Reamer YG1,SOMTA</v>
      </c>
      <c r="E255" s="16" t="str">
        <f>IFERROR(VLOOKUP(C255,REKAP[[#All],[ID]:[Stok Akhir]],4,FALSE), "")</f>
        <v>Ø3x3x15x61</v>
      </c>
      <c r="F255" s="16" t="str">
        <f>IFERROR(VLOOKUP(C255,REKAP[[#All],[ID]:[Stok Akhir]],6,FALSE),"")</f>
        <v>Tools</v>
      </c>
      <c r="G255" s="15">
        <f>IFERROR(VLOOKUP(C255,REKAP[[#All],[ID]:[Stok Akhir]],8,FALSE),"")</f>
        <v>205000</v>
      </c>
      <c r="H255" s="11">
        <v>1</v>
      </c>
      <c r="I255" s="11" t="s">
        <v>3680</v>
      </c>
      <c r="J255" s="11" t="s">
        <v>3684</v>
      </c>
      <c r="K255" s="15">
        <f>IFERROR(MASUK8[[#This Row],[Harga Satuan]]*MASUK8[[#This Row],[Jumlah Keluar]], "")</f>
        <v>205000</v>
      </c>
      <c r="L255" s="11"/>
      <c r="M255" s="47">
        <f>IFERROR(VLOOKUP(C255,REKAP[[#All],[ID]:[Stok Akhir]],15,FALSE),"")</f>
        <v>3</v>
      </c>
    </row>
    <row r="256" spans="1:13" ht="16.5" thickTop="1" thickBot="1" x14ac:dyDescent="0.3">
      <c r="A256" s="27">
        <f t="shared" si="3"/>
        <v>250</v>
      </c>
      <c r="B256" s="7">
        <v>45371</v>
      </c>
      <c r="C256" s="8" t="s">
        <v>3767</v>
      </c>
      <c r="D256" s="16" t="str">
        <f>IFERROR(VLOOKUP(C256,REKAP[[#All],[ID]:[Stok Akhir]],2,FALSE), "")</f>
        <v>LINEAR BUSHING</v>
      </c>
      <c r="E256" s="16" t="str">
        <f>IFERROR(VLOOKUP(C256,REKAP[[#All],[ID]:[Stok Akhir]],4,FALSE), "")</f>
        <v>ASB YL LM 30 UU-OP</v>
      </c>
      <c r="F256" s="16" t="str">
        <f>IFERROR(VLOOKUP(C256,REKAP[[#All],[ID]:[Stok Akhir]],6,FALSE),"")</f>
        <v>Accessories Mold</v>
      </c>
      <c r="G256" s="15">
        <f>IFERROR(VLOOKUP(C256,REKAP[[#All],[ID]:[Stok Akhir]],8,FALSE),"")</f>
        <v>0</v>
      </c>
      <c r="H256" s="11">
        <v>16</v>
      </c>
      <c r="I256" s="11" t="s">
        <v>3825</v>
      </c>
      <c r="J256" s="11" t="s">
        <v>3845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Akhir]],15,FALSE),"")</f>
        <v>0</v>
      </c>
    </row>
    <row r="257" spans="1:13" ht="16.5" thickTop="1" thickBot="1" x14ac:dyDescent="0.3">
      <c r="A257" s="27">
        <f t="shared" si="3"/>
        <v>251</v>
      </c>
      <c r="B257" s="7">
        <v>45371</v>
      </c>
      <c r="C257" s="8" t="s">
        <v>3770</v>
      </c>
      <c r="D257" s="16" t="str">
        <f>IFERROR(VLOOKUP(C257,REKAP[[#All],[ID]:[Stok Akhir]],2,FALSE), "")</f>
        <v>Lock Nut</v>
      </c>
      <c r="E257" s="16" t="str">
        <f>IFERROR(VLOOKUP(C257,REKAP[[#All],[ID]:[Stok Akhir]],4,FALSE), "")</f>
        <v>AN 01</v>
      </c>
      <c r="F257" s="16" t="str">
        <f>IFERROR(VLOOKUP(C257,REKAP[[#All],[ID]:[Stok Akhir]],6,FALSE),"")</f>
        <v>Mur &amp; Baut</v>
      </c>
      <c r="G257" s="15">
        <f>IFERROR(VLOOKUP(C257,REKAP[[#All],[ID]:[Stok Akhir]],8,FALSE),"")</f>
        <v>0</v>
      </c>
      <c r="H257" s="11">
        <v>8</v>
      </c>
      <c r="I257" s="11" t="s">
        <v>3846</v>
      </c>
      <c r="J257" s="11" t="s">
        <v>3845</v>
      </c>
      <c r="K257" s="15">
        <f>IFERROR(MASUK8[[#This Row],[Harga Satuan]]*MASUK8[[#This Row],[Jumlah Keluar]], "")</f>
        <v>0</v>
      </c>
      <c r="L257" s="11"/>
      <c r="M257" s="47">
        <f>IFERROR(VLOOKUP(C257,REKAP[[#All],[ID]:[Stok Akhir]],15,FALSE),"")</f>
        <v>0</v>
      </c>
    </row>
    <row r="258" spans="1:13" ht="16.5" thickTop="1" thickBot="1" x14ac:dyDescent="0.3">
      <c r="A258" s="27">
        <f t="shared" si="3"/>
        <v>252</v>
      </c>
      <c r="B258" s="7">
        <v>45371</v>
      </c>
      <c r="C258" s="8" t="s">
        <v>3776</v>
      </c>
      <c r="D258" s="16" t="str">
        <f>IFERROR(VLOOKUP(C258,REKAP[[#All],[ID]:[Stok Akhir]],2,FALSE), "")</f>
        <v>Lock Washer</v>
      </c>
      <c r="E258" s="16" t="str">
        <f>IFERROR(VLOOKUP(C258,REKAP[[#All],[ID]:[Stok Akhir]],4,FALSE), "")</f>
        <v>AW 01</v>
      </c>
      <c r="F258" s="16" t="str">
        <f>IFERROR(VLOOKUP(C258,REKAP[[#All],[ID]:[Stok Akhir]],6,FALSE),"")</f>
        <v>Mur &amp; Baut</v>
      </c>
      <c r="G258" s="15">
        <f>IFERROR(VLOOKUP(C258,REKAP[[#All],[ID]:[Stok Akhir]],8,FALSE),"")</f>
        <v>0</v>
      </c>
      <c r="H258" s="11">
        <v>8</v>
      </c>
      <c r="I258" s="11" t="s">
        <v>3825</v>
      </c>
      <c r="J258" s="11" t="s">
        <v>3845</v>
      </c>
      <c r="K258" s="15">
        <f>IFERROR(MASUK8[[#This Row],[Harga Satuan]]*MASUK8[[#This Row],[Jumlah Keluar]], "")</f>
        <v>0</v>
      </c>
      <c r="L258" s="11"/>
      <c r="M258" s="47">
        <f>IFERROR(VLOOKUP(C258,REKAP[[#All],[ID]:[Stok Akhir]],15,FALSE),"")</f>
        <v>0</v>
      </c>
    </row>
    <row r="259" spans="1:13" ht="16.5" thickTop="1" thickBot="1" x14ac:dyDescent="0.3">
      <c r="A259" s="27">
        <f t="shared" si="3"/>
        <v>253</v>
      </c>
      <c r="B259" s="7">
        <v>45371</v>
      </c>
      <c r="C259" s="8" t="s">
        <v>3775</v>
      </c>
      <c r="D259" s="16" t="str">
        <f>IFERROR(VLOOKUP(C259,REKAP[[#All],[ID]:[Stok Akhir]],2,FALSE), "")</f>
        <v>Lock Nut</v>
      </c>
      <c r="E259" s="16" t="str">
        <f>IFERROR(VLOOKUP(C259,REKAP[[#All],[ID]:[Stok Akhir]],4,FALSE), "")</f>
        <v>AN 04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0</v>
      </c>
      <c r="H259" s="11">
        <v>3</v>
      </c>
      <c r="I259" s="11" t="s">
        <v>3846</v>
      </c>
      <c r="J259" s="11" t="s">
        <v>3845</v>
      </c>
      <c r="K259" s="15">
        <f>IFERROR(MASUK8[[#This Row],[Harga Satuan]]*MASUK8[[#This Row],[Jumlah Keluar]], "")</f>
        <v>0</v>
      </c>
      <c r="L259" s="11"/>
      <c r="M259" s="47">
        <f>IFERROR(VLOOKUP(C259,REKAP[[#All],[ID]:[Stok Akhir]],15,FALSE),"")</f>
        <v>1</v>
      </c>
    </row>
    <row r="260" spans="1:13" ht="16.5" thickTop="1" thickBot="1" x14ac:dyDescent="0.3">
      <c r="A260" s="27">
        <f t="shared" si="3"/>
        <v>254</v>
      </c>
      <c r="B260" s="7">
        <v>45371</v>
      </c>
      <c r="C260" s="8" t="s">
        <v>3778</v>
      </c>
      <c r="D260" s="16" t="str">
        <f>IFERROR(VLOOKUP(C260,REKAP[[#All],[ID]:[Stok Akhir]],2,FALSE), "")</f>
        <v>Lock Washer</v>
      </c>
      <c r="E260" s="16" t="str">
        <f>IFERROR(VLOOKUP(C260,REKAP[[#All],[ID]:[Stok Akhir]],4,FALSE), "")</f>
        <v>AW 04</v>
      </c>
      <c r="F260" s="16" t="str">
        <f>IFERROR(VLOOKUP(C260,REKAP[[#All],[ID]:[Stok Akhir]],6,FALSE),"")</f>
        <v>Mur &amp; Baut</v>
      </c>
      <c r="G260" s="15">
        <f>IFERROR(VLOOKUP(C260,REKAP[[#All],[ID]:[Stok Akhir]],8,FALSE),"")</f>
        <v>0</v>
      </c>
      <c r="H260" s="11">
        <v>3</v>
      </c>
      <c r="I260" s="11" t="s">
        <v>3825</v>
      </c>
      <c r="J260" s="11" t="s">
        <v>3845</v>
      </c>
      <c r="K260" s="15">
        <f>IFERROR(MASUK8[[#This Row],[Harga Satuan]]*MASUK8[[#This Row],[Jumlah Keluar]], "")</f>
        <v>0</v>
      </c>
      <c r="L260" s="11"/>
      <c r="M260" s="47">
        <f>IFERROR(VLOOKUP(C260,REKAP[[#All],[ID]:[Stok Akhir]],15,FALSE),"")</f>
        <v>1</v>
      </c>
    </row>
    <row r="261" spans="1:13" ht="16.5" thickTop="1" thickBot="1" x14ac:dyDescent="0.3">
      <c r="A261" s="27">
        <f t="shared" si="3"/>
        <v>255</v>
      </c>
      <c r="B261" s="7">
        <v>45371</v>
      </c>
      <c r="C261" s="8" t="s">
        <v>3772</v>
      </c>
      <c r="D261" s="16" t="str">
        <f>IFERROR(VLOOKUP(C261,REKAP[[#All],[ID]:[Stok Akhir]],2,FALSE), "")</f>
        <v>Lock Nut</v>
      </c>
      <c r="E261" s="16" t="str">
        <f>IFERROR(VLOOKUP(C261,REKAP[[#All],[ID]:[Stok Akhir]],4,FALSE), "")</f>
        <v>AN 03</v>
      </c>
      <c r="F261" s="16" t="str">
        <f>IFERROR(VLOOKUP(C261,REKAP[[#All],[ID]:[Stok Akhir]],6,FALSE),"")</f>
        <v>Mur &amp; Baut</v>
      </c>
      <c r="G261" s="15">
        <f>IFERROR(VLOOKUP(C261,REKAP[[#All],[ID]:[Stok Akhir]],8,FALSE),"")</f>
        <v>0</v>
      </c>
      <c r="H261" s="11">
        <v>3</v>
      </c>
      <c r="I261" s="11" t="s">
        <v>3846</v>
      </c>
      <c r="J261" s="11" t="s">
        <v>3845</v>
      </c>
      <c r="K261" s="15">
        <f>IFERROR(MASUK8[[#This Row],[Harga Satuan]]*MASUK8[[#This Row],[Jumlah Keluar]], "")</f>
        <v>0</v>
      </c>
      <c r="L261" s="11"/>
      <c r="M261" s="47">
        <f>IFERROR(VLOOKUP(C261,REKAP[[#All],[ID]:[Stok Akhir]],15,FALSE),"")</f>
        <v>0</v>
      </c>
    </row>
    <row r="262" spans="1:13" ht="16.5" thickTop="1" thickBot="1" x14ac:dyDescent="0.3">
      <c r="A262" s="27">
        <f t="shared" si="3"/>
        <v>256</v>
      </c>
      <c r="B262" s="7">
        <v>45371</v>
      </c>
      <c r="C262" s="8" t="s">
        <v>786</v>
      </c>
      <c r="D262" s="16" t="str">
        <f>IFERROR(VLOOKUP(C262,REKAP[[#All],[ID]:[Stok Akhir]],2,FALSE), "")</f>
        <v>RESIN FOR WIRE CUT</v>
      </c>
      <c r="E262" s="16">
        <f>IFERROR(VLOOKUP(C262,REKAP[[#All],[ID]:[Stok Akhir]],4,FALSE), "")</f>
        <v>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75000</v>
      </c>
      <c r="H262" s="11">
        <v>1</v>
      </c>
      <c r="I262" s="11" t="s">
        <v>3716</v>
      </c>
      <c r="J262" s="11" t="s">
        <v>3879</v>
      </c>
      <c r="K262" s="15">
        <f>IFERROR(MASUK8[[#This Row],[Harga Satuan]]*MASUK8[[#This Row],[Jumlah Keluar]], "")</f>
        <v>75000</v>
      </c>
      <c r="L262" s="11"/>
      <c r="M262" s="47">
        <f>IFERROR(VLOOKUP(C262,REKAP[[#All],[ID]:[Stok Akhir]],15,FALSE),"")</f>
        <v>5</v>
      </c>
    </row>
    <row r="263" spans="1:13" ht="16.5" thickTop="1" thickBot="1" x14ac:dyDescent="0.3">
      <c r="A263" s="27">
        <f t="shared" ref="A263:A326" si="4">ROW()-ROW($A$6)</f>
        <v>257</v>
      </c>
      <c r="B263" s="7">
        <v>45371</v>
      </c>
      <c r="C263" s="8" t="s">
        <v>2616</v>
      </c>
      <c r="D263" s="16" t="str">
        <f>IFERROR(VLOOKUP(C263,REKAP[[#All],[ID]:[Stok Akhir]],2,FALSE), "")</f>
        <v>BNC Moldino (R2x35)</v>
      </c>
      <c r="E263" s="16" t="str">
        <f>IFERROR(VLOOKUP(C263,REKAP[[#All],[ID]:[Stok Akhir]],4,FALSE), "")</f>
        <v xml:space="preserve">Ø4 EPDBE2040-35-ATH </v>
      </c>
      <c r="F263" s="16" t="str">
        <f>IFERROR(VLOOKUP(C263,REKAP[[#All],[ID]:[Stok Akhir]],6,FALSE),"")</f>
        <v>Tools</v>
      </c>
      <c r="G263" s="15">
        <f>IFERROR(VLOOKUP(C263,REKAP[[#All],[ID]:[Stok Akhir]],8,FALSE),"")</f>
        <v>515000</v>
      </c>
      <c r="H263" s="11">
        <v>1</v>
      </c>
      <c r="I263" s="11" t="s">
        <v>3680</v>
      </c>
      <c r="J263" s="11" t="s">
        <v>3842</v>
      </c>
      <c r="K263" s="15">
        <f>IFERROR(MASUK8[[#This Row],[Harga Satuan]]*MASUK8[[#This Row],[Jumlah Keluar]], "")</f>
        <v>515000</v>
      </c>
      <c r="L263" s="11"/>
      <c r="M263" s="47">
        <f>IFERROR(VLOOKUP(C263,REKAP[[#All],[ID]:[Stok Akhir]],15,FALSE),"")</f>
        <v>36</v>
      </c>
    </row>
    <row r="264" spans="1:13" ht="16.5" thickTop="1" thickBot="1" x14ac:dyDescent="0.3">
      <c r="A264" s="27">
        <f t="shared" si="4"/>
        <v>258</v>
      </c>
      <c r="B264" s="7">
        <v>45371</v>
      </c>
      <c r="C264" s="8" t="s">
        <v>372</v>
      </c>
      <c r="D264" s="16" t="str">
        <f>IFERROR(VLOOKUP(C264,REKAP[[#All],[ID]:[Stok Akhir]],2,FALSE), "")</f>
        <v>Baut LPK</v>
      </c>
      <c r="E264" s="16" t="str">
        <f>IFERROR(VLOOKUP(C264,REKAP[[#All],[ID]:[Stok Akhir]],4,FALSE), "")</f>
        <v>M 12 X 120</v>
      </c>
      <c r="F264" s="16" t="str">
        <f>IFERROR(VLOOKUP(C264,REKAP[[#All],[ID]:[Stok Akhir]],6,FALSE),"")</f>
        <v>Mur &amp; Baut</v>
      </c>
      <c r="G264" s="15">
        <f>IFERROR(VLOOKUP(C264,REKAP[[#All],[ID]:[Stok Akhir]],8,FALSE),"")</f>
        <v>13500</v>
      </c>
      <c r="H264" s="11">
        <v>4</v>
      </c>
      <c r="I264" s="11" t="s">
        <v>3680</v>
      </c>
      <c r="J264" s="11" t="s">
        <v>3842</v>
      </c>
      <c r="K264" s="15">
        <f>IFERROR(MASUK8[[#This Row],[Harga Satuan]]*MASUK8[[#This Row],[Jumlah Keluar]], "")</f>
        <v>54000</v>
      </c>
      <c r="L264" s="11"/>
      <c r="M264" s="47">
        <f>IFERROR(VLOOKUP(C264,REKAP[[#All],[ID]:[Stok Akhir]],15,FALSE),"")</f>
        <v>3</v>
      </c>
    </row>
    <row r="265" spans="1:13" ht="16.5" thickTop="1" thickBot="1" x14ac:dyDescent="0.3">
      <c r="A265" s="27">
        <f t="shared" si="4"/>
        <v>259</v>
      </c>
      <c r="B265" s="7">
        <v>45371</v>
      </c>
      <c r="C265" s="8" t="s">
        <v>692</v>
      </c>
      <c r="D265" s="16" t="str">
        <f>IFERROR(VLOOKUP(C265,REKAP[[#All],[ID]:[Stok Akhir]],2,FALSE), "")</f>
        <v>Alteco / Lem Korea</v>
      </c>
      <c r="E265" s="16" t="str">
        <f>IFERROR(VLOOKUP(C265,REKAP[[#All],[ID]:[Stok Akhir]],4,FALSE), "")</f>
        <v>Alteco 110</v>
      </c>
      <c r="F265" s="16" t="str">
        <f>IFERROR(VLOOKUP(C265,REKAP[[#All],[ID]:[Stok Akhir]],6,FALSE),"")</f>
        <v>Bahan Pembantu</v>
      </c>
      <c r="G265" s="15">
        <f>IFERROR(VLOOKUP(C265,REKAP[[#All],[ID]:[Stok Akhir]],8,FALSE),"")</f>
        <v>5000</v>
      </c>
      <c r="H265" s="11">
        <v>2</v>
      </c>
      <c r="I265" s="11" t="s">
        <v>3664</v>
      </c>
      <c r="J265" s="11" t="s">
        <v>3880</v>
      </c>
      <c r="K265" s="15">
        <f>IFERROR(MASUK8[[#This Row],[Harga Satuan]]*MASUK8[[#This Row],[Jumlah Keluar]], "")</f>
        <v>10000</v>
      </c>
      <c r="L265" s="11"/>
      <c r="M265" s="47">
        <f>IFERROR(VLOOKUP(C265,REKAP[[#All],[ID]:[Stok Akhir]],15,FALSE),"")</f>
        <v>4</v>
      </c>
    </row>
    <row r="266" spans="1:13" ht="16.5" thickTop="1" thickBot="1" x14ac:dyDescent="0.3">
      <c r="A266" s="27">
        <f t="shared" si="4"/>
        <v>260</v>
      </c>
      <c r="B266" s="7">
        <v>45371</v>
      </c>
      <c r="C266" s="8" t="s">
        <v>769</v>
      </c>
      <c r="D266" s="16" t="str">
        <f>IFERROR(VLOOKUP(C266,REKAP[[#All],[ID]:[Stok Akhir]],2,FALSE), "")</f>
        <v>Masker Safety (Polytron)</v>
      </c>
      <c r="E266" s="16">
        <f>IFERROR(VLOOKUP(C266,REKAP[[#All],[ID]:[Stok Akhir]],4,FALSE), "")</f>
        <v>0</v>
      </c>
      <c r="F266" s="16" t="str">
        <f>IFERROR(VLOOKUP(C266,REKAP[[#All],[ID]:[Stok Akhir]],6,FALSE),"")</f>
        <v>Bahan Pembantu</v>
      </c>
      <c r="G266" s="15">
        <f>IFERROR(VLOOKUP(C266,REKAP[[#All],[ID]:[Stok Akhir]],8,FALSE),"")</f>
        <v>1455</v>
      </c>
      <c r="H266" s="11">
        <v>1</v>
      </c>
      <c r="I266" s="11" t="s">
        <v>3665</v>
      </c>
      <c r="J266" s="11" t="s">
        <v>3667</v>
      </c>
      <c r="K266" s="15">
        <f>IFERROR(MASUK8[[#This Row],[Harga Satuan]]*MASUK8[[#This Row],[Jumlah Keluar]], "")</f>
        <v>1455</v>
      </c>
      <c r="L266" s="11"/>
      <c r="M266" s="47">
        <f>IFERROR(VLOOKUP(C266,REKAP[[#All],[ID]:[Stok Akhir]],15,FALSE),"")</f>
        <v>143</v>
      </c>
    </row>
    <row r="267" spans="1:13" ht="16.5" thickTop="1" thickBot="1" x14ac:dyDescent="0.3">
      <c r="A267" s="27">
        <f t="shared" si="4"/>
        <v>261</v>
      </c>
      <c r="B267" s="7">
        <v>45371</v>
      </c>
      <c r="C267" s="8" t="s">
        <v>692</v>
      </c>
      <c r="D267" s="16" t="str">
        <f>IFERROR(VLOOKUP(C267,REKAP[[#All],[ID]:[Stok Akhir]],2,FALSE), "")</f>
        <v>Alteco / Lem Korea</v>
      </c>
      <c r="E267" s="16" t="str">
        <f>IFERROR(VLOOKUP(C267,REKAP[[#All],[ID]:[Stok Akhir]],4,FALSE), "")</f>
        <v>Alteco 110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5000</v>
      </c>
      <c r="H267" s="11">
        <v>2</v>
      </c>
      <c r="I267" s="11" t="s">
        <v>3665</v>
      </c>
      <c r="J267" s="11" t="s">
        <v>3667</v>
      </c>
      <c r="K267" s="15">
        <f>IFERROR(MASUK8[[#This Row],[Harga Satuan]]*MASUK8[[#This Row],[Jumlah Keluar]], "")</f>
        <v>10000</v>
      </c>
      <c r="L267" s="11"/>
      <c r="M267" s="47">
        <f>IFERROR(VLOOKUP(C267,REKAP[[#All],[ID]:[Stok Akhir]],15,FALSE),"")</f>
        <v>4</v>
      </c>
    </row>
    <row r="268" spans="1:13" ht="16.5" thickTop="1" thickBot="1" x14ac:dyDescent="0.3">
      <c r="A268" s="27">
        <f t="shared" si="4"/>
        <v>262</v>
      </c>
      <c r="B268" s="7">
        <v>45372</v>
      </c>
      <c r="C268" s="8" t="s">
        <v>3281</v>
      </c>
      <c r="D268" s="16" t="str">
        <f>IFERROR(VLOOKUP(C268,REKAP[[#All],[ID]:[Stok Akhir]],2,FALSE), "")</f>
        <v>Knie 3/8" UAP</v>
      </c>
      <c r="E268" s="16">
        <f>IFERROR(VLOOKUP(C268,REKAP[[#All],[ID]:[Stok Akhir]],4,FALSE), "")</f>
        <v>0</v>
      </c>
      <c r="F268" s="16" t="str">
        <f>IFERROR(VLOOKUP(C268,REKAP[[#All],[ID]:[Stok Akhir]],6,FALSE),"")</f>
        <v>Barang Jadi</v>
      </c>
      <c r="G268" s="15">
        <f>IFERROR(VLOOKUP(C268,REKAP[[#All],[ID]:[Stok Akhir]],8,FALSE),"")</f>
        <v>13000</v>
      </c>
      <c r="H268" s="11">
        <v>2</v>
      </c>
      <c r="I268" s="11" t="s">
        <v>3825</v>
      </c>
      <c r="J268" s="11" t="s">
        <v>3827</v>
      </c>
      <c r="K268" s="15">
        <f>IFERROR(MASUK8[[#This Row],[Harga Satuan]]*MASUK8[[#This Row],[Jumlah Keluar]], "")</f>
        <v>26000</v>
      </c>
      <c r="L268" s="11"/>
      <c r="M268" s="47">
        <f>IFERROR(VLOOKUP(C268,REKAP[[#All],[ID]:[Stok Akhir]],15,FALSE),"")</f>
        <v>0</v>
      </c>
    </row>
    <row r="269" spans="1:13" ht="16.5" thickTop="1" thickBot="1" x14ac:dyDescent="0.3">
      <c r="A269" s="27">
        <f t="shared" si="4"/>
        <v>263</v>
      </c>
      <c r="B269" s="7">
        <v>45372</v>
      </c>
      <c r="C269" s="8" t="s">
        <v>3279</v>
      </c>
      <c r="D269" s="16" t="str">
        <f>IFERROR(VLOOKUP(C269,REKAP[[#All],[ID]:[Stok Akhir]],2,FALSE), "")</f>
        <v>Knie 1/2" UAP</v>
      </c>
      <c r="E269" s="16">
        <f>IFERROR(VLOOKUP(C269,REKAP[[#All],[ID]:[Stok Akhir]],4,FALSE), "")</f>
        <v>0</v>
      </c>
      <c r="F269" s="16" t="str">
        <f>IFERROR(VLOOKUP(C269,REKAP[[#All],[ID]:[Stok Akhir]],6,FALSE),"")</f>
        <v>Barang Jadi</v>
      </c>
      <c r="G269" s="15">
        <f>IFERROR(VLOOKUP(C269,REKAP[[#All],[ID]:[Stok Akhir]],8,FALSE),"")</f>
        <v>7000</v>
      </c>
      <c r="H269" s="11">
        <v>2</v>
      </c>
      <c r="I269" s="11" t="s">
        <v>3825</v>
      </c>
      <c r="J269" s="11" t="s">
        <v>3827</v>
      </c>
      <c r="K269" s="15">
        <f>IFERROR(MASUK8[[#This Row],[Harga Satuan]]*MASUK8[[#This Row],[Jumlah Keluar]], "")</f>
        <v>14000</v>
      </c>
      <c r="L269" s="11"/>
      <c r="M269" s="47">
        <f>IFERROR(VLOOKUP(C269,REKAP[[#All],[ID]:[Stok Akhir]],15,FALSE),"")</f>
        <v>0</v>
      </c>
    </row>
    <row r="270" spans="1:13" ht="16.5" thickTop="1" thickBot="1" x14ac:dyDescent="0.3">
      <c r="A270" s="27">
        <f t="shared" si="4"/>
        <v>264</v>
      </c>
      <c r="B270" s="7">
        <v>45372</v>
      </c>
      <c r="C270" s="8" t="s">
        <v>3271</v>
      </c>
      <c r="D270" s="16" t="str">
        <f>IFERROR(VLOOKUP(C270,REKAP[[#All],[ID]:[Stok Akhir]],2,FALSE), "")</f>
        <v>Double Naple 3/8</v>
      </c>
      <c r="E270" s="16">
        <f>IFERROR(VLOOKUP(C270,REKAP[[#All],[ID]:[Stok Akhir]],4,FALSE), "")</f>
        <v>0</v>
      </c>
      <c r="F270" s="16" t="str">
        <f>IFERROR(VLOOKUP(C270,REKAP[[#All],[ID]:[Stok Akhir]],6,FALSE),"")</f>
        <v>Barang Jadi</v>
      </c>
      <c r="G270" s="15">
        <f>IFERROR(VLOOKUP(C270,REKAP[[#All],[ID]:[Stok Akhir]],8,FALSE),"")</f>
        <v>10000</v>
      </c>
      <c r="H270" s="11">
        <v>4</v>
      </c>
      <c r="I270" s="11" t="s">
        <v>3825</v>
      </c>
      <c r="J270" s="11" t="s">
        <v>3827</v>
      </c>
      <c r="K270" s="15">
        <f>IFERROR(MASUK8[[#This Row],[Harga Satuan]]*MASUK8[[#This Row],[Jumlah Keluar]], "")</f>
        <v>40000</v>
      </c>
      <c r="L270" s="11"/>
      <c r="M270" s="47">
        <f>IFERROR(VLOOKUP(C270,REKAP[[#All],[ID]:[Stok Akhir]],15,FALSE),"")</f>
        <v>0</v>
      </c>
    </row>
    <row r="271" spans="1:13" ht="16.5" thickTop="1" thickBot="1" x14ac:dyDescent="0.3">
      <c r="A271" s="27">
        <f t="shared" si="4"/>
        <v>265</v>
      </c>
      <c r="B271" s="7">
        <v>45372</v>
      </c>
      <c r="C271" s="8" t="s">
        <v>2809</v>
      </c>
      <c r="D271" s="16" t="str">
        <f>IFERROR(VLOOKUP(C271,REKAP[[#All],[ID]:[Stok Akhir]],2,FALSE), "")</f>
        <v>End Mill Moldino Ø6xR1.5</v>
      </c>
      <c r="E271" s="16" t="str">
        <f>IFERROR(VLOOKUP(C271,REKAP[[#All],[ID]:[Stok Akhir]],4,FALSE), "")</f>
        <v>ETM4060-15-TH</v>
      </c>
      <c r="F271" s="16" t="str">
        <f>IFERROR(VLOOKUP(C271,REKAP[[#All],[ID]:[Stok Akhir]],6,FALSE),"")</f>
        <v>Tools</v>
      </c>
      <c r="G271" s="15">
        <f>IFERROR(VLOOKUP(C271,REKAP[[#All],[ID]:[Stok Akhir]],8,FALSE),"")</f>
        <v>964000</v>
      </c>
      <c r="H271" s="11">
        <v>1</v>
      </c>
      <c r="I271" s="11" t="s">
        <v>3865</v>
      </c>
      <c r="J271" s="11" t="s">
        <v>3721</v>
      </c>
      <c r="K271" s="15">
        <f>IFERROR(MASUK8[[#This Row],[Harga Satuan]]*MASUK8[[#This Row],[Jumlah Keluar]], "")</f>
        <v>964000</v>
      </c>
      <c r="L271" s="11"/>
      <c r="M271" s="47">
        <f>IFERROR(VLOOKUP(C271,REKAP[[#All],[ID]:[Stok Akhir]],15,FALSE),"")</f>
        <v>1</v>
      </c>
    </row>
    <row r="272" spans="1:13" ht="16.5" thickTop="1" thickBot="1" x14ac:dyDescent="0.3">
      <c r="A272" s="27">
        <f t="shared" si="4"/>
        <v>266</v>
      </c>
      <c r="B272" s="7">
        <v>45372</v>
      </c>
      <c r="C272" s="8" t="s">
        <v>788</v>
      </c>
      <c r="D272" s="16" t="str">
        <f>IFERROR(VLOOKUP(C272,REKAP[[#All],[ID]:[Stok Akhir]],2,FALSE), "")</f>
        <v>Sarung Tangan kain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2000</v>
      </c>
      <c r="H272" s="11">
        <v>1</v>
      </c>
      <c r="I272" s="11" t="s">
        <v>3686</v>
      </c>
      <c r="J272" s="11" t="s">
        <v>3663</v>
      </c>
      <c r="K272" s="15">
        <f>IFERROR(MASUK8[[#This Row],[Harga Satuan]]*MASUK8[[#This Row],[Jumlah Keluar]], "")</f>
        <v>2000</v>
      </c>
      <c r="L272" s="11"/>
      <c r="M272" s="47">
        <f>IFERROR(VLOOKUP(C272,REKAP[[#All],[ID]:[Stok Akhir]],15,FALSE),"")</f>
        <v>0</v>
      </c>
    </row>
    <row r="273" spans="1:13" ht="16.5" thickTop="1" thickBot="1" x14ac:dyDescent="0.3">
      <c r="A273" s="27">
        <f t="shared" si="4"/>
        <v>267</v>
      </c>
      <c r="B273" s="7">
        <v>45372</v>
      </c>
      <c r="C273" s="8" t="s">
        <v>3007</v>
      </c>
      <c r="D273" s="16" t="str">
        <f>IFERROR(VLOOKUP(C273,REKAP[[#All],[ID]:[Stok Akhir]],2,FALSE), "")</f>
        <v>Insert Mitshubishi</v>
      </c>
      <c r="E273" s="16" t="str">
        <f>IFERROR(VLOOKUP(C273,REKAP[[#All],[ID]:[Stok Akhir]],4,FALSE), "")</f>
        <v>TNMG 160404-MA VE 6020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59800</v>
      </c>
      <c r="H273" s="11">
        <v>3</v>
      </c>
      <c r="I273" s="11" t="s">
        <v>3674</v>
      </c>
      <c r="J273" s="11" t="s">
        <v>3827</v>
      </c>
      <c r="K273" s="15">
        <f>IFERROR(MASUK8[[#This Row],[Harga Satuan]]*MASUK8[[#This Row],[Jumlah Keluar]], "")</f>
        <v>179400</v>
      </c>
      <c r="L273" s="11"/>
      <c r="M273" s="47">
        <f>IFERROR(VLOOKUP(C273,REKAP[[#All],[ID]:[Stok Akhir]],15,FALSE),"")</f>
        <v>4</v>
      </c>
    </row>
    <row r="274" spans="1:13" ht="16.5" thickTop="1" thickBot="1" x14ac:dyDescent="0.3">
      <c r="A274" s="27">
        <f t="shared" si="4"/>
        <v>268</v>
      </c>
      <c r="B274" s="7">
        <v>45372</v>
      </c>
      <c r="C274" s="8" t="s">
        <v>2709</v>
      </c>
      <c r="D274" s="16" t="str">
        <f>IFERROR(VLOOKUP(C274,REKAP[[#All],[ID]:[Stok Akhir]],2,FALSE), "")</f>
        <v>Drill Nachi HSS</v>
      </c>
      <c r="E274" s="16" t="str">
        <f>IFERROR(VLOOKUP(C274,REKAP[[#All],[ID]:[Stok Akhir]],4,FALSE), "")</f>
        <v>Ø5.2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35000</v>
      </c>
      <c r="H274" s="11">
        <v>1</v>
      </c>
      <c r="I274" s="11" t="s">
        <v>3690</v>
      </c>
      <c r="J274" s="11" t="s">
        <v>3827</v>
      </c>
      <c r="K274" s="15">
        <f>IFERROR(MASUK8[[#This Row],[Harga Satuan]]*MASUK8[[#This Row],[Jumlah Keluar]], "")</f>
        <v>35000</v>
      </c>
      <c r="L274" s="11"/>
      <c r="M274" s="47">
        <f>IFERROR(VLOOKUP(C274,REKAP[[#All],[ID]:[Stok Akhir]],15,FALSE),"")</f>
        <v>2</v>
      </c>
    </row>
    <row r="275" spans="1:13" ht="16.5" thickTop="1" thickBot="1" x14ac:dyDescent="0.3">
      <c r="A275" s="27">
        <f t="shared" si="4"/>
        <v>269</v>
      </c>
      <c r="B275" s="7">
        <v>45372</v>
      </c>
      <c r="C275" s="8" t="s">
        <v>743</v>
      </c>
      <c r="D275" s="16" t="str">
        <f>IFERROR(VLOOKUP(C275,REKAP[[#All],[ID]:[Stok Akhir]],2,FALSE), "")</f>
        <v>Gerinda Potong 4" 1X25"</v>
      </c>
      <c r="E275" s="16" t="str">
        <f>IFERROR(VLOOKUP(C275,REKAP[[#All],[ID]:[Stok Akhir]],4,FALSE), "")</f>
        <v>4x1,25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4000</v>
      </c>
      <c r="H275" s="11">
        <v>1</v>
      </c>
      <c r="I275" s="11" t="s">
        <v>3866</v>
      </c>
      <c r="J275" s="11" t="s">
        <v>3827</v>
      </c>
      <c r="K275" s="15">
        <f>IFERROR(MASUK8[[#This Row],[Harga Satuan]]*MASUK8[[#This Row],[Jumlah Keluar]], "")</f>
        <v>4000</v>
      </c>
      <c r="L275" s="11"/>
      <c r="M275" s="47">
        <f>IFERROR(VLOOKUP(C275,REKAP[[#All],[ID]:[Stok Akhir]],15,FALSE),"")</f>
        <v>3</v>
      </c>
    </row>
    <row r="276" spans="1:13" ht="16.5" thickTop="1" thickBot="1" x14ac:dyDescent="0.3">
      <c r="A276" s="27">
        <f t="shared" si="4"/>
        <v>270</v>
      </c>
      <c r="B276" s="7">
        <v>45372</v>
      </c>
      <c r="C276" s="8" t="s">
        <v>737</v>
      </c>
      <c r="D276" s="16" t="str">
        <f>IFERROR(VLOOKUP(C276,REKAP[[#All],[ID]:[Stok Akhir]],2,FALSE), "")</f>
        <v>Gerinda Ampelas 4"</v>
      </c>
      <c r="E276" s="16" t="str">
        <f>IFERROR(VLOOKUP(C276,REKAP[[#All],[ID]:[Stok Akhir]],4,FALSE), "")</f>
        <v>#240</v>
      </c>
      <c r="F276" s="16" t="str">
        <f>IFERROR(VLOOKUP(C276,REKAP[[#All],[ID]:[Stok Akhir]],6,FALSE),"")</f>
        <v>Bahan Pembantu</v>
      </c>
      <c r="G276" s="15">
        <f>IFERROR(VLOOKUP(C276,REKAP[[#All],[ID]:[Stok Akhir]],8,FALSE),"")</f>
        <v>15000</v>
      </c>
      <c r="H276" s="11">
        <v>1</v>
      </c>
      <c r="I276" s="11" t="s">
        <v>3866</v>
      </c>
      <c r="J276" s="11" t="s">
        <v>3827</v>
      </c>
      <c r="K276" s="15">
        <f>IFERROR(MASUK8[[#This Row],[Harga Satuan]]*MASUK8[[#This Row],[Jumlah Keluar]], "")</f>
        <v>15000</v>
      </c>
      <c r="L276" s="11"/>
      <c r="M276" s="47">
        <f>IFERROR(VLOOKUP(C276,REKAP[[#All],[ID]:[Stok Akhir]],15,FALSE),"")</f>
        <v>6</v>
      </c>
    </row>
    <row r="277" spans="1:13" ht="16.5" thickTop="1" thickBot="1" x14ac:dyDescent="0.3">
      <c r="A277" s="27">
        <f t="shared" si="4"/>
        <v>271</v>
      </c>
      <c r="B277" s="7">
        <v>45372</v>
      </c>
      <c r="C277" s="8" t="s">
        <v>736</v>
      </c>
      <c r="D277" s="16" t="str">
        <f>IFERROR(VLOOKUP(C277,REKAP[[#All],[ID]:[Stok Akhir]],2,FALSE), "")</f>
        <v>Gergaji  Tangan</v>
      </c>
      <c r="E277" s="16">
        <f>IFERROR(VLOOKUP(C277,REKAP[[#All],[ID]:[Stok Akhir]],4,FALSE), "")</f>
        <v>0</v>
      </c>
      <c r="F277" s="16" t="str">
        <f>IFERROR(VLOOKUP(C277,REKAP[[#All],[ID]:[Stok Akhir]],6,FALSE),"")</f>
        <v>Bahan Pembantu</v>
      </c>
      <c r="G277" s="15">
        <f>IFERROR(VLOOKUP(C277,REKAP[[#All],[ID]:[Stok Akhir]],8,FALSE),"")</f>
        <v>25000</v>
      </c>
      <c r="H277" s="11">
        <v>1</v>
      </c>
      <c r="I277" s="11" t="s">
        <v>3867</v>
      </c>
      <c r="J277" s="11"/>
      <c r="K277" s="15">
        <f>IFERROR(MASUK8[[#This Row],[Harga Satuan]]*MASUK8[[#This Row],[Jumlah Keluar]], "")</f>
        <v>25000</v>
      </c>
      <c r="L277" s="11"/>
      <c r="M277" s="47">
        <f>IFERROR(VLOOKUP(C277,REKAP[[#All],[ID]:[Stok Akhir]],15,FALSE),"")</f>
        <v>5</v>
      </c>
    </row>
    <row r="278" spans="1:13" ht="16.5" thickTop="1" thickBot="1" x14ac:dyDescent="0.3">
      <c r="A278" s="27">
        <f t="shared" si="4"/>
        <v>272</v>
      </c>
      <c r="B278" s="7">
        <v>45372</v>
      </c>
      <c r="C278" s="8" t="s">
        <v>2938</v>
      </c>
      <c r="D278" s="16" t="str">
        <f>IFERROR(VLOOKUP(C278,REKAP[[#All],[ID]:[Stok Akhir]],2,FALSE), "")</f>
        <v>Hand Tap YG1,Yamawa</v>
      </c>
      <c r="E278" s="16" t="str">
        <f>IFERROR(VLOOKUP(C278,REKAP[[#All],[ID]:[Stok Akhir]],4,FALSE), "")</f>
        <v>M12 x 1.75</v>
      </c>
      <c r="F278" s="16" t="str">
        <f>IFERROR(VLOOKUP(C278,REKAP[[#All],[ID]:[Stok Akhir]],6,FALSE),"")</f>
        <v>Tools</v>
      </c>
      <c r="G278" s="15">
        <f>IFERROR(VLOOKUP(C278,REKAP[[#All],[ID]:[Stok Akhir]],8,FALSE),"")</f>
        <v>486500</v>
      </c>
      <c r="H278" s="11">
        <v>1</v>
      </c>
      <c r="I278" s="11" t="s">
        <v>3665</v>
      </c>
      <c r="J278" s="11" t="s">
        <v>3827</v>
      </c>
      <c r="K278" s="15">
        <f>IFERROR(MASUK8[[#This Row],[Harga Satuan]]*MASUK8[[#This Row],[Jumlah Keluar]], "")</f>
        <v>486500</v>
      </c>
      <c r="L278" s="11"/>
      <c r="M278" s="47">
        <f>IFERROR(VLOOKUP(C278,REKAP[[#All],[ID]:[Stok Akhir]],15,FALSE),"")</f>
        <v>0</v>
      </c>
    </row>
    <row r="279" spans="1:13" ht="16.5" thickTop="1" thickBot="1" x14ac:dyDescent="0.3">
      <c r="A279" s="27">
        <f t="shared" si="4"/>
        <v>273</v>
      </c>
      <c r="B279" s="7">
        <v>45372</v>
      </c>
      <c r="C279" s="8" t="s">
        <v>2895</v>
      </c>
      <c r="D279" s="16" t="str">
        <f>IFERROR(VLOOKUP(C279,REKAP[[#All],[ID]:[Stok Akhir]],2,FALSE), "")</f>
        <v>End Mill STS</v>
      </c>
      <c r="E279" s="16" t="str">
        <f>IFERROR(VLOOKUP(C279,REKAP[[#All],[ID]:[Stok Akhir]],4,FALSE), "")</f>
        <v>Ø10 AC-4HFL-10</v>
      </c>
      <c r="F279" s="16" t="str">
        <f>IFERROR(VLOOKUP(C279,REKAP[[#All],[ID]:[Stok Akhir]],6,FALSE),"")</f>
        <v>Tools</v>
      </c>
      <c r="G279" s="15">
        <f>IFERROR(VLOOKUP(C279,REKAP[[#All],[ID]:[Stok Akhir]],8,FALSE),"")</f>
        <v>894800</v>
      </c>
      <c r="H279" s="11">
        <v>1</v>
      </c>
      <c r="I279" s="11" t="s">
        <v>3680</v>
      </c>
      <c r="J279" s="11" t="s">
        <v>3842</v>
      </c>
      <c r="K279" s="15">
        <f>IFERROR(MASUK8[[#This Row],[Harga Satuan]]*MASUK8[[#This Row],[Jumlah Keluar]], "")</f>
        <v>894800</v>
      </c>
      <c r="L279" s="11"/>
      <c r="M279" s="47">
        <f>IFERROR(VLOOKUP(C279,REKAP[[#All],[ID]:[Stok Akhir]],15,FALSE),"")</f>
        <v>1</v>
      </c>
    </row>
    <row r="280" spans="1:13" ht="16.5" thickTop="1" thickBot="1" x14ac:dyDescent="0.3">
      <c r="A280" s="27">
        <f t="shared" si="4"/>
        <v>274</v>
      </c>
      <c r="B280" s="7">
        <v>45372</v>
      </c>
      <c r="C280" s="8" t="s">
        <v>737</v>
      </c>
      <c r="D280" s="16" t="str">
        <f>IFERROR(VLOOKUP(C280,REKAP[[#All],[ID]:[Stok Akhir]],2,FALSE), "")</f>
        <v>Gerinda Ampelas 4"</v>
      </c>
      <c r="E280" s="16" t="str">
        <f>IFERROR(VLOOKUP(C280,REKAP[[#All],[ID]:[Stok Akhir]],4,FALSE), "")</f>
        <v>#240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15000</v>
      </c>
      <c r="H280" s="11">
        <v>1</v>
      </c>
      <c r="I280" s="11" t="s">
        <v>3866</v>
      </c>
      <c r="J280" s="11" t="s">
        <v>3681</v>
      </c>
      <c r="K280" s="15">
        <f>IFERROR(MASUK8[[#This Row],[Harga Satuan]]*MASUK8[[#This Row],[Jumlah Keluar]], "")</f>
        <v>15000</v>
      </c>
      <c r="L280" s="11"/>
      <c r="M280" s="47">
        <f>IFERROR(VLOOKUP(C280,REKAP[[#All],[ID]:[Stok Akhir]],15,FALSE),"")</f>
        <v>6</v>
      </c>
    </row>
    <row r="281" spans="1:13" ht="16.5" thickTop="1" thickBot="1" x14ac:dyDescent="0.3">
      <c r="A281" s="27">
        <f t="shared" si="4"/>
        <v>275</v>
      </c>
      <c r="B281" s="7">
        <v>45373</v>
      </c>
      <c r="C281" s="8" t="s">
        <v>3791</v>
      </c>
      <c r="D281" s="16" t="str">
        <f>IFERROR(VLOOKUP(C281,REKAP[[#All],[ID]:[Stok Akhir]],2,FALSE), "")</f>
        <v>Lock Washer</v>
      </c>
      <c r="E281" s="16" t="str">
        <f>IFERROR(VLOOKUP(C281,REKAP[[#All],[ID]:[Stok Akhir]],4,FALSE), "")</f>
        <v>AW 03</v>
      </c>
      <c r="F281" s="16" t="str">
        <f>IFERROR(VLOOKUP(C281,REKAP[[#All],[ID]:[Stok Akhir]],6,FALSE),"")</f>
        <v>Mur &amp; Baut</v>
      </c>
      <c r="G281" s="15">
        <f>IFERROR(VLOOKUP(C281,REKAP[[#All],[ID]:[Stok Akhir]],8,FALSE),"")</f>
        <v>0</v>
      </c>
      <c r="H281" s="11">
        <v>3</v>
      </c>
      <c r="I281" s="11" t="s">
        <v>3825</v>
      </c>
      <c r="J281" s="11" t="s">
        <v>3845</v>
      </c>
      <c r="K281" s="15">
        <f>IFERROR(MASUK8[[#This Row],[Harga Satuan]]*MASUK8[[#This Row],[Jumlah Keluar]], "")</f>
        <v>0</v>
      </c>
      <c r="L281" s="11"/>
      <c r="M281" s="47">
        <f>IFERROR(VLOOKUP(C281,REKAP[[#All],[ID]:[Stok Akhir]],15,FALSE),"")</f>
        <v>5</v>
      </c>
    </row>
    <row r="282" spans="1:13" ht="16.5" thickTop="1" thickBot="1" x14ac:dyDescent="0.3">
      <c r="A282" s="27">
        <f t="shared" si="4"/>
        <v>276</v>
      </c>
      <c r="B282" s="7">
        <v>45373</v>
      </c>
      <c r="C282" s="8" t="s">
        <v>930</v>
      </c>
      <c r="D282" s="16" t="str">
        <f>IFERROR(VLOOKUP(C282,REKAP[[#All],[ID]:[Stok Akhir]],2,FALSE), "")</f>
        <v>Coupler</v>
      </c>
      <c r="E282" s="16" t="str">
        <f>IFERROR(VLOOKUP(C282,REKAP[[#All],[ID]:[Stok Akhir]],4,FALSE), "")</f>
        <v>F120-TPM4</v>
      </c>
      <c r="F282" s="16" t="str">
        <f>IFERROR(VLOOKUP(C282,REKAP[[#All],[ID]:[Stok Akhir]],6,FALSE),"")</f>
        <v>Accessories Mold</v>
      </c>
      <c r="G282" s="15">
        <f>IFERROR(VLOOKUP(C282,REKAP[[#All],[ID]:[Stok Akhir]],8,FALSE),"")</f>
        <v>382800</v>
      </c>
      <c r="H282" s="11">
        <v>2</v>
      </c>
      <c r="I282" s="11" t="s">
        <v>3825</v>
      </c>
      <c r="J282" s="11" t="s">
        <v>3827</v>
      </c>
      <c r="K282" s="15">
        <f>IFERROR(MASUK8[[#This Row],[Harga Satuan]]*MASUK8[[#This Row],[Jumlah Keluar]], "")</f>
        <v>765600</v>
      </c>
      <c r="L282" s="11"/>
      <c r="M282" s="47">
        <f>IFERROR(VLOOKUP(C282,REKAP[[#All],[ID]:[Stok Akhir]],15,FALSE),"")</f>
        <v>0</v>
      </c>
    </row>
    <row r="283" spans="1:13" ht="16.5" thickTop="1" thickBot="1" x14ac:dyDescent="0.3">
      <c r="A283" s="27">
        <f t="shared" si="4"/>
        <v>277</v>
      </c>
      <c r="B283" s="7">
        <v>45373</v>
      </c>
      <c r="C283" s="8" t="s">
        <v>769</v>
      </c>
      <c r="D283" s="16" t="str">
        <f>IFERROR(VLOOKUP(C283,REKAP[[#All],[ID]:[Stok Akhir]],2,FALSE), "")</f>
        <v>Masker Safety (Polytron)</v>
      </c>
      <c r="E283" s="16">
        <f>IFERROR(VLOOKUP(C283,REKAP[[#All],[ID]:[Stok Akhir]],4,FALSE), "")</f>
        <v>0</v>
      </c>
      <c r="F283" s="16" t="str">
        <f>IFERROR(VLOOKUP(C283,REKAP[[#All],[ID]:[Stok Akhir]],6,FALSE),"")</f>
        <v>Bahan Pembantu</v>
      </c>
      <c r="G283" s="15">
        <f>IFERROR(VLOOKUP(C283,REKAP[[#All],[ID]:[Stok Akhir]],8,FALSE),"")</f>
        <v>1455</v>
      </c>
      <c r="H283" s="11">
        <v>1</v>
      </c>
      <c r="I283" s="11" t="s">
        <v>3868</v>
      </c>
      <c r="J283" s="11" t="s">
        <v>3663</v>
      </c>
      <c r="K283" s="15">
        <f>IFERROR(MASUK8[[#This Row],[Harga Satuan]]*MASUK8[[#This Row],[Jumlah Keluar]], "")</f>
        <v>1455</v>
      </c>
      <c r="L283" s="11"/>
      <c r="M283" s="47">
        <f>IFERROR(VLOOKUP(C283,REKAP[[#All],[ID]:[Stok Akhir]],15,FALSE),"")</f>
        <v>143</v>
      </c>
    </row>
    <row r="284" spans="1:13" ht="16.5" thickTop="1" thickBot="1" x14ac:dyDescent="0.3">
      <c r="A284" s="27">
        <f t="shared" si="4"/>
        <v>278</v>
      </c>
      <c r="B284" s="7">
        <v>45373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3723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Akhir]],15,FALSE),"")</f>
        <v>143</v>
      </c>
    </row>
    <row r="285" spans="1:13" ht="16.5" thickTop="1" thickBot="1" x14ac:dyDescent="0.3">
      <c r="A285" s="27">
        <f t="shared" si="4"/>
        <v>279</v>
      </c>
      <c r="B285" s="7">
        <v>45373</v>
      </c>
      <c r="C285" s="8" t="s">
        <v>793</v>
      </c>
      <c r="D285" s="16" t="str">
        <f>IFERROR(VLOOKUP(C285,REKAP[[#All],[ID]:[Stok Akhir]],2,FALSE), "")</f>
        <v>SIMTAPE 0.10</v>
      </c>
      <c r="E285" s="16">
        <f>IFERROR(VLOOKUP(C285,REKAP[[#All],[ID]:[Stok Akhir]],4,FALSE), "")</f>
        <v>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175000</v>
      </c>
      <c r="H285" s="11">
        <v>1</v>
      </c>
      <c r="I285" s="11" t="s">
        <v>3723</v>
      </c>
      <c r="J285" s="11" t="s">
        <v>3881</v>
      </c>
      <c r="K285" s="15">
        <f>IFERROR(MASUK8[[#This Row],[Harga Satuan]]*MASUK8[[#This Row],[Jumlah Keluar]], "")</f>
        <v>175000</v>
      </c>
      <c r="L285" s="11"/>
      <c r="M285" s="47">
        <f>IFERROR(VLOOKUP(C285,REKAP[[#All],[ID]:[Stok Akhir]],15,FALSE),"")</f>
        <v>2</v>
      </c>
    </row>
    <row r="286" spans="1:13" ht="16.5" thickTop="1" thickBot="1" x14ac:dyDescent="0.3">
      <c r="A286" s="27">
        <f t="shared" si="4"/>
        <v>280</v>
      </c>
      <c r="B286" s="7">
        <v>45373</v>
      </c>
      <c r="C286" s="8" t="s">
        <v>769</v>
      </c>
      <c r="D286" s="16" t="str">
        <f>IFERROR(VLOOKUP(C286,REKAP[[#All],[ID]:[Stok Akhir]],2,FALSE), "")</f>
        <v>Masker Safety (Polytron)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1455</v>
      </c>
      <c r="H286" s="11">
        <v>2</v>
      </c>
      <c r="I286" s="11" t="s">
        <v>3691</v>
      </c>
      <c r="J286" s="11" t="s">
        <v>3663</v>
      </c>
      <c r="K286" s="15">
        <f>IFERROR(MASUK8[[#This Row],[Harga Satuan]]*MASUK8[[#This Row],[Jumlah Keluar]], "")</f>
        <v>2910</v>
      </c>
      <c r="L286" s="11"/>
      <c r="M286" s="47">
        <f>IFERROR(VLOOKUP(C286,REKAP[[#All],[ID]:[Stok Akhir]],15,FALSE),"")</f>
        <v>143</v>
      </c>
    </row>
    <row r="287" spans="1:13" ht="16.5" thickTop="1" thickBot="1" x14ac:dyDescent="0.3">
      <c r="A287" s="27">
        <f t="shared" si="4"/>
        <v>281</v>
      </c>
      <c r="B287" s="7">
        <v>45373</v>
      </c>
      <c r="C287" s="8" t="s">
        <v>3022</v>
      </c>
      <c r="D287" s="16" t="str">
        <f>IFERROR(VLOOKUP(C287,REKAP[[#All],[ID]:[Stok Akhir]],2,FALSE), "")</f>
        <v>Insert Moldino</v>
      </c>
      <c r="E287" s="16" t="str">
        <f>IFERROR(VLOOKUP(C287,REKAP[[#All],[ID]:[Stok Akhir]],4,FALSE), "")</f>
        <v>EDMT070220R-TJP4120</v>
      </c>
      <c r="F287" s="16" t="str">
        <f>IFERROR(VLOOKUP(C287,REKAP[[#All],[ID]:[Stok Akhir]],6,FALSE),"")</f>
        <v>Tools</v>
      </c>
      <c r="G287" s="15">
        <f>IFERROR(VLOOKUP(C287,REKAP[[#All],[ID]:[Stok Akhir]],8,FALSE),"")</f>
        <v>69000</v>
      </c>
      <c r="H287" s="11">
        <v>10</v>
      </c>
      <c r="I287" s="11" t="s">
        <v>3680</v>
      </c>
      <c r="J287" s="11" t="s">
        <v>3882</v>
      </c>
      <c r="K287" s="15">
        <f>IFERROR(MASUK8[[#This Row],[Harga Satuan]]*MASUK8[[#This Row],[Jumlah Keluar]], "")</f>
        <v>690000</v>
      </c>
      <c r="L287" s="11"/>
      <c r="M287" s="47">
        <f>IFERROR(VLOOKUP(C287,REKAP[[#All],[ID]:[Stok Akhir]],15,FALSE),"")</f>
        <v>10</v>
      </c>
    </row>
    <row r="288" spans="1:13" ht="16.5" thickTop="1" thickBot="1" x14ac:dyDescent="0.3">
      <c r="A288" s="27">
        <f t="shared" si="4"/>
        <v>282</v>
      </c>
      <c r="B288" s="7">
        <v>45373</v>
      </c>
      <c r="C288" s="8" t="s">
        <v>3023</v>
      </c>
      <c r="D288" s="16" t="str">
        <f>IFERROR(VLOOKUP(C288,REKAP[[#All],[ID]:[Stok Akhir]],2,FALSE), "")</f>
        <v>Insert Moldino</v>
      </c>
      <c r="E288" s="16" t="str">
        <f>IFERROR(VLOOKUP(C288,REKAP[[#All],[ID]:[Stok Akhir]],4,FALSE), "")</f>
        <v>ENMU0603ER-C JP4120</v>
      </c>
      <c r="F288" s="16" t="str">
        <f>IFERROR(VLOOKUP(C288,REKAP[[#All],[ID]:[Stok Akhir]],6,FALSE),"")</f>
        <v>Tools</v>
      </c>
      <c r="G288" s="15">
        <f>IFERROR(VLOOKUP(C288,REKAP[[#All],[ID]:[Stok Akhir]],8,FALSE),"")</f>
        <v>122000</v>
      </c>
      <c r="H288" s="11">
        <v>10</v>
      </c>
      <c r="I288" s="11" t="s">
        <v>3680</v>
      </c>
      <c r="J288" s="11" t="s">
        <v>3882</v>
      </c>
      <c r="K288" s="15">
        <f>IFERROR(MASUK8[[#This Row],[Harga Satuan]]*MASUK8[[#This Row],[Jumlah Keluar]], "")</f>
        <v>1220000</v>
      </c>
      <c r="L288" s="11"/>
      <c r="M288" s="47">
        <f>IFERROR(VLOOKUP(C288,REKAP[[#All],[ID]:[Stok Akhir]],15,FALSE),"")</f>
        <v>0</v>
      </c>
    </row>
    <row r="289" spans="1:13" ht="16.5" thickTop="1" thickBot="1" x14ac:dyDescent="0.3">
      <c r="A289" s="27">
        <f t="shared" si="4"/>
        <v>283</v>
      </c>
      <c r="B289" s="7">
        <v>45374</v>
      </c>
      <c r="C289" s="8" t="s">
        <v>769</v>
      </c>
      <c r="D289" s="16" t="str">
        <f>IFERROR(VLOOKUP(C289,REKAP[[#All],[ID]:[Stok Akhir]],2,FALSE), "")</f>
        <v>Masker Safety (Polytron)</v>
      </c>
      <c r="E289" s="16">
        <f>IFERROR(VLOOKUP(C289,REKAP[[#All],[ID]:[Stok Akhir]],4,FALSE), "")</f>
        <v>0</v>
      </c>
      <c r="F289" s="16" t="str">
        <f>IFERROR(VLOOKUP(C289,REKAP[[#All],[ID]:[Stok Akhir]],6,FALSE),"")</f>
        <v>Bahan Pembantu</v>
      </c>
      <c r="G289" s="15">
        <f>IFERROR(VLOOKUP(C289,REKAP[[#All],[ID]:[Stok Akhir]],8,FALSE),"")</f>
        <v>1455</v>
      </c>
      <c r="H289" s="11">
        <v>1</v>
      </c>
      <c r="I289" s="11" t="s">
        <v>3665</v>
      </c>
      <c r="J289" s="11" t="s">
        <v>3663</v>
      </c>
      <c r="K289" s="15">
        <f>IFERROR(MASUK8[[#This Row],[Harga Satuan]]*MASUK8[[#This Row],[Jumlah Keluar]], "")</f>
        <v>1455</v>
      </c>
      <c r="L289" s="11"/>
      <c r="M289" s="47">
        <f>IFERROR(VLOOKUP(C289,REKAP[[#All],[ID]:[Stok Akhir]],15,FALSE),"")</f>
        <v>143</v>
      </c>
    </row>
    <row r="290" spans="1:13" ht="16.5" thickTop="1" thickBot="1" x14ac:dyDescent="0.3">
      <c r="A290" s="27">
        <f t="shared" si="4"/>
        <v>284</v>
      </c>
      <c r="B290" s="7">
        <v>45374</v>
      </c>
      <c r="C290" s="8" t="s">
        <v>692</v>
      </c>
      <c r="D290" s="16" t="str">
        <f>IFERROR(VLOOKUP(C290,REKAP[[#All],[ID]:[Stok Akhir]],2,FALSE), "")</f>
        <v>Alteco / Lem Korea</v>
      </c>
      <c r="E290" s="16" t="str">
        <f>IFERROR(VLOOKUP(C290,REKAP[[#All],[ID]:[Stok Akhir]],4,FALSE), "")</f>
        <v>Alteco 110</v>
      </c>
      <c r="F290" s="16" t="str">
        <f>IFERROR(VLOOKUP(C290,REKAP[[#All],[ID]:[Stok Akhir]],6,FALSE),"")</f>
        <v>Bahan Pembantu</v>
      </c>
      <c r="G290" s="15">
        <f>IFERROR(VLOOKUP(C290,REKAP[[#All],[ID]:[Stok Akhir]],8,FALSE),"")</f>
        <v>5000</v>
      </c>
      <c r="H290" s="11">
        <v>2</v>
      </c>
      <c r="I290" s="11" t="s">
        <v>3665</v>
      </c>
      <c r="J290" s="11" t="s">
        <v>3667</v>
      </c>
      <c r="K290" s="15">
        <f>IFERROR(MASUK8[[#This Row],[Harga Satuan]]*MASUK8[[#This Row],[Jumlah Keluar]], "")</f>
        <v>10000</v>
      </c>
      <c r="L290" s="11"/>
      <c r="M290" s="47">
        <f>IFERROR(VLOOKUP(C290,REKAP[[#All],[ID]:[Stok Akhir]],15,FALSE),"")</f>
        <v>4</v>
      </c>
    </row>
    <row r="291" spans="1:13" ht="16.5" thickTop="1" thickBot="1" x14ac:dyDescent="0.3">
      <c r="A291" s="27">
        <f t="shared" si="4"/>
        <v>285</v>
      </c>
      <c r="B291" s="7">
        <v>45374</v>
      </c>
      <c r="C291" s="8" t="s">
        <v>788</v>
      </c>
      <c r="D291" s="16" t="str">
        <f>IFERROR(VLOOKUP(C291,REKAP[[#All],[ID]:[Stok Akhir]],2,FALSE), "")</f>
        <v>Sarung Tangan kain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2000</v>
      </c>
      <c r="H291" s="11">
        <v>2</v>
      </c>
      <c r="I291" s="11" t="s">
        <v>3869</v>
      </c>
      <c r="J291" s="11" t="s">
        <v>3663</v>
      </c>
      <c r="K291" s="15">
        <f>IFERROR(MASUK8[[#This Row],[Harga Satuan]]*MASUK8[[#This Row],[Jumlah Keluar]], "")</f>
        <v>4000</v>
      </c>
      <c r="L291" s="11"/>
      <c r="M291" s="47">
        <f>IFERROR(VLOOKUP(C291,REKAP[[#All],[ID]:[Stok Akhir]],15,FALSE),"")</f>
        <v>0</v>
      </c>
    </row>
    <row r="292" spans="1:13" ht="16.5" thickTop="1" thickBot="1" x14ac:dyDescent="0.3">
      <c r="A292" s="27">
        <f t="shared" si="4"/>
        <v>286</v>
      </c>
      <c r="B292" s="7">
        <v>45374</v>
      </c>
      <c r="C292" s="8" t="s">
        <v>710</v>
      </c>
      <c r="D292" s="16" t="str">
        <f>IFERROR(VLOOKUP(C292,REKAP[[#All],[ID]:[Stok Akhir]],2,FALSE), "")</f>
        <v>Auto Sealer</v>
      </c>
      <c r="E292" s="16" t="str">
        <f>IFERROR(VLOOKUP(C292,REKAP[[#All],[ID]:[Stok Akhir]],4,FALSE), "")</f>
        <v>@1pcs; merah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20000</v>
      </c>
      <c r="H292" s="11">
        <v>1</v>
      </c>
      <c r="I292" s="11" t="s">
        <v>3869</v>
      </c>
      <c r="J292" s="11" t="s">
        <v>3667</v>
      </c>
      <c r="K292" s="15">
        <f>IFERROR(MASUK8[[#This Row],[Harga Satuan]]*MASUK8[[#This Row],[Jumlah Keluar]], "")</f>
        <v>20000</v>
      </c>
      <c r="L292" s="11"/>
      <c r="M292" s="47">
        <f>IFERROR(VLOOKUP(C292,REKAP[[#All],[ID]:[Stok Akhir]],15,FALSE),"")</f>
        <v>1</v>
      </c>
    </row>
    <row r="293" spans="1:13" ht="16.5" thickTop="1" thickBot="1" x14ac:dyDescent="0.3">
      <c r="A293" s="27">
        <f t="shared" si="4"/>
        <v>287</v>
      </c>
      <c r="B293" s="7">
        <v>45376</v>
      </c>
      <c r="C293" s="8" t="s">
        <v>731</v>
      </c>
      <c r="D293" s="16" t="str">
        <f>IFERROR(VLOOKUP(C293,REKAP[[#All],[ID]:[Stok Akhir]],2,FALSE), "")</f>
        <v xml:space="preserve">EDM WIRE </v>
      </c>
      <c r="E293" s="16" t="str">
        <f>IFERROR(VLOOKUP(C293,REKAP[[#All],[ID]:[Stok Akhir]],4,FALSE), "")</f>
        <v>0.25mm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160000</v>
      </c>
      <c r="H293" s="11">
        <v>1</v>
      </c>
      <c r="I293" s="11" t="s">
        <v>3716</v>
      </c>
      <c r="J293" s="11" t="s">
        <v>3756</v>
      </c>
      <c r="K293" s="15">
        <f>IFERROR(MASUK8[[#This Row],[Harga Satuan]]*MASUK8[[#This Row],[Jumlah Keluar]], "")</f>
        <v>160000</v>
      </c>
      <c r="L293" s="11"/>
      <c r="M293" s="47">
        <f>IFERROR(VLOOKUP(C293,REKAP[[#All],[ID]:[Stok Akhir]],15,FALSE),"")</f>
        <v>7</v>
      </c>
    </row>
    <row r="294" spans="1:13" ht="16.5" thickTop="1" thickBot="1" x14ac:dyDescent="0.3">
      <c r="A294" s="27">
        <f t="shared" si="4"/>
        <v>288</v>
      </c>
      <c r="B294" s="7">
        <v>45376</v>
      </c>
      <c r="C294" s="8" t="s">
        <v>465</v>
      </c>
      <c r="D294" s="16" t="str">
        <f>IFERROR(VLOOKUP(C294,REKAP[[#All],[ID]:[Stok Akhir]],2,FALSE), "")</f>
        <v>Baut JFL</v>
      </c>
      <c r="E294" s="16" t="str">
        <f>IFERROR(VLOOKUP(C294,REKAP[[#All],[ID]:[Stok Akhir]],4,FALSE), "")</f>
        <v>M 6 X 25</v>
      </c>
      <c r="F294" s="16" t="str">
        <f>IFERROR(VLOOKUP(C294,REKAP[[#All],[ID]:[Stok Akhir]],6,FALSE),"")</f>
        <v>Mur &amp; Baut</v>
      </c>
      <c r="G294" s="15">
        <f>IFERROR(VLOOKUP(C294,REKAP[[#All],[ID]:[Stok Akhir]],8,FALSE),"")</f>
        <v>1000</v>
      </c>
      <c r="H294" s="11">
        <v>2</v>
      </c>
      <c r="I294" s="11" t="s">
        <v>3691</v>
      </c>
      <c r="J294" s="11" t="s">
        <v>3715</v>
      </c>
      <c r="K294" s="15">
        <f>IFERROR(MASUK8[[#This Row],[Harga Satuan]]*MASUK8[[#This Row],[Jumlah Keluar]], "")</f>
        <v>2000</v>
      </c>
      <c r="L294" s="11"/>
      <c r="M294" s="47">
        <f>IFERROR(VLOOKUP(C294,REKAP[[#All],[ID]:[Stok Akhir]],15,FALSE),"")</f>
        <v>31</v>
      </c>
    </row>
    <row r="295" spans="1:13" ht="16.5" thickTop="1" thickBot="1" x14ac:dyDescent="0.3">
      <c r="A295" s="27">
        <f t="shared" si="4"/>
        <v>289</v>
      </c>
      <c r="B295" s="7">
        <v>45376</v>
      </c>
      <c r="C295" s="8" t="s">
        <v>2989</v>
      </c>
      <c r="D295" s="16" t="str">
        <f>IFERROR(VLOOKUP(C295,REKAP[[#All],[ID]:[Stok Akhir]],2,FALSE), "")</f>
        <v>Insert Dijet</v>
      </c>
      <c r="E295" s="16" t="str">
        <f>IFERROR(VLOOKUP(C295,REKAP[[#All],[ID]:[Stok Akhir]],4,FALSE), "")</f>
        <v>RNM-160-R10 JC8015</v>
      </c>
      <c r="F295" s="16" t="str">
        <f>IFERROR(VLOOKUP(C295,REKAP[[#All],[ID]:[Stok Akhir]],6,FALSE),"")</f>
        <v>Tools</v>
      </c>
      <c r="G295" s="15">
        <f>IFERROR(VLOOKUP(C295,REKAP[[#All],[ID]:[Stok Akhir]],8,FALSE),"")</f>
        <v>482000</v>
      </c>
      <c r="H295" s="11">
        <v>2</v>
      </c>
      <c r="I295" s="11" t="s">
        <v>3704</v>
      </c>
      <c r="J295" s="11" t="s">
        <v>3882</v>
      </c>
      <c r="K295" s="15">
        <f>IFERROR(MASUK8[[#This Row],[Harga Satuan]]*MASUK8[[#This Row],[Jumlah Keluar]], "")</f>
        <v>964000</v>
      </c>
      <c r="L295" s="11"/>
      <c r="M295" s="47">
        <f>IFERROR(VLOOKUP(C295,REKAP[[#All],[ID]:[Stok Akhir]],15,FALSE),"")</f>
        <v>0</v>
      </c>
    </row>
    <row r="296" spans="1:13" ht="16.5" thickTop="1" thickBot="1" x14ac:dyDescent="0.3">
      <c r="A296" s="27">
        <f t="shared" si="4"/>
        <v>290</v>
      </c>
      <c r="B296" s="7">
        <v>45376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3864</v>
      </c>
      <c r="J296" s="11" t="s">
        <v>3663</v>
      </c>
      <c r="K296" s="15">
        <f>IFERROR(MASUK8[[#This Row],[Harga Satuan]]*MASUK8[[#This Row],[Jumlah Keluar]], "")</f>
        <v>2910</v>
      </c>
      <c r="L296" s="11"/>
      <c r="M296" s="47">
        <f>IFERROR(VLOOKUP(C296,REKAP[[#All],[ID]:[Stok Akhir]],15,FALSE),"")</f>
        <v>143</v>
      </c>
    </row>
    <row r="297" spans="1:13" ht="16.5" thickTop="1" thickBot="1" x14ac:dyDescent="0.3">
      <c r="A297" s="27">
        <f t="shared" si="4"/>
        <v>291</v>
      </c>
      <c r="B297" s="7">
        <v>45376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1</v>
      </c>
      <c r="I297" s="11" t="s">
        <v>3868</v>
      </c>
      <c r="J297" s="11" t="s">
        <v>3663</v>
      </c>
      <c r="K297" s="15">
        <f>IFERROR(MASUK8[[#This Row],[Harga Satuan]]*MASUK8[[#This Row],[Jumlah Keluar]], "")</f>
        <v>2000</v>
      </c>
      <c r="L297" s="11"/>
      <c r="M297" s="47">
        <f>IFERROR(VLOOKUP(C297,REKAP[[#All],[ID]:[Stok Akhir]],15,FALSE),"")</f>
        <v>0</v>
      </c>
    </row>
    <row r="298" spans="1:13" ht="16.5" thickTop="1" thickBot="1" x14ac:dyDescent="0.3">
      <c r="A298" s="27">
        <f t="shared" si="4"/>
        <v>292</v>
      </c>
      <c r="B298" s="7">
        <v>45377</v>
      </c>
      <c r="C298" s="8" t="s">
        <v>788</v>
      </c>
      <c r="D298" s="16" t="str">
        <f>IFERROR(VLOOKUP(C298,REKAP[[#All],[ID]:[Stok Akhir]],2,FALSE), "")</f>
        <v>Sarung Tangan kain</v>
      </c>
      <c r="E298" s="16">
        <f>IFERROR(VLOOKUP(C298,REKAP[[#All],[ID]:[Stok Akhir]],4,FALSE), "")</f>
        <v>0</v>
      </c>
      <c r="F298" s="16" t="str">
        <f>IFERROR(VLOOKUP(C298,REKAP[[#All],[ID]:[Stok Akhir]],6,FALSE),"")</f>
        <v>Bahan Pembantu</v>
      </c>
      <c r="G298" s="15">
        <f>IFERROR(VLOOKUP(C298,REKAP[[#All],[ID]:[Stok Akhir]],8,FALSE),"")</f>
        <v>2000</v>
      </c>
      <c r="H298" s="11">
        <v>1</v>
      </c>
      <c r="I298" s="11" t="s">
        <v>3674</v>
      </c>
      <c r="J298" s="11" t="s">
        <v>3751</v>
      </c>
      <c r="K298" s="15">
        <f>IFERROR(MASUK8[[#This Row],[Harga Satuan]]*MASUK8[[#This Row],[Jumlah Keluar]], "")</f>
        <v>2000</v>
      </c>
      <c r="L298" s="11"/>
      <c r="M298" s="47">
        <f>IFERROR(VLOOKUP(C298,REKAP[[#All],[ID]:[Stok Akhir]],15,FALSE),"")</f>
        <v>0</v>
      </c>
    </row>
    <row r="299" spans="1:13" ht="16.5" thickTop="1" thickBot="1" x14ac:dyDescent="0.3">
      <c r="A299" s="27">
        <f t="shared" si="4"/>
        <v>293</v>
      </c>
      <c r="B299" s="7">
        <v>45377</v>
      </c>
      <c r="C299" s="8" t="s">
        <v>703</v>
      </c>
      <c r="D299" s="16" t="str">
        <f>IFERROR(VLOOKUP(C299,REKAP[[#All],[ID]:[Stok Akhir]],2,FALSE), "")</f>
        <v>Ampelas</v>
      </c>
      <c r="E299" s="16" t="str">
        <f>IFERROR(VLOOKUP(C299,REKAP[[#All],[ID]:[Stok Akhir]],4,FALSE), "")</f>
        <v>Grit 800</v>
      </c>
      <c r="F299" s="16" t="str">
        <f>IFERROR(VLOOKUP(C299,REKAP[[#All],[ID]:[Stok Akhir]],6,FALSE),"")</f>
        <v>Bahan Pembantu</v>
      </c>
      <c r="G299" s="15">
        <f>IFERROR(VLOOKUP(C299,REKAP[[#All],[ID]:[Stok Akhir]],8,FALSE),"")</f>
        <v>4000</v>
      </c>
      <c r="H299" s="11">
        <v>2</v>
      </c>
      <c r="I299" s="11" t="s">
        <v>3752</v>
      </c>
      <c r="J299" s="11" t="s">
        <v>3753</v>
      </c>
      <c r="K299" s="15">
        <f>IFERROR(MASUK8[[#This Row],[Harga Satuan]]*MASUK8[[#This Row],[Jumlah Keluar]], "")</f>
        <v>8000</v>
      </c>
      <c r="L299" s="11"/>
      <c r="M299" s="47">
        <f>IFERROR(VLOOKUP(C299,REKAP[[#All],[ID]:[Stok Akhir]],15,FALSE),"")</f>
        <v>0</v>
      </c>
    </row>
    <row r="300" spans="1:13" ht="16.5" thickTop="1" thickBot="1" x14ac:dyDescent="0.3">
      <c r="A300" s="27">
        <f t="shared" si="4"/>
        <v>294</v>
      </c>
      <c r="B300" s="7">
        <v>45377</v>
      </c>
      <c r="C300" s="8" t="s">
        <v>692</v>
      </c>
      <c r="D300" s="16" t="str">
        <f>IFERROR(VLOOKUP(C300,REKAP[[#All],[ID]:[Stok Akhir]],2,FALSE), "")</f>
        <v>Alteco / Lem Korea</v>
      </c>
      <c r="E300" s="16" t="str">
        <f>IFERROR(VLOOKUP(C300,REKAP[[#All],[ID]:[Stok Akhir]],4,FALSE), "")</f>
        <v>Alteco 110</v>
      </c>
      <c r="F300" s="16" t="str">
        <f>IFERROR(VLOOKUP(C300,REKAP[[#All],[ID]:[Stok Akhir]],6,FALSE),"")</f>
        <v>Bahan Pembantu</v>
      </c>
      <c r="G300" s="15">
        <f>IFERROR(VLOOKUP(C300,REKAP[[#All],[ID]:[Stok Akhir]],8,FALSE),"")</f>
        <v>5000</v>
      </c>
      <c r="H300" s="11">
        <v>2</v>
      </c>
      <c r="I300" s="11" t="s">
        <v>3752</v>
      </c>
      <c r="J300" s="11" t="s">
        <v>3753</v>
      </c>
      <c r="K300" s="15">
        <f>IFERROR(MASUK8[[#This Row],[Harga Satuan]]*MASUK8[[#This Row],[Jumlah Keluar]], "")</f>
        <v>10000</v>
      </c>
      <c r="L300" s="11"/>
      <c r="M300" s="47">
        <f>IFERROR(VLOOKUP(C300,REKAP[[#All],[ID]:[Stok Akhir]],15,FALSE),"")</f>
        <v>4</v>
      </c>
    </row>
    <row r="301" spans="1:13" ht="16.5" thickTop="1" thickBot="1" x14ac:dyDescent="0.3">
      <c r="A301" s="27">
        <f t="shared" si="4"/>
        <v>295</v>
      </c>
      <c r="B301" s="7">
        <v>45377</v>
      </c>
      <c r="C301" s="8" t="s">
        <v>769</v>
      </c>
      <c r="D301" s="16" t="str">
        <f>IFERROR(VLOOKUP(C301,REKAP[[#All],[ID]:[Stok Akhir]],2,FALSE), "")</f>
        <v>Masker Safety (Polytron)</v>
      </c>
      <c r="E301" s="16">
        <f>IFERROR(VLOOKUP(C301,REKAP[[#All],[ID]:[Stok Akhir]],4,FALSE), "")</f>
        <v>0</v>
      </c>
      <c r="F301" s="16" t="str">
        <f>IFERROR(VLOOKUP(C301,REKAP[[#All],[ID]:[Stok Akhir]],6,FALSE),"")</f>
        <v>Bahan Pembantu</v>
      </c>
      <c r="G301" s="15">
        <f>IFERROR(VLOOKUP(C301,REKAP[[#All],[ID]:[Stok Akhir]],8,FALSE),"")</f>
        <v>1455</v>
      </c>
      <c r="H301" s="11">
        <v>2</v>
      </c>
      <c r="I301" s="11" t="s">
        <v>3754</v>
      </c>
      <c r="J301" s="11" t="s">
        <v>3698</v>
      </c>
      <c r="K301" s="15">
        <f>IFERROR(MASUK8[[#This Row],[Harga Satuan]]*MASUK8[[#This Row],[Jumlah Keluar]], "")</f>
        <v>2910</v>
      </c>
      <c r="L301" s="11" t="s">
        <v>3755</v>
      </c>
      <c r="M301" s="47">
        <f>IFERROR(VLOOKUP(C301,REKAP[[#All],[ID]:[Stok Akhir]],15,FALSE),"")</f>
        <v>143</v>
      </c>
    </row>
    <row r="302" spans="1:13" ht="16.5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2</v>
      </c>
      <c r="I302" s="11" t="s">
        <v>3754</v>
      </c>
      <c r="J302" s="11" t="s">
        <v>3698</v>
      </c>
      <c r="K302" s="15">
        <f>IFERROR(MASUK8[[#This Row],[Harga Satuan]]*MASUK8[[#This Row],[Jumlah Keluar]], "")</f>
        <v>4000</v>
      </c>
      <c r="L302" s="11" t="s">
        <v>3755</v>
      </c>
      <c r="M302" s="47">
        <f>IFERROR(VLOOKUP(C302,REKAP[[#All],[ID]:[Stok Akhir]],15,FALSE),"")</f>
        <v>0</v>
      </c>
    </row>
    <row r="303" spans="1:13" ht="16.5" thickTop="1" thickBot="1" x14ac:dyDescent="0.3">
      <c r="A303" s="27">
        <f t="shared" si="4"/>
        <v>297</v>
      </c>
      <c r="B303" s="7">
        <v>45377</v>
      </c>
      <c r="C303" s="8" t="s">
        <v>3104</v>
      </c>
      <c r="D303" s="16" t="str">
        <f>IFERROR(VLOOKUP(C303,REKAP[[#All],[ID]:[Stok Akhir]],2,FALSE), "")</f>
        <v>Tap Mesin Yamawa,IWS,YG1</v>
      </c>
      <c r="E303" s="16" t="str">
        <f>IFERROR(VLOOKUP(C303,REKAP[[#All],[ID]:[Stok Akhir]],4,FALSE), "")</f>
        <v>M6x1</v>
      </c>
      <c r="F303" s="16" t="str">
        <f>IFERROR(VLOOKUP(C303,REKAP[[#All],[ID]:[Stok Akhir]],6,FALSE),"")</f>
        <v>Tools</v>
      </c>
      <c r="G303" s="15">
        <f>IFERROR(VLOOKUP(C303,REKAP[[#All],[ID]:[Stok Akhir]],8,FALSE),"")</f>
        <v>120000</v>
      </c>
      <c r="H303" s="11">
        <v>1</v>
      </c>
      <c r="I303" s="11" t="s">
        <v>3754</v>
      </c>
      <c r="J303" s="11" t="s">
        <v>3698</v>
      </c>
      <c r="K303" s="15">
        <f>IFERROR(MASUK8[[#This Row],[Harga Satuan]]*MASUK8[[#This Row],[Jumlah Keluar]], "")</f>
        <v>120000</v>
      </c>
      <c r="L303" s="11"/>
      <c r="M303" s="47">
        <f>IFERROR(VLOOKUP(C303,REKAP[[#All],[ID]:[Stok Akhir]],15,FALSE),"")</f>
        <v>3</v>
      </c>
    </row>
    <row r="304" spans="1:13" ht="16.5" thickTop="1" thickBot="1" x14ac:dyDescent="0.3">
      <c r="A304" s="27">
        <f t="shared" si="4"/>
        <v>298</v>
      </c>
      <c r="B304" s="7">
        <v>45377</v>
      </c>
      <c r="C304" s="8" t="s">
        <v>2616</v>
      </c>
      <c r="D304" s="16" t="str">
        <f>IFERROR(VLOOKUP(C304,REKAP[[#All],[ID]:[Stok Akhir]],2,FALSE), "")</f>
        <v>BNC Moldino (R2x35)</v>
      </c>
      <c r="E304" s="16" t="str">
        <f>IFERROR(VLOOKUP(C304,REKAP[[#All],[ID]:[Stok Akhir]],4,FALSE), "")</f>
        <v xml:space="preserve">Ø4 EPDBE2040-35-ATH 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515000</v>
      </c>
      <c r="H304" s="11">
        <v>5</v>
      </c>
      <c r="I304" s="11" t="s">
        <v>3704</v>
      </c>
      <c r="J304" s="11" t="s">
        <v>3757</v>
      </c>
      <c r="K304" s="15">
        <f>IFERROR(MASUK8[[#This Row],[Harga Satuan]]*MASUK8[[#This Row],[Jumlah Keluar]], "")</f>
        <v>2575000</v>
      </c>
      <c r="L304" s="11"/>
      <c r="M304" s="47">
        <f>IFERROR(VLOOKUP(C304,REKAP[[#All],[ID]:[Stok Akhir]],15,FALSE),"")</f>
        <v>36</v>
      </c>
    </row>
    <row r="305" spans="1:13" ht="16.5" thickTop="1" thickBot="1" x14ac:dyDescent="0.3">
      <c r="A305" s="27">
        <f t="shared" si="4"/>
        <v>299</v>
      </c>
      <c r="B305" s="7">
        <v>45377</v>
      </c>
      <c r="C305" s="8" t="s">
        <v>2885</v>
      </c>
      <c r="D305" s="16" t="str">
        <f>IFERROR(VLOOKUP(C305,REKAP[[#All],[ID]:[Stok Akhir]],2,FALSE), "")</f>
        <v>End Mill STS</v>
      </c>
      <c r="E305" s="16" t="str">
        <f>IFERROR(VLOOKUP(C305,REKAP[[#All],[ID]:[Stok Akhir]],4,FALSE), "")</f>
        <v>Ø4 OT-4HELN 4x30</v>
      </c>
      <c r="F305" s="16" t="str">
        <f>IFERROR(VLOOKUP(C305,REKAP[[#All],[ID]:[Stok Akhir]],6,FALSE),"")</f>
        <v>Tools</v>
      </c>
      <c r="G305" s="15">
        <f>IFERROR(VLOOKUP(C305,REKAP[[#All],[ID]:[Stok Akhir]],8,FALSE),"")</f>
        <v>276000</v>
      </c>
      <c r="H305" s="11">
        <v>1</v>
      </c>
      <c r="I305" s="11" t="s">
        <v>3870</v>
      </c>
      <c r="J305" s="11" t="s">
        <v>3883</v>
      </c>
      <c r="K305" s="15">
        <f>IFERROR(MASUK8[[#This Row],[Harga Satuan]]*MASUK8[[#This Row],[Jumlah Keluar]], "")</f>
        <v>276000</v>
      </c>
      <c r="L305" s="11"/>
      <c r="M305" s="47">
        <f>IFERROR(VLOOKUP(C305,REKAP[[#All],[ID]:[Stok Akhir]],15,FALSE),"")</f>
        <v>2</v>
      </c>
    </row>
    <row r="306" spans="1:13" ht="16.5" thickTop="1" thickBot="1" x14ac:dyDescent="0.3">
      <c r="A306" s="27">
        <f t="shared" si="4"/>
        <v>300</v>
      </c>
      <c r="B306" s="7">
        <v>45377</v>
      </c>
      <c r="C306" s="8" t="s">
        <v>2598</v>
      </c>
      <c r="D306" s="16" t="str">
        <f>IFERROR(VLOOKUP(C306,REKAP[[#All],[ID]:[Stok Akhir]],2,FALSE), "")</f>
        <v>BNC Moldino (R0.5x10)</v>
      </c>
      <c r="E306" s="16" t="str">
        <f>IFERROR(VLOOKUP(C306,REKAP[[#All],[ID]:[Stok Akhir]],4,FALSE), "")</f>
        <v>EPDBE2010-10-ATH</v>
      </c>
      <c r="F306" s="16" t="str">
        <f>IFERROR(VLOOKUP(C306,REKAP[[#All],[ID]:[Stok Akhir]],6,FALSE),"")</f>
        <v>Tools</v>
      </c>
      <c r="G306" s="15">
        <f>IFERROR(VLOOKUP(C306,REKAP[[#All],[ID]:[Stok Akhir]],8,FALSE),"")</f>
        <v>423000</v>
      </c>
      <c r="H306" s="11">
        <v>1</v>
      </c>
      <c r="I306" s="11" t="s">
        <v>3870</v>
      </c>
      <c r="J306" s="11" t="s">
        <v>3883</v>
      </c>
      <c r="K306" s="15">
        <f>IFERROR(MASUK8[[#This Row],[Harga Satuan]]*MASUK8[[#This Row],[Jumlah Keluar]], "")</f>
        <v>423000</v>
      </c>
      <c r="L306" s="11"/>
      <c r="M306" s="47">
        <f>IFERROR(VLOOKUP(C306,REKAP[[#All],[ID]:[Stok Akhir]],15,FALSE),"")</f>
        <v>2</v>
      </c>
    </row>
    <row r="307" spans="1:13" ht="16.5" thickTop="1" thickBot="1" x14ac:dyDescent="0.3">
      <c r="A307" s="27">
        <f t="shared" si="4"/>
        <v>301</v>
      </c>
      <c r="B307" s="7">
        <v>45377</v>
      </c>
      <c r="C307" s="8" t="s">
        <v>788</v>
      </c>
      <c r="D307" s="16" t="str">
        <f>IFERROR(VLOOKUP(C307,REKAP[[#All],[ID]:[Stok Akhir]],2,FALSE), "")</f>
        <v>Sarung Tangan kain</v>
      </c>
      <c r="E307" s="16">
        <f>IFERROR(VLOOKUP(C307,REKAP[[#All],[ID]:[Stok Akhir]],4,FALSE), "")</f>
        <v>0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2000</v>
      </c>
      <c r="H307" s="11">
        <v>1</v>
      </c>
      <c r="I307" s="11" t="s">
        <v>3871</v>
      </c>
      <c r="J307" s="11" t="s">
        <v>3663</v>
      </c>
      <c r="K307" s="15">
        <f>IFERROR(MASUK8[[#This Row],[Harga Satuan]]*MASUK8[[#This Row],[Jumlah Keluar]], "")</f>
        <v>2000</v>
      </c>
      <c r="L307" s="11"/>
      <c r="M307" s="47">
        <f>IFERROR(VLOOKUP(C307,REKAP[[#All],[ID]:[Stok Akhir]],15,FALSE),"")</f>
        <v>0</v>
      </c>
    </row>
    <row r="308" spans="1:13" ht="16.5" thickTop="1" thickBot="1" x14ac:dyDescent="0.3">
      <c r="A308" s="27">
        <f t="shared" si="4"/>
        <v>302</v>
      </c>
      <c r="B308" s="7">
        <v>45377</v>
      </c>
      <c r="C308" s="8" t="s">
        <v>703</v>
      </c>
      <c r="D308" s="16" t="str">
        <f>IFERROR(VLOOKUP(C308,REKAP[[#All],[ID]:[Stok Akhir]],2,FALSE), "")</f>
        <v>Ampelas</v>
      </c>
      <c r="E308" s="16" t="str">
        <f>IFERROR(VLOOKUP(C308,REKAP[[#All],[ID]:[Stok Akhir]],4,FALSE), "")</f>
        <v>Grit 800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4000</v>
      </c>
      <c r="H308" s="11">
        <v>2</v>
      </c>
      <c r="I308" s="11" t="s">
        <v>3723</v>
      </c>
      <c r="J308" s="11" t="s">
        <v>3884</v>
      </c>
      <c r="K308" s="15">
        <f>IFERROR(MASUK8[[#This Row],[Harga Satuan]]*MASUK8[[#This Row],[Jumlah Keluar]], "")</f>
        <v>8000</v>
      </c>
      <c r="L308" s="11"/>
      <c r="M308" s="47">
        <f>IFERROR(VLOOKUP(C308,REKAP[[#All],[ID]:[Stok Akhir]],15,FALSE),"")</f>
        <v>0</v>
      </c>
    </row>
    <row r="309" spans="1:13" ht="16.5" thickTop="1" thickBot="1" x14ac:dyDescent="0.3">
      <c r="A309" s="27">
        <f t="shared" si="4"/>
        <v>303</v>
      </c>
      <c r="B309" s="7">
        <v>45377</v>
      </c>
      <c r="C309" s="8" t="s">
        <v>2601</v>
      </c>
      <c r="D309" s="16" t="str">
        <f>IFERROR(VLOOKUP(C309,REKAP[[#All],[ID]:[Stok Akhir]],2,FALSE), "")</f>
        <v>BNC Moldino (R1x12)</v>
      </c>
      <c r="E309" s="16" t="str">
        <f>IFERROR(VLOOKUP(C309,REKAP[[#All],[ID]:[Stok Akhir]],4,FALSE), "")</f>
        <v>EPDBE2020-12-ATH</v>
      </c>
      <c r="F309" s="16" t="str">
        <f>IFERROR(VLOOKUP(C309,REKAP[[#All],[ID]:[Stok Akhir]],6,FALSE),"")</f>
        <v>Tools</v>
      </c>
      <c r="G309" s="15">
        <f>IFERROR(VLOOKUP(C309,REKAP[[#All],[ID]:[Stok Akhir]],8,FALSE),"")</f>
        <v>423000</v>
      </c>
      <c r="H309" s="11">
        <v>1</v>
      </c>
      <c r="I309" s="11" t="s">
        <v>3860</v>
      </c>
      <c r="J309" s="11" t="s">
        <v>3885</v>
      </c>
      <c r="K309" s="15">
        <f>IFERROR(MASUK8[[#This Row],[Harga Satuan]]*MASUK8[[#This Row],[Jumlah Keluar]], "")</f>
        <v>423000</v>
      </c>
      <c r="L309" s="11"/>
      <c r="M309" s="47">
        <f>IFERROR(VLOOKUP(C309,REKAP[[#All],[ID]:[Stok Akhir]],15,FALSE),"")</f>
        <v>0</v>
      </c>
    </row>
    <row r="310" spans="1:13" ht="16.5" thickTop="1" thickBot="1" x14ac:dyDescent="0.3">
      <c r="A310" s="27">
        <f t="shared" si="4"/>
        <v>304</v>
      </c>
      <c r="B310" s="7">
        <v>45377</v>
      </c>
      <c r="C310" s="8" t="s">
        <v>799</v>
      </c>
      <c r="D310" s="16" t="str">
        <f>IFERROR(VLOOKUP(C310,REKAP[[#All],[ID]:[Stok Akhir]],2,FALSE), "")</f>
        <v>WD 40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90000</v>
      </c>
      <c r="H310" s="11">
        <v>1</v>
      </c>
      <c r="I310" s="11" t="s">
        <v>3665</v>
      </c>
      <c r="J310" s="11" t="s">
        <v>3881</v>
      </c>
      <c r="K310" s="15">
        <f>IFERROR(MASUK8[[#This Row],[Harga Satuan]]*MASUK8[[#This Row],[Jumlah Keluar]], "")</f>
        <v>90000</v>
      </c>
      <c r="L310" s="11"/>
      <c r="M310" s="47">
        <f>IFERROR(VLOOKUP(C310,REKAP[[#All],[ID]:[Stok Akhir]],15,FALSE),"")</f>
        <v>1</v>
      </c>
    </row>
    <row r="311" spans="1:13" ht="16.5" thickTop="1" thickBot="1" x14ac:dyDescent="0.3">
      <c r="A311" s="27">
        <f t="shared" si="4"/>
        <v>305</v>
      </c>
      <c r="B311" s="7">
        <v>45378</v>
      </c>
      <c r="C311" s="8" t="s">
        <v>788</v>
      </c>
      <c r="D311" s="16" t="str">
        <f>IFERROR(VLOOKUP(C311,REKAP[[#All],[ID]:[Stok Akhir]],2,FALSE), "")</f>
        <v>Sarung Tangan kain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2000</v>
      </c>
      <c r="H311" s="11">
        <v>1</v>
      </c>
      <c r="I311" s="11" t="s">
        <v>3872</v>
      </c>
      <c r="J311" s="11" t="s">
        <v>3663</v>
      </c>
      <c r="K311" s="15">
        <f>IFERROR(MASUK8[[#This Row],[Harga Satuan]]*MASUK8[[#This Row],[Jumlah Keluar]], "")</f>
        <v>2000</v>
      </c>
      <c r="L311" s="11"/>
      <c r="M311" s="47">
        <f>IFERROR(VLOOKUP(C311,REKAP[[#All],[ID]:[Stok Akhir]],15,FALSE),"")</f>
        <v>0</v>
      </c>
    </row>
    <row r="312" spans="1:13" ht="16.5" thickTop="1" thickBot="1" x14ac:dyDescent="0.3">
      <c r="A312" s="27">
        <f t="shared" si="4"/>
        <v>306</v>
      </c>
      <c r="B312" s="7">
        <v>45378</v>
      </c>
      <c r="C312" s="8" t="s">
        <v>743</v>
      </c>
      <c r="D312" s="16" t="str">
        <f>IFERROR(VLOOKUP(C312,REKAP[[#All],[ID]:[Stok Akhir]],2,FALSE), "")</f>
        <v>Gerinda Potong 4" 1X25"</v>
      </c>
      <c r="E312" s="16" t="str">
        <f>IFERROR(VLOOKUP(C312,REKAP[[#All],[ID]:[Stok Akhir]],4,FALSE), "")</f>
        <v>4x1,25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4000</v>
      </c>
      <c r="H312" s="11">
        <v>1</v>
      </c>
      <c r="I312" s="11" t="s">
        <v>3691</v>
      </c>
      <c r="J312" s="11" t="s">
        <v>3879</v>
      </c>
      <c r="K312" s="15">
        <f>IFERROR(MASUK8[[#This Row],[Harga Satuan]]*MASUK8[[#This Row],[Jumlah Keluar]], "")</f>
        <v>4000</v>
      </c>
      <c r="L312" s="11"/>
      <c r="M312" s="47">
        <f>IFERROR(VLOOKUP(C312,REKAP[[#All],[ID]:[Stok Akhir]],15,FALSE),"")</f>
        <v>3</v>
      </c>
    </row>
    <row r="313" spans="1:13" ht="16.5" thickTop="1" thickBot="1" x14ac:dyDescent="0.3">
      <c r="A313" s="27">
        <f t="shared" si="4"/>
        <v>307</v>
      </c>
      <c r="B313" s="7">
        <v>45378</v>
      </c>
      <c r="C313" s="8" t="s">
        <v>733</v>
      </c>
      <c r="D313" s="16" t="str">
        <f>IFERROR(VLOOKUP(C313,REKAP[[#All],[ID]:[Stok Akhir]],2,FALSE), "")</f>
        <v>Gergaji  Besi mesin</v>
      </c>
      <c r="E313" s="16" t="str">
        <f>IFERROR(VLOOKUP(C313,REKAP[[#All],[ID]:[Stok Akhir]],4,FALSE), "")</f>
        <v>BSB BI-MTL A8 2363mmx19mmx5/8T</v>
      </c>
      <c r="F313" s="16" t="str">
        <f>IFERROR(VLOOKUP(C313,REKAP[[#All],[ID]:[Stok Akhir]],6,FALSE),"")</f>
        <v>Bahan Pembantu</v>
      </c>
      <c r="G313" s="15">
        <f>IFERROR(VLOOKUP(C313,REKAP[[#All],[ID]:[Stok Akhir]],8,FALSE),"")</f>
        <v>450000</v>
      </c>
      <c r="H313" s="11">
        <v>1</v>
      </c>
      <c r="I313" s="11" t="s">
        <v>3825</v>
      </c>
      <c r="J313" s="11" t="s">
        <v>3886</v>
      </c>
      <c r="K313" s="15">
        <f>IFERROR(MASUK8[[#This Row],[Harga Satuan]]*MASUK8[[#This Row],[Jumlah Keluar]], "")</f>
        <v>450000</v>
      </c>
      <c r="L313" s="11"/>
      <c r="M313" s="47">
        <f>IFERROR(VLOOKUP(C313,REKAP[[#All],[ID]:[Stok Akhir]],15,FALSE),"")</f>
        <v>2</v>
      </c>
    </row>
    <row r="314" spans="1:13" ht="16.5" thickTop="1" thickBot="1" x14ac:dyDescent="0.3">
      <c r="A314" s="27">
        <f t="shared" si="4"/>
        <v>308</v>
      </c>
      <c r="B314" s="7">
        <v>45378</v>
      </c>
      <c r="C314" s="8" t="s">
        <v>769</v>
      </c>
      <c r="D314" s="16" t="str">
        <f>IFERROR(VLOOKUP(C314,REKAP[[#All],[ID]:[Stok Akhir]],2,FALSE), "")</f>
        <v>Masker Safety (Polytron)</v>
      </c>
      <c r="E314" s="16">
        <f>IFERROR(VLOOKUP(C314,REKAP[[#All],[ID]:[Stok Akhir]],4,FALSE), "")</f>
        <v>0</v>
      </c>
      <c r="F314" s="16" t="str">
        <f>IFERROR(VLOOKUP(C314,REKAP[[#All],[ID]:[Stok Akhir]],6,FALSE),"")</f>
        <v>Bahan Pembantu</v>
      </c>
      <c r="G314" s="15">
        <f>IFERROR(VLOOKUP(C314,REKAP[[#All],[ID]:[Stok Akhir]],8,FALSE),"")</f>
        <v>1455</v>
      </c>
      <c r="H314" s="11">
        <v>1</v>
      </c>
      <c r="I314" s="11" t="s">
        <v>3665</v>
      </c>
      <c r="J314" s="11" t="s">
        <v>3663</v>
      </c>
      <c r="K314" s="15">
        <f>IFERROR(MASUK8[[#This Row],[Harga Satuan]]*MASUK8[[#This Row],[Jumlah Keluar]], "")</f>
        <v>1455</v>
      </c>
      <c r="L314" s="11"/>
      <c r="M314" s="47">
        <f>IFERROR(VLOOKUP(C314,REKAP[[#All],[ID]:[Stok Akhir]],15,FALSE),"")</f>
        <v>143</v>
      </c>
    </row>
    <row r="315" spans="1:13" ht="16.5" thickTop="1" thickBot="1" x14ac:dyDescent="0.3">
      <c r="A315" s="27">
        <f t="shared" si="4"/>
        <v>309</v>
      </c>
      <c r="B315" s="7">
        <v>45378</v>
      </c>
      <c r="C315" s="8" t="s">
        <v>800</v>
      </c>
      <c r="D315" s="16" t="str">
        <f>IFERROR(VLOOKUP(C315,REKAP[[#All],[ID]:[Stok Akhir]],2,FALSE), "")</f>
        <v>WIRE EDM FILTER-TW-43F</v>
      </c>
      <c r="E315" s="16">
        <f>IFERROR(VLOOKUP(C315,REKAP[[#All],[ID]:[Stok Akhir]],4,FALSE), "")</f>
        <v>0</v>
      </c>
      <c r="F315" s="16" t="str">
        <f>IFERROR(VLOOKUP(C315,REKAP[[#All],[ID]:[Stok Akhir]],6,FALSE),"")</f>
        <v>Bahan Pembantu</v>
      </c>
      <c r="G315" s="15">
        <f>IFERROR(VLOOKUP(C315,REKAP[[#All],[ID]:[Stok Akhir]],8,FALSE),"")</f>
        <v>750000</v>
      </c>
      <c r="H315" s="11">
        <v>2</v>
      </c>
      <c r="I315" s="11" t="s">
        <v>3716</v>
      </c>
      <c r="J315" s="11" t="s">
        <v>3887</v>
      </c>
      <c r="K315" s="15">
        <f>IFERROR(MASUK8[[#This Row],[Harga Satuan]]*MASUK8[[#This Row],[Jumlah Keluar]], "")</f>
        <v>1500000</v>
      </c>
      <c r="L315" s="11"/>
      <c r="M315" s="47">
        <f>IFERROR(VLOOKUP(C315,REKAP[[#All],[ID]:[Stok Akhir]],15,FALSE),"")</f>
        <v>2</v>
      </c>
    </row>
    <row r="316" spans="1:13" ht="16.5" thickTop="1" thickBot="1" x14ac:dyDescent="0.3">
      <c r="A316" s="27">
        <f t="shared" si="4"/>
        <v>310</v>
      </c>
      <c r="B316" s="7">
        <v>45378</v>
      </c>
      <c r="C316" s="8" t="s">
        <v>769</v>
      </c>
      <c r="D316" s="16" t="str">
        <f>IFERROR(VLOOKUP(C316,REKAP[[#All],[ID]:[Stok Akhir]],2,FALSE), "")</f>
        <v>Masker Safety (Polytron)</v>
      </c>
      <c r="E316" s="16">
        <f>IFERROR(VLOOKUP(C316,REKAP[[#All],[ID]:[Stok Akhir]],4,FALSE), "")</f>
        <v>0</v>
      </c>
      <c r="F316" s="16" t="str">
        <f>IFERROR(VLOOKUP(C316,REKAP[[#All],[ID]:[Stok Akhir]],6,FALSE),"")</f>
        <v>Bahan Pembantu</v>
      </c>
      <c r="G316" s="15">
        <f>IFERROR(VLOOKUP(C316,REKAP[[#All],[ID]:[Stok Akhir]],8,FALSE),"")</f>
        <v>1455</v>
      </c>
      <c r="H316" s="11">
        <v>1</v>
      </c>
      <c r="I316" s="11" t="s">
        <v>3716</v>
      </c>
      <c r="J316" s="11" t="s">
        <v>3663</v>
      </c>
      <c r="K316" s="15">
        <f>IFERROR(MASUK8[[#This Row],[Harga Satuan]]*MASUK8[[#This Row],[Jumlah Keluar]], "")</f>
        <v>1455</v>
      </c>
      <c r="L316" s="11"/>
      <c r="M316" s="47">
        <f>IFERROR(VLOOKUP(C316,REKAP[[#All],[ID]:[Stok Akhir]],15,FALSE),"")</f>
        <v>143</v>
      </c>
    </row>
    <row r="317" spans="1:13" ht="16.5" thickTop="1" thickBot="1" x14ac:dyDescent="0.3">
      <c r="A317" s="27">
        <f t="shared" si="4"/>
        <v>311</v>
      </c>
      <c r="B317" s="7">
        <v>45378</v>
      </c>
      <c r="C317" s="8" t="s">
        <v>769</v>
      </c>
      <c r="D317" s="16" t="str">
        <f>IFERROR(VLOOKUP(C317,REKAP[[#All],[ID]:[Stok Akhir]],2,FALSE), "")</f>
        <v>Masker Safety (Polytron)</v>
      </c>
      <c r="E317" s="16">
        <f>IFERROR(VLOOKUP(C317,REKAP[[#All],[ID]:[Stok Akhir]],4,FALSE), "")</f>
        <v>0</v>
      </c>
      <c r="F317" s="16" t="str">
        <f>IFERROR(VLOOKUP(C317,REKAP[[#All],[ID]:[Stok Akhir]],6,FALSE),"")</f>
        <v>Bahan Pembantu</v>
      </c>
      <c r="G317" s="15">
        <f>IFERROR(VLOOKUP(C317,REKAP[[#All],[ID]:[Stok Akhir]],8,FALSE),"")</f>
        <v>1455</v>
      </c>
      <c r="H317" s="11">
        <v>1</v>
      </c>
      <c r="I317" s="11" t="s">
        <v>3873</v>
      </c>
      <c r="J317" s="11" t="s">
        <v>3663</v>
      </c>
      <c r="K317" s="15">
        <f>IFERROR(MASUK8[[#This Row],[Harga Satuan]]*MASUK8[[#This Row],[Jumlah Keluar]], "")</f>
        <v>1455</v>
      </c>
      <c r="L317" s="11"/>
      <c r="M317" s="47">
        <f>IFERROR(VLOOKUP(C317,REKAP[[#All],[ID]:[Stok Akhir]],15,FALSE),"")</f>
        <v>143</v>
      </c>
    </row>
    <row r="318" spans="1:13" ht="16.5" thickTop="1" thickBot="1" x14ac:dyDescent="0.3">
      <c r="A318" s="27">
        <f t="shared" si="4"/>
        <v>312</v>
      </c>
      <c r="B318" s="7">
        <v>45379</v>
      </c>
      <c r="C318" s="8" t="s">
        <v>460</v>
      </c>
      <c r="D318" s="16" t="str">
        <f>IFERROR(VLOOKUP(C318,REKAP[[#All],[ID]:[Stok Akhir]],2,FALSE), "")</f>
        <v>Baut JFL</v>
      </c>
      <c r="E318" s="16" t="str">
        <f>IFERROR(VLOOKUP(C318,REKAP[[#All],[ID]:[Stok Akhir]],4,FALSE), "")</f>
        <v>M 5 X 35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280</v>
      </c>
      <c r="H318" s="11">
        <v>2</v>
      </c>
      <c r="I318" s="11" t="s">
        <v>3825</v>
      </c>
      <c r="J318" s="11" t="s">
        <v>3888</v>
      </c>
      <c r="K318" s="15">
        <f>IFERROR(MASUK8[[#This Row],[Harga Satuan]]*MASUK8[[#This Row],[Jumlah Keluar]], "")</f>
        <v>560</v>
      </c>
      <c r="L318" s="11"/>
      <c r="M318" s="47">
        <f>IFERROR(VLOOKUP(C318,REKAP[[#All],[ID]:[Stok Akhir]],15,FALSE),"")</f>
        <v>4</v>
      </c>
    </row>
    <row r="319" spans="1:13" ht="16.5" thickTop="1" thickBot="1" x14ac:dyDescent="0.3">
      <c r="A319" s="27">
        <f t="shared" si="4"/>
        <v>313</v>
      </c>
      <c r="B319" s="7">
        <v>45379</v>
      </c>
      <c r="C319" s="8" t="s">
        <v>588</v>
      </c>
      <c r="D319" s="16" t="str">
        <f>IFERROR(VLOOKUP(C319,REKAP[[#All],[ID]:[Stok Akhir]],2,FALSE), "")</f>
        <v>Mur</v>
      </c>
      <c r="E319" s="16" t="str">
        <f>IFERROR(VLOOKUP(C319,REKAP[[#All],[ID]:[Stok Akhir]],4,FALSE), "")</f>
        <v>M6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100</v>
      </c>
      <c r="H319" s="11">
        <v>1</v>
      </c>
      <c r="I319" s="11" t="s">
        <v>3825</v>
      </c>
      <c r="J319" s="11" t="s">
        <v>3888</v>
      </c>
      <c r="K319" s="15">
        <f>IFERROR(MASUK8[[#This Row],[Harga Satuan]]*MASUK8[[#This Row],[Jumlah Keluar]], "")</f>
        <v>100</v>
      </c>
      <c r="L319" s="11"/>
      <c r="M319" s="47">
        <f>IFERROR(VLOOKUP(C319,REKAP[[#All],[ID]:[Stok Akhir]],15,FALSE),"")</f>
        <v>26</v>
      </c>
    </row>
    <row r="320" spans="1:13" ht="16.5" thickTop="1" thickBot="1" x14ac:dyDescent="0.3">
      <c r="A320" s="27">
        <f t="shared" si="4"/>
        <v>314</v>
      </c>
      <c r="B320" s="7">
        <v>45379</v>
      </c>
      <c r="C320" s="8" t="s">
        <v>957</v>
      </c>
      <c r="D320" s="16" t="str">
        <f>IFERROR(VLOOKUP(C320,REKAP[[#All],[ID]:[Stok Akhir]],2,FALSE), "")</f>
        <v>Dowel Pin</v>
      </c>
      <c r="E320" s="16" t="str">
        <f>IFERROR(VLOOKUP(C320,REKAP[[#All],[ID]:[Stok Akhir]],4,FALSE), "")</f>
        <v>DPND-6-15</v>
      </c>
      <c r="F320" s="16" t="str">
        <f>IFERROR(VLOOKUP(C320,REKAP[[#All],[ID]:[Stok Akhir]],6,FALSE),"")</f>
        <v>Accessories Mold</v>
      </c>
      <c r="G320" s="15">
        <f>IFERROR(VLOOKUP(C320,REKAP[[#All],[ID]:[Stok Akhir]],8,FALSE),"")</f>
        <v>2879</v>
      </c>
      <c r="H320" s="11">
        <v>16</v>
      </c>
      <c r="I320" s="11" t="s">
        <v>3825</v>
      </c>
      <c r="J320" s="11" t="s">
        <v>3889</v>
      </c>
      <c r="K320" s="15">
        <f>IFERROR(MASUK8[[#This Row],[Harga Satuan]]*MASUK8[[#This Row],[Jumlah Keluar]], "")</f>
        <v>46064</v>
      </c>
      <c r="L320" s="11"/>
      <c r="M320" s="47">
        <f>IFERROR(VLOOKUP(C320,REKAP[[#All],[ID]:[Stok Akhir]],15,FALSE),"")</f>
        <v>3</v>
      </c>
    </row>
    <row r="321" spans="1:13" ht="16.5" thickTop="1" thickBot="1" x14ac:dyDescent="0.3">
      <c r="A321" s="27">
        <f t="shared" si="4"/>
        <v>315</v>
      </c>
      <c r="B321" s="7">
        <v>45379</v>
      </c>
      <c r="C321" s="8" t="s">
        <v>984</v>
      </c>
      <c r="D321" s="16" t="str">
        <f>IFERROR(VLOOKUP(C321,REKAP[[#All],[ID]:[Stok Akhir]],2,FALSE), "")</f>
        <v>Dowel Pin</v>
      </c>
      <c r="E321" s="16" t="str">
        <f>IFERROR(VLOOKUP(C321,REKAP[[#All],[ID]:[Stok Akhir]],4,FALSE), "")</f>
        <v>DPTM / MSTP-8-15</v>
      </c>
      <c r="F321" s="16" t="str">
        <f>IFERROR(VLOOKUP(C321,REKAP[[#All],[ID]:[Stok Akhir]],6,FALSE),"")</f>
        <v>Accessories Mold</v>
      </c>
      <c r="G321" s="15">
        <f>IFERROR(VLOOKUP(C321,REKAP[[#All],[ID]:[Stok Akhir]],8,FALSE),"")</f>
        <v>8622</v>
      </c>
      <c r="H321" s="11">
        <v>8</v>
      </c>
      <c r="I321" s="11" t="s">
        <v>3825</v>
      </c>
      <c r="J321" s="11" t="s">
        <v>3889</v>
      </c>
      <c r="K321" s="15">
        <f>IFERROR(MASUK8[[#This Row],[Harga Satuan]]*MASUK8[[#This Row],[Jumlah Keluar]], "")</f>
        <v>68976</v>
      </c>
      <c r="L321" s="11"/>
      <c r="M321" s="47">
        <f>IFERROR(VLOOKUP(C321,REKAP[[#All],[ID]:[Stok Akhir]],15,FALSE),"")</f>
        <v>1</v>
      </c>
    </row>
    <row r="322" spans="1:13" ht="16.5" thickTop="1" thickBot="1" x14ac:dyDescent="0.3">
      <c r="A322" s="27">
        <f t="shared" si="4"/>
        <v>316</v>
      </c>
      <c r="B322" s="7">
        <v>45379</v>
      </c>
      <c r="C322" s="8" t="s">
        <v>511</v>
      </c>
      <c r="D322" s="16" t="str">
        <f>IFERROR(VLOOKUP(C322,REKAP[[#All],[ID]:[Stok Akhir]],2,FALSE), "")</f>
        <v>Baut Tanam</v>
      </c>
      <c r="E322" s="16" t="str">
        <f>IFERROR(VLOOKUP(C322,REKAP[[#All],[ID]:[Stok Akhir]],4,FALSE), "")</f>
        <v xml:space="preserve">M 6 X 5 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600</v>
      </c>
      <c r="H322" s="11">
        <v>2</v>
      </c>
      <c r="I322" s="11" t="s">
        <v>3825</v>
      </c>
      <c r="J322" s="11" t="s">
        <v>3889</v>
      </c>
      <c r="K322" s="15">
        <f>IFERROR(MASUK8[[#This Row],[Harga Satuan]]*MASUK8[[#This Row],[Jumlah Keluar]], "")</f>
        <v>1200</v>
      </c>
      <c r="L322" s="11"/>
      <c r="M322" s="47">
        <f>IFERROR(VLOOKUP(C322,REKAP[[#All],[ID]:[Stok Akhir]],15,FALSE),"")</f>
        <v>20</v>
      </c>
    </row>
    <row r="323" spans="1:13" ht="16.5" thickTop="1" thickBot="1" x14ac:dyDescent="0.3">
      <c r="A323" s="27">
        <f t="shared" si="4"/>
        <v>317</v>
      </c>
      <c r="B323" s="7">
        <v>45379</v>
      </c>
      <c r="C323" s="8" t="s">
        <v>286</v>
      </c>
      <c r="D323" s="16" t="str">
        <f>IFERROR(VLOOKUP(C323,REKAP[[#All],[ID]:[Stok Akhir]],2,FALSE), "")</f>
        <v>Baut LPK</v>
      </c>
      <c r="E323" s="16" t="str">
        <f>IFERROR(VLOOKUP(C323,REKAP[[#All],[ID]:[Stok Akhir]],4,FALSE), "")</f>
        <v>M 6 X 15/16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600</v>
      </c>
      <c r="H323" s="11">
        <v>20</v>
      </c>
      <c r="I323" s="11" t="s">
        <v>3825</v>
      </c>
      <c r="J323" s="11" t="s">
        <v>3889</v>
      </c>
      <c r="K323" s="15">
        <f>IFERROR(MASUK8[[#This Row],[Harga Satuan]]*MASUK8[[#This Row],[Jumlah Keluar]], "")</f>
        <v>12000</v>
      </c>
      <c r="L323" s="11"/>
      <c r="M323" s="47">
        <f>IFERROR(VLOOKUP(C323,REKAP[[#All],[ID]:[Stok Akhir]],15,FALSE),"")</f>
        <v>61</v>
      </c>
    </row>
    <row r="324" spans="1:13" ht="16.5" thickTop="1" thickBot="1" x14ac:dyDescent="0.3">
      <c r="A324" s="27">
        <f t="shared" si="4"/>
        <v>318</v>
      </c>
      <c r="B324" s="7">
        <v>45379</v>
      </c>
      <c r="C324" s="8" t="s">
        <v>308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 xml:space="preserve">M 8 X 20 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1300</v>
      </c>
      <c r="H324" s="11">
        <v>24</v>
      </c>
      <c r="I324" s="11" t="s">
        <v>3825</v>
      </c>
      <c r="J324" s="11" t="s">
        <v>3889</v>
      </c>
      <c r="K324" s="15">
        <f>IFERROR(MASUK8[[#This Row],[Harga Satuan]]*MASUK8[[#This Row],[Jumlah Keluar]], "")</f>
        <v>31200</v>
      </c>
      <c r="L324" s="11"/>
      <c r="M324" s="47">
        <f>IFERROR(VLOOKUP(C324,REKAP[[#All],[ID]:[Stok Akhir]],15,FALSE),"")</f>
        <v>53</v>
      </c>
    </row>
    <row r="325" spans="1:13" ht="16.5" thickTop="1" thickBot="1" x14ac:dyDescent="0.3">
      <c r="A325" s="27">
        <f t="shared" si="4"/>
        <v>319</v>
      </c>
      <c r="B325" s="7">
        <v>45379</v>
      </c>
      <c r="C325" s="8" t="s">
        <v>334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>M 10 X 40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3000</v>
      </c>
      <c r="H325" s="11">
        <v>12</v>
      </c>
      <c r="I325" s="11" t="s">
        <v>3825</v>
      </c>
      <c r="J325" s="11" t="s">
        <v>3845</v>
      </c>
      <c r="K325" s="15">
        <f>IFERROR(MASUK8[[#This Row],[Harga Satuan]]*MASUK8[[#This Row],[Jumlah Keluar]], "")</f>
        <v>36000</v>
      </c>
      <c r="L325" s="11"/>
      <c r="M325" s="47">
        <f>IFERROR(VLOOKUP(C325,REKAP[[#All],[ID]:[Stok Akhir]],15,FALSE),"")</f>
        <v>21</v>
      </c>
    </row>
    <row r="326" spans="1:13" ht="16.5" thickTop="1" thickBot="1" x14ac:dyDescent="0.3">
      <c r="A326" s="27">
        <f t="shared" si="4"/>
        <v>320</v>
      </c>
      <c r="B326" s="7">
        <v>45379</v>
      </c>
      <c r="C326" s="8" t="s">
        <v>310</v>
      </c>
      <c r="D326" s="16" t="str">
        <f>IFERROR(VLOOKUP(C326,REKAP[[#All],[ID]:[Stok Akhir]],2,FALSE), "")</f>
        <v>Baut LPK</v>
      </c>
      <c r="E326" s="16" t="str">
        <f>IFERROR(VLOOKUP(C326,REKAP[[#All],[ID]:[Stok Akhir]],4,FALSE), "")</f>
        <v>M 8 X 30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2000</v>
      </c>
      <c r="H326" s="11">
        <v>24</v>
      </c>
      <c r="I326" s="11" t="s">
        <v>3825</v>
      </c>
      <c r="J326" s="11" t="s">
        <v>3845</v>
      </c>
      <c r="K326" s="15">
        <f>IFERROR(MASUK8[[#This Row],[Harga Satuan]]*MASUK8[[#This Row],[Jumlah Keluar]], "")</f>
        <v>48000</v>
      </c>
      <c r="L326" s="11"/>
      <c r="M326" s="47">
        <f>IFERROR(VLOOKUP(C326,REKAP[[#All],[ID]:[Stok Akhir]],15,FALSE),"")</f>
        <v>15</v>
      </c>
    </row>
    <row r="327" spans="1:13" ht="16.5" thickTop="1" thickBot="1" x14ac:dyDescent="0.3">
      <c r="A327" s="27">
        <f t="shared" ref="A327:A390" si="5">ROW()-ROW($A$6)</f>
        <v>321</v>
      </c>
      <c r="B327" s="7">
        <v>45379</v>
      </c>
      <c r="C327" s="8" t="s">
        <v>265</v>
      </c>
      <c r="D327" s="16" t="str">
        <f>IFERROR(VLOOKUP(C327,REKAP[[#All],[ID]:[Stok Akhir]],2,FALSE), "")</f>
        <v>Baut LPK</v>
      </c>
      <c r="E327" s="16" t="str">
        <f>IFERROR(VLOOKUP(C327,REKAP[[#All],[ID]:[Stok Akhir]],4,FALSE), "")</f>
        <v>M 5 X 10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450</v>
      </c>
      <c r="H327" s="11">
        <v>48</v>
      </c>
      <c r="I327" s="11" t="s">
        <v>3825</v>
      </c>
      <c r="J327" s="11" t="s">
        <v>3845</v>
      </c>
      <c r="K327" s="15">
        <f>IFERROR(MASUK8[[#This Row],[Harga Satuan]]*MASUK8[[#This Row],[Jumlah Keluar]], "")</f>
        <v>21600</v>
      </c>
      <c r="L327" s="11"/>
      <c r="M327" s="47">
        <f>IFERROR(VLOOKUP(C327,REKAP[[#All],[ID]:[Stok Akhir]],15,FALSE),"")</f>
        <v>22</v>
      </c>
    </row>
    <row r="328" spans="1:13" ht="16.5" thickTop="1" thickBot="1" x14ac:dyDescent="0.3">
      <c r="A328" s="27">
        <f t="shared" si="5"/>
        <v>322</v>
      </c>
      <c r="B328" s="7">
        <v>45379</v>
      </c>
      <c r="C328" s="8" t="s">
        <v>593</v>
      </c>
      <c r="D328" s="16" t="str">
        <f>IFERROR(VLOOKUP(C328,REKAP[[#All],[ID]:[Stok Akhir]],2,FALSE), "")</f>
        <v>Mur</v>
      </c>
      <c r="E328" s="16" t="str">
        <f>IFERROR(VLOOKUP(C328,REKAP[[#All],[ID]:[Stok Akhir]],4,FALSE), "")</f>
        <v>M10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700</v>
      </c>
      <c r="H328" s="11">
        <v>12</v>
      </c>
      <c r="I328" s="11" t="s">
        <v>3825</v>
      </c>
      <c r="J328" s="11" t="s">
        <v>3845</v>
      </c>
      <c r="K328" s="15">
        <f>IFERROR(MASUK8[[#This Row],[Harga Satuan]]*MASUK8[[#This Row],[Jumlah Keluar]], "")</f>
        <v>8400</v>
      </c>
      <c r="L328" s="11"/>
      <c r="M328" s="47">
        <f>IFERROR(VLOOKUP(C328,REKAP[[#All],[ID]:[Stok Akhir]],15,FALSE),"")</f>
        <v>21</v>
      </c>
    </row>
    <row r="329" spans="1:13" ht="16.5" thickTop="1" thickBot="1" x14ac:dyDescent="0.3">
      <c r="A329" s="27">
        <f t="shared" si="5"/>
        <v>323</v>
      </c>
      <c r="B329" s="7">
        <v>45379</v>
      </c>
      <c r="C329" s="8" t="s">
        <v>290</v>
      </c>
      <c r="D329" s="16" t="str">
        <f>IFERROR(VLOOKUP(C329,REKAP[[#All],[ID]:[Stok Akhir]],2,FALSE), "")</f>
        <v>Baut LPK</v>
      </c>
      <c r="E329" s="16" t="str">
        <f>IFERROR(VLOOKUP(C329,REKAP[[#All],[ID]:[Stok Akhir]],4,FALSE), "")</f>
        <v>M 6 X 35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850</v>
      </c>
      <c r="H329" s="11">
        <v>6</v>
      </c>
      <c r="I329" s="11" t="s">
        <v>3825</v>
      </c>
      <c r="J329" s="11" t="s">
        <v>3845</v>
      </c>
      <c r="K329" s="15">
        <f>IFERROR(MASUK8[[#This Row],[Harga Satuan]]*MASUK8[[#This Row],[Jumlah Keluar]], "")</f>
        <v>5100</v>
      </c>
      <c r="L329" s="11"/>
      <c r="M329" s="47">
        <f>IFERROR(VLOOKUP(C329,REKAP[[#All],[ID]:[Stok Akhir]],15,FALSE),"")</f>
        <v>40</v>
      </c>
    </row>
    <row r="330" spans="1:13" ht="16.5" thickTop="1" thickBot="1" x14ac:dyDescent="0.3">
      <c r="A330" s="27">
        <f t="shared" si="5"/>
        <v>324</v>
      </c>
      <c r="B330" s="7">
        <v>45379</v>
      </c>
      <c r="C330" s="8" t="s">
        <v>308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 xml:space="preserve">M 8 X 20 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1300</v>
      </c>
      <c r="H330" s="11">
        <v>56</v>
      </c>
      <c r="I330" s="11" t="s">
        <v>3825</v>
      </c>
      <c r="J330" s="11" t="s">
        <v>3845</v>
      </c>
      <c r="K330" s="15">
        <f>IFERROR(MASUK8[[#This Row],[Harga Satuan]]*MASUK8[[#This Row],[Jumlah Keluar]], "")</f>
        <v>72800</v>
      </c>
      <c r="L330" s="11"/>
      <c r="M330" s="47">
        <f>IFERROR(VLOOKUP(C330,REKAP[[#All],[ID]:[Stok Akhir]],15,FALSE),"")</f>
        <v>53</v>
      </c>
    </row>
    <row r="331" spans="1:13" ht="16.5" thickTop="1" thickBot="1" x14ac:dyDescent="0.3">
      <c r="A331" s="27">
        <f t="shared" si="5"/>
        <v>325</v>
      </c>
      <c r="B331" s="7">
        <v>45379</v>
      </c>
      <c r="C331" s="8" t="s">
        <v>514</v>
      </c>
      <c r="D331" s="16" t="str">
        <f>IFERROR(VLOOKUP(C331,REKAP[[#All],[ID]:[Stok Akhir]],2,FALSE), "")</f>
        <v>Baut Tanam</v>
      </c>
      <c r="E331" s="16" t="str">
        <f>IFERROR(VLOOKUP(C331,REKAP[[#All],[ID]:[Stok Akhir]],4,FALSE), "")</f>
        <v>M 6 X 12</v>
      </c>
      <c r="F331" s="16" t="str">
        <f>IFERROR(VLOOKUP(C331,REKAP[[#All],[ID]:[Stok Akhir]],6,FALSE),"")</f>
        <v>Mur &amp; Baut</v>
      </c>
      <c r="G331" s="15">
        <f>IFERROR(VLOOKUP(C331,REKAP[[#All],[ID]:[Stok Akhir]],8,FALSE),"")</f>
        <v>0</v>
      </c>
      <c r="H331" s="11">
        <v>6</v>
      </c>
      <c r="I331" s="11" t="s">
        <v>3825</v>
      </c>
      <c r="J331" s="11" t="s">
        <v>3845</v>
      </c>
      <c r="K331" s="15">
        <f>IFERROR(MASUK8[[#This Row],[Harga Satuan]]*MASUK8[[#This Row],[Jumlah Keluar]], "")</f>
        <v>0</v>
      </c>
      <c r="L331" s="11"/>
      <c r="M331" s="47">
        <f>IFERROR(VLOOKUP(C331,REKAP[[#All],[ID]:[Stok Akhir]],15,FALSE),"")</f>
        <v>9</v>
      </c>
    </row>
    <row r="332" spans="1:13" ht="16.5" thickTop="1" thickBot="1" x14ac:dyDescent="0.3">
      <c r="A332" s="27">
        <f t="shared" si="5"/>
        <v>326</v>
      </c>
      <c r="B332" s="7">
        <v>45379</v>
      </c>
      <c r="C332" s="8" t="s">
        <v>524</v>
      </c>
      <c r="D332" s="16" t="str">
        <f>IFERROR(VLOOKUP(C332,REKAP[[#All],[ID]:[Stok Akhir]],2,FALSE), "")</f>
        <v>Baut Tanam</v>
      </c>
      <c r="E332" s="16" t="str">
        <f>IFERROR(VLOOKUP(C332,REKAP[[#All],[ID]:[Stok Akhir]],4,FALSE), "")</f>
        <v>M 10 x 30</v>
      </c>
      <c r="F332" s="16" t="str">
        <f>IFERROR(VLOOKUP(C332,REKAP[[#All],[ID]:[Stok Akhir]],6,FALSE),"")</f>
        <v>Mur &amp; Baut</v>
      </c>
      <c r="G332" s="15">
        <f>IFERROR(VLOOKUP(C332,REKAP[[#All],[ID]:[Stok Akhir]],8,FALSE),"")</f>
        <v>2500</v>
      </c>
      <c r="H332" s="11">
        <v>6</v>
      </c>
      <c r="I332" s="11" t="s">
        <v>3825</v>
      </c>
      <c r="J332" s="11" t="s">
        <v>3845</v>
      </c>
      <c r="K332" s="15">
        <f>IFERROR(MASUK8[[#This Row],[Harga Satuan]]*MASUK8[[#This Row],[Jumlah Keluar]], "")</f>
        <v>15000</v>
      </c>
      <c r="L332" s="11"/>
      <c r="M332" s="47">
        <f>IFERROR(VLOOKUP(C332,REKAP[[#All],[ID]:[Stok Akhir]],15,FALSE),"")</f>
        <v>13</v>
      </c>
    </row>
    <row r="333" spans="1:13" ht="16.5" thickTop="1" thickBot="1" x14ac:dyDescent="0.3">
      <c r="A333" s="27">
        <f t="shared" si="5"/>
        <v>327</v>
      </c>
      <c r="B333" s="7">
        <v>45379</v>
      </c>
      <c r="C333" s="8" t="s">
        <v>333</v>
      </c>
      <c r="D333" s="16" t="str">
        <f>IFERROR(VLOOKUP(C333,REKAP[[#All],[ID]:[Stok Akhir]],2,FALSE), "")</f>
        <v>Baut LPK</v>
      </c>
      <c r="E333" s="16" t="str">
        <f>IFERROR(VLOOKUP(C333,REKAP[[#All],[ID]:[Stok Akhir]],4,FALSE), "")</f>
        <v>M 10 X 35</v>
      </c>
      <c r="F333" s="16" t="str">
        <f>IFERROR(VLOOKUP(C333,REKAP[[#All],[ID]:[Stok Akhir]],6,FALSE),"")</f>
        <v>Mur &amp; Baut</v>
      </c>
      <c r="G333" s="15">
        <f>IFERROR(VLOOKUP(C333,REKAP[[#All],[ID]:[Stok Akhir]],8,FALSE),"")</f>
        <v>2500</v>
      </c>
      <c r="H333" s="11">
        <v>32</v>
      </c>
      <c r="I333" s="11" t="s">
        <v>3825</v>
      </c>
      <c r="J333" s="11" t="s">
        <v>3845</v>
      </c>
      <c r="K333" s="15">
        <f>IFERROR(MASUK8[[#This Row],[Harga Satuan]]*MASUK8[[#This Row],[Jumlah Keluar]], "")</f>
        <v>80000</v>
      </c>
      <c r="L333" s="11"/>
      <c r="M333" s="47">
        <f>IFERROR(VLOOKUP(C333,REKAP[[#All],[ID]:[Stok Akhir]],15,FALSE),"")</f>
        <v>16</v>
      </c>
    </row>
    <row r="334" spans="1:13" ht="16.5" thickTop="1" thickBot="1" x14ac:dyDescent="0.3">
      <c r="A334" s="27">
        <f t="shared" si="5"/>
        <v>328</v>
      </c>
      <c r="B334" s="7">
        <v>45379</v>
      </c>
      <c r="C334" s="8" t="s">
        <v>588</v>
      </c>
      <c r="D334" s="16" t="str">
        <f>IFERROR(VLOOKUP(C334,REKAP[[#All],[ID]:[Stok Akhir]],2,FALSE), "")</f>
        <v>Mur</v>
      </c>
      <c r="E334" s="16" t="str">
        <f>IFERROR(VLOOKUP(C334,REKAP[[#All],[ID]:[Stok Akhir]],4,FALSE), "")</f>
        <v>M6</v>
      </c>
      <c r="F334" s="16" t="str">
        <f>IFERROR(VLOOKUP(C334,REKAP[[#All],[ID]:[Stok Akhir]],6,FALSE),"")</f>
        <v>Mur &amp; Baut</v>
      </c>
      <c r="G334" s="15">
        <f>IFERROR(VLOOKUP(C334,REKAP[[#All],[ID]:[Stok Akhir]],8,FALSE),"")</f>
        <v>100</v>
      </c>
      <c r="H334" s="11">
        <v>4</v>
      </c>
      <c r="I334" s="11" t="s">
        <v>3825</v>
      </c>
      <c r="J334" s="11" t="s">
        <v>3845</v>
      </c>
      <c r="K334" s="15">
        <f>IFERROR(MASUK8[[#This Row],[Harga Satuan]]*MASUK8[[#This Row],[Jumlah Keluar]], "")</f>
        <v>400</v>
      </c>
      <c r="L334" s="11"/>
      <c r="M334" s="47">
        <f>IFERROR(VLOOKUP(C334,REKAP[[#All],[ID]:[Stok Akhir]],15,FALSE),"")</f>
        <v>26</v>
      </c>
    </row>
    <row r="335" spans="1:13" ht="16.5" thickTop="1" thickBot="1" x14ac:dyDescent="0.3">
      <c r="A335" s="27">
        <f t="shared" si="5"/>
        <v>329</v>
      </c>
      <c r="B335" s="7">
        <v>45379</v>
      </c>
      <c r="C335" s="8" t="s">
        <v>287</v>
      </c>
      <c r="D335" s="16" t="str">
        <f>IFERROR(VLOOKUP(C335,REKAP[[#All],[ID]:[Stok Akhir]],2,FALSE), "")</f>
        <v>Baut LPK</v>
      </c>
      <c r="E335" s="16" t="str">
        <f>IFERROR(VLOOKUP(C335,REKAP[[#All],[ID]:[Stok Akhir]],4,FALSE), "")</f>
        <v>M 6 X 20</v>
      </c>
      <c r="F335" s="16" t="str">
        <f>IFERROR(VLOOKUP(C335,REKAP[[#All],[ID]:[Stok Akhir]],6,FALSE),"")</f>
        <v>Mur &amp; Baut</v>
      </c>
      <c r="G335" s="15">
        <f>IFERROR(VLOOKUP(C335,REKAP[[#All],[ID]:[Stok Akhir]],8,FALSE),"")</f>
        <v>1000</v>
      </c>
      <c r="H335" s="11">
        <v>28</v>
      </c>
      <c r="I335" s="11" t="s">
        <v>3825</v>
      </c>
      <c r="J335" s="11" t="s">
        <v>3845</v>
      </c>
      <c r="K335" s="15">
        <f>IFERROR(MASUK8[[#This Row],[Harga Satuan]]*MASUK8[[#This Row],[Jumlah Keluar]], "")</f>
        <v>28000</v>
      </c>
      <c r="L335" s="11"/>
      <c r="M335" s="47">
        <f>IFERROR(VLOOKUP(C335,REKAP[[#All],[ID]:[Stok Akhir]],15,FALSE),"")</f>
        <v>63</v>
      </c>
    </row>
    <row r="336" spans="1:13" ht="16.5" thickTop="1" thickBot="1" x14ac:dyDescent="0.3">
      <c r="A336" s="27">
        <f t="shared" si="5"/>
        <v>330</v>
      </c>
      <c r="B336" s="7">
        <v>45379</v>
      </c>
      <c r="C336" s="8" t="s">
        <v>769</v>
      </c>
      <c r="D336" s="16" t="str">
        <f>IFERROR(VLOOKUP(C336,REKAP[[#All],[ID]:[Stok Akhir]],2,FALSE), "")</f>
        <v>Masker Safety (Polytron)</v>
      </c>
      <c r="E336" s="16">
        <f>IFERROR(VLOOKUP(C336,REKAP[[#All],[ID]:[Stok Akhir]],4,FALSE), "")</f>
        <v>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1455</v>
      </c>
      <c r="H336" s="11">
        <v>1</v>
      </c>
      <c r="I336" s="11" t="s">
        <v>3674</v>
      </c>
      <c r="J336" s="11" t="s">
        <v>3663</v>
      </c>
      <c r="K336" s="15">
        <f>IFERROR(MASUK8[[#This Row],[Harga Satuan]]*MASUK8[[#This Row],[Jumlah Keluar]], "")</f>
        <v>1455</v>
      </c>
      <c r="L336" s="11"/>
      <c r="M336" s="47">
        <f>IFERROR(VLOOKUP(C336,REKAP[[#All],[ID]:[Stok Akhir]],15,FALSE),"")</f>
        <v>143</v>
      </c>
    </row>
    <row r="337" spans="1:13" ht="16.5" thickTop="1" thickBot="1" x14ac:dyDescent="0.3">
      <c r="A337" s="27">
        <f t="shared" si="5"/>
        <v>331</v>
      </c>
      <c r="B337" s="7">
        <v>45379</v>
      </c>
      <c r="C337" s="8" t="s">
        <v>692</v>
      </c>
      <c r="D337" s="16" t="str">
        <f>IFERROR(VLOOKUP(C337,REKAP[[#All],[ID]:[Stok Akhir]],2,FALSE), "")</f>
        <v>Alteco / Lem Korea</v>
      </c>
      <c r="E337" s="16" t="str">
        <f>IFERROR(VLOOKUP(C337,REKAP[[#All],[ID]:[Stok Akhir]],4,FALSE), "")</f>
        <v>Alteco 110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5000</v>
      </c>
      <c r="H337" s="11">
        <v>2</v>
      </c>
      <c r="I337" s="11" t="s">
        <v>3674</v>
      </c>
      <c r="J337" s="11" t="s">
        <v>3887</v>
      </c>
      <c r="K337" s="15">
        <f>IFERROR(MASUK8[[#This Row],[Harga Satuan]]*MASUK8[[#This Row],[Jumlah Keluar]], "")</f>
        <v>10000</v>
      </c>
      <c r="L337" s="11"/>
      <c r="M337" s="47">
        <f>IFERROR(VLOOKUP(C337,REKAP[[#All],[ID]:[Stok Akhir]],15,FALSE),"")</f>
        <v>4</v>
      </c>
    </row>
    <row r="338" spans="1:13" ht="16.5" thickTop="1" thickBot="1" x14ac:dyDescent="0.3">
      <c r="A338" s="27">
        <f t="shared" si="5"/>
        <v>332</v>
      </c>
      <c r="B338" s="7">
        <v>45379</v>
      </c>
      <c r="C338" s="8" t="s">
        <v>769</v>
      </c>
      <c r="D338" s="16" t="str">
        <f>IFERROR(VLOOKUP(C338,REKAP[[#All],[ID]:[Stok Akhir]],2,FALSE), "")</f>
        <v>Masker Safety (Polytron)</v>
      </c>
      <c r="E338" s="16">
        <f>IFERROR(VLOOKUP(C338,REKAP[[#All],[ID]:[Stok Akhir]],4,FALSE), "")</f>
        <v>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1455</v>
      </c>
      <c r="H338" s="11">
        <v>2</v>
      </c>
      <c r="I338" s="11" t="s">
        <v>3873</v>
      </c>
      <c r="J338" s="11" t="s">
        <v>3663</v>
      </c>
      <c r="K338" s="15">
        <f>IFERROR(MASUK8[[#This Row],[Harga Satuan]]*MASUK8[[#This Row],[Jumlah Keluar]], "")</f>
        <v>2910</v>
      </c>
      <c r="L338" s="11"/>
      <c r="M338" s="47">
        <f>IFERROR(VLOOKUP(C338,REKAP[[#All],[ID]:[Stok Akhir]],15,FALSE),"")</f>
        <v>143</v>
      </c>
    </row>
    <row r="339" spans="1:13" ht="16.5" thickTop="1" thickBot="1" x14ac:dyDescent="0.3">
      <c r="A339" s="27">
        <f t="shared" si="5"/>
        <v>333</v>
      </c>
      <c r="B339" s="7">
        <v>45379</v>
      </c>
      <c r="C339" s="8" t="s">
        <v>788</v>
      </c>
      <c r="D339" s="16" t="str">
        <f>IFERROR(VLOOKUP(C339,REKAP[[#All],[ID]:[Stok Akhir]],2,FALSE), "")</f>
        <v>Sarung Tangan kain</v>
      </c>
      <c r="E339" s="16">
        <f>IFERROR(VLOOKUP(C339,REKAP[[#All],[ID]:[Stok Akhir]],4,FALSE), "")</f>
        <v>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2000</v>
      </c>
      <c r="H339" s="11">
        <v>1</v>
      </c>
      <c r="I339" s="11" t="s">
        <v>3859</v>
      </c>
      <c r="J339" s="11" t="s">
        <v>3663</v>
      </c>
      <c r="K339" s="15">
        <f>IFERROR(MASUK8[[#This Row],[Harga Satuan]]*MASUK8[[#This Row],[Jumlah Keluar]], "")</f>
        <v>2000</v>
      </c>
      <c r="L339" s="11"/>
      <c r="M339" s="47">
        <f>IFERROR(VLOOKUP(C339,REKAP[[#All],[ID]:[Stok Akhir]],15,FALSE),"")</f>
        <v>0</v>
      </c>
    </row>
    <row r="340" spans="1:13" ht="16.5" thickTop="1" thickBot="1" x14ac:dyDescent="0.3">
      <c r="A340" s="27">
        <f t="shared" si="5"/>
        <v>334</v>
      </c>
      <c r="B340" s="7">
        <v>45379</v>
      </c>
      <c r="C340" s="8" t="s">
        <v>788</v>
      </c>
      <c r="D340" s="16" t="str">
        <f>IFERROR(VLOOKUP(C340,REKAP[[#All],[ID]:[Stok Akhir]],2,FALSE), "")</f>
        <v>Sarung Tangan kain</v>
      </c>
      <c r="E340" s="16">
        <f>IFERROR(VLOOKUP(C340,REKAP[[#All],[ID]:[Stok Akhir]],4,FALSE), "")</f>
        <v>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2000</v>
      </c>
      <c r="H340" s="11">
        <v>1</v>
      </c>
      <c r="I340" s="11" t="s">
        <v>3665</v>
      </c>
      <c r="J340" s="11" t="s">
        <v>3663</v>
      </c>
      <c r="K340" s="15">
        <f>IFERROR(MASUK8[[#This Row],[Harga Satuan]]*MASUK8[[#This Row],[Jumlah Keluar]], "")</f>
        <v>2000</v>
      </c>
      <c r="L340" s="11"/>
      <c r="M340" s="47">
        <f>IFERROR(VLOOKUP(C340,REKAP[[#All],[ID]:[Stok Akhir]],15,FALSE),"")</f>
        <v>0</v>
      </c>
    </row>
    <row r="341" spans="1:13" ht="16.5" thickTop="1" thickBot="1" x14ac:dyDescent="0.3">
      <c r="A341" s="27">
        <f t="shared" si="5"/>
        <v>335</v>
      </c>
      <c r="B341" s="7">
        <v>45379</v>
      </c>
      <c r="C341" s="8" t="s">
        <v>699</v>
      </c>
      <c r="D341" s="16" t="str">
        <f>IFERROR(VLOOKUP(C341,REKAP[[#All],[ID]:[Stok Akhir]],2,FALSE), "")</f>
        <v>Ampelas</v>
      </c>
      <c r="E341" s="16" t="str">
        <f>IFERROR(VLOOKUP(C341,REKAP[[#All],[ID]:[Stok Akhir]],4,FALSE), "")</f>
        <v>Grit 320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3500</v>
      </c>
      <c r="H341" s="11">
        <v>2</v>
      </c>
      <c r="I341" s="11" t="s">
        <v>3665</v>
      </c>
      <c r="J341" s="11" t="s">
        <v>3890</v>
      </c>
      <c r="K341" s="15">
        <f>IFERROR(MASUK8[[#This Row],[Harga Satuan]]*MASUK8[[#This Row],[Jumlah Keluar]], "")</f>
        <v>7000</v>
      </c>
      <c r="L341" s="11"/>
      <c r="M341" s="47">
        <f>IFERROR(VLOOKUP(C341,REKAP[[#All],[ID]:[Stok Akhir]],15,FALSE),"")</f>
        <v>14</v>
      </c>
    </row>
    <row r="342" spans="1:13" ht="16.5" thickTop="1" thickBot="1" x14ac:dyDescent="0.3">
      <c r="A342" s="27">
        <f t="shared" si="5"/>
        <v>336</v>
      </c>
      <c r="B342" s="7">
        <v>45379</v>
      </c>
      <c r="C342" s="8" t="s">
        <v>700</v>
      </c>
      <c r="D342" s="16" t="str">
        <f>IFERROR(VLOOKUP(C342,REKAP[[#All],[ID]:[Stok Akhir]],2,FALSE), "")</f>
        <v>Ampelas</v>
      </c>
      <c r="E342" s="16" t="str">
        <f>IFERROR(VLOOKUP(C342,REKAP[[#All],[ID]:[Stok Akhir]],4,FALSE), "")</f>
        <v>Grit 400</v>
      </c>
      <c r="F342" s="16" t="str">
        <f>IFERROR(VLOOKUP(C342,REKAP[[#All],[ID]:[Stok Akhir]],6,FALSE),"")</f>
        <v>Bahan Pembantu</v>
      </c>
      <c r="G342" s="15">
        <f>IFERROR(VLOOKUP(C342,REKAP[[#All],[ID]:[Stok Akhir]],8,FALSE),"")</f>
        <v>4000</v>
      </c>
      <c r="H342" s="11">
        <v>2</v>
      </c>
      <c r="I342" s="11" t="s">
        <v>3665</v>
      </c>
      <c r="J342" s="11" t="s">
        <v>3890</v>
      </c>
      <c r="K342" s="15">
        <f>IFERROR(MASUK8[[#This Row],[Harga Satuan]]*MASUK8[[#This Row],[Jumlah Keluar]], "")</f>
        <v>8000</v>
      </c>
      <c r="L342" s="11"/>
      <c r="M342" s="47">
        <f>IFERROR(VLOOKUP(C342,REKAP[[#All],[ID]:[Stok Akhir]],15,FALSE),"")</f>
        <v>6</v>
      </c>
    </row>
    <row r="343" spans="1:13" ht="16.5" thickTop="1" thickBot="1" x14ac:dyDescent="0.3">
      <c r="A343" s="27">
        <f t="shared" si="5"/>
        <v>337</v>
      </c>
      <c r="B343" s="7">
        <v>45379</v>
      </c>
      <c r="C343" s="8" t="s">
        <v>701</v>
      </c>
      <c r="D343" s="16" t="str">
        <f>IFERROR(VLOOKUP(C343,REKAP[[#All],[ID]:[Stok Akhir]],2,FALSE), "")</f>
        <v>Ampelas</v>
      </c>
      <c r="E343" s="16" t="str">
        <f>IFERROR(VLOOKUP(C343,REKAP[[#All],[ID]:[Stok Akhir]],4,FALSE), "")</f>
        <v>Grit 600</v>
      </c>
      <c r="F343" s="16" t="str">
        <f>IFERROR(VLOOKUP(C343,REKAP[[#All],[ID]:[Stok Akhir]],6,FALSE),"")</f>
        <v>Bahan Pembantu</v>
      </c>
      <c r="G343" s="15">
        <f>IFERROR(VLOOKUP(C343,REKAP[[#All],[ID]:[Stok Akhir]],8,FALSE),"")</f>
        <v>4000</v>
      </c>
      <c r="H343" s="11">
        <v>2</v>
      </c>
      <c r="I343" s="11" t="s">
        <v>3665</v>
      </c>
      <c r="J343" s="11" t="s">
        <v>3890</v>
      </c>
      <c r="K343" s="15">
        <f>IFERROR(MASUK8[[#This Row],[Harga Satuan]]*MASUK8[[#This Row],[Jumlah Keluar]], "")</f>
        <v>8000</v>
      </c>
      <c r="L343" s="11"/>
      <c r="M343" s="47">
        <f>IFERROR(VLOOKUP(C343,REKAP[[#All],[ID]:[Stok Akhir]],15,FALSE),"")</f>
        <v>6</v>
      </c>
    </row>
    <row r="344" spans="1:13" ht="16.5" thickTop="1" thickBot="1" x14ac:dyDescent="0.3">
      <c r="A344" s="27">
        <f t="shared" si="5"/>
        <v>338</v>
      </c>
      <c r="B344" s="7">
        <v>45379</v>
      </c>
      <c r="C344" s="8" t="s">
        <v>703</v>
      </c>
      <c r="D344" s="16" t="str">
        <f>IFERROR(VLOOKUP(C344,REKAP[[#All],[ID]:[Stok Akhir]],2,FALSE), "")</f>
        <v>Ampelas</v>
      </c>
      <c r="E344" s="16" t="str">
        <f>IFERROR(VLOOKUP(C344,REKAP[[#All],[ID]:[Stok Akhir]],4,FALSE), "")</f>
        <v>Grit 800</v>
      </c>
      <c r="F344" s="16" t="str">
        <f>IFERROR(VLOOKUP(C344,REKAP[[#All],[ID]:[Stok Akhir]],6,FALSE),"")</f>
        <v>Bahan Pembantu</v>
      </c>
      <c r="G344" s="15">
        <f>IFERROR(VLOOKUP(C344,REKAP[[#All],[ID]:[Stok Akhir]],8,FALSE),"")</f>
        <v>4000</v>
      </c>
      <c r="H344" s="11">
        <v>2</v>
      </c>
      <c r="I344" s="11" t="s">
        <v>3665</v>
      </c>
      <c r="J344" s="11" t="s">
        <v>3890</v>
      </c>
      <c r="K344" s="15">
        <f>IFERROR(MASUK8[[#This Row],[Harga Satuan]]*MASUK8[[#This Row],[Jumlah Keluar]], "")</f>
        <v>8000</v>
      </c>
      <c r="L344" s="11"/>
      <c r="M344" s="47">
        <f>IFERROR(VLOOKUP(C344,REKAP[[#All],[ID]:[Stok Akhir]],15,FALSE),"")</f>
        <v>0</v>
      </c>
    </row>
    <row r="345" spans="1:13" ht="16.5" thickTop="1" thickBot="1" x14ac:dyDescent="0.3">
      <c r="A345" s="27">
        <f t="shared" si="5"/>
        <v>339</v>
      </c>
      <c r="B345" s="7">
        <v>45379</v>
      </c>
      <c r="C345" s="8" t="s">
        <v>692</v>
      </c>
      <c r="D345" s="16" t="str">
        <f>IFERROR(VLOOKUP(C345,REKAP[[#All],[ID]:[Stok Akhir]],2,FALSE), "")</f>
        <v>Alteco / Lem Korea</v>
      </c>
      <c r="E345" s="16" t="str">
        <f>IFERROR(VLOOKUP(C345,REKAP[[#All],[ID]:[Stok Akhir]],4,FALSE), "")</f>
        <v>Alteco 110</v>
      </c>
      <c r="F345" s="16" t="str">
        <f>IFERROR(VLOOKUP(C345,REKAP[[#All],[ID]:[Stok Akhir]],6,FALSE),"")</f>
        <v>Bahan Pembantu</v>
      </c>
      <c r="G345" s="15">
        <f>IFERROR(VLOOKUP(C345,REKAP[[#All],[ID]:[Stok Akhir]],8,FALSE),"")</f>
        <v>5000</v>
      </c>
      <c r="H345" s="11">
        <v>2</v>
      </c>
      <c r="I345" s="11" t="s">
        <v>3665</v>
      </c>
      <c r="J345" s="11" t="s">
        <v>3891</v>
      </c>
      <c r="K345" s="15">
        <f>IFERROR(MASUK8[[#This Row],[Harga Satuan]]*MASUK8[[#This Row],[Jumlah Keluar]], "")</f>
        <v>10000</v>
      </c>
      <c r="L345" s="11"/>
      <c r="M345" s="47">
        <f>IFERROR(VLOOKUP(C345,REKAP[[#All],[ID]:[Stok Akhir]],15,FALSE),"")</f>
        <v>4</v>
      </c>
    </row>
    <row r="346" spans="1:13" ht="16.5" thickTop="1" thickBot="1" x14ac:dyDescent="0.3">
      <c r="A346" s="27">
        <f t="shared" si="5"/>
        <v>340</v>
      </c>
      <c r="B346" s="7">
        <v>45379</v>
      </c>
      <c r="C346" s="8" t="s">
        <v>769</v>
      </c>
      <c r="D346" s="16" t="str">
        <f>IFERROR(VLOOKUP(C346,REKAP[[#All],[ID]:[Stok Akhir]],2,FALSE), "")</f>
        <v>Masker Safety (Polytron)</v>
      </c>
      <c r="E346" s="16">
        <f>IFERROR(VLOOKUP(C346,REKAP[[#All],[ID]:[Stok Akhir]],4,FALSE), "")</f>
        <v>0</v>
      </c>
      <c r="F346" s="16" t="str">
        <f>IFERROR(VLOOKUP(C346,REKAP[[#All],[ID]:[Stok Akhir]],6,FALSE),"")</f>
        <v>Bahan Pembantu</v>
      </c>
      <c r="G346" s="15">
        <f>IFERROR(VLOOKUP(C346,REKAP[[#All],[ID]:[Stok Akhir]],8,FALSE),"")</f>
        <v>1455</v>
      </c>
      <c r="H346" s="11">
        <v>1</v>
      </c>
      <c r="I346" s="11" t="s">
        <v>3665</v>
      </c>
      <c r="J346" s="11" t="s">
        <v>3663</v>
      </c>
      <c r="K346" s="15">
        <f>IFERROR(MASUK8[[#This Row],[Harga Satuan]]*MASUK8[[#This Row],[Jumlah Keluar]], "")</f>
        <v>1455</v>
      </c>
      <c r="L346" s="11"/>
      <c r="M346" s="47">
        <f>IFERROR(VLOOKUP(C346,REKAP[[#All],[ID]:[Stok Akhir]],15,FALSE),"")</f>
        <v>143</v>
      </c>
    </row>
    <row r="347" spans="1:13" ht="16.5" thickTop="1" thickBot="1" x14ac:dyDescent="0.3">
      <c r="A347" s="27">
        <f t="shared" si="5"/>
        <v>341</v>
      </c>
      <c r="B347" s="7">
        <v>45379</v>
      </c>
      <c r="C347" s="8" t="s">
        <v>252</v>
      </c>
      <c r="D347" s="16" t="str">
        <f>IFERROR(VLOOKUP(C347,REKAP[[#All],[ID]:[Stok Akhir]],2,FALSE), "")</f>
        <v>Baut LPK</v>
      </c>
      <c r="E347" s="16" t="str">
        <f>IFERROR(VLOOKUP(C347,REKAP[[#All],[ID]:[Stok Akhir]],4,FALSE), "")</f>
        <v xml:space="preserve">M 3 X 15 </v>
      </c>
      <c r="F347" s="16" t="str">
        <f>IFERROR(VLOOKUP(C347,REKAP[[#All],[ID]:[Stok Akhir]],6,FALSE),"")</f>
        <v>Mur &amp; Baut</v>
      </c>
      <c r="G347" s="15">
        <f>IFERROR(VLOOKUP(C347,REKAP[[#All],[ID]:[Stok Akhir]],8,FALSE),"")</f>
        <v>1000</v>
      </c>
      <c r="H347" s="11">
        <v>2</v>
      </c>
      <c r="I347" s="11"/>
      <c r="J347" s="11"/>
      <c r="K347" s="15"/>
      <c r="L347" s="11"/>
      <c r="M347" s="47">
        <f>IFERROR(VLOOKUP(C347,REKAP[[#All],[ID]:[Stok Akhir]],15,FALSE),"")</f>
        <v>7</v>
      </c>
    </row>
    <row r="348" spans="1:13" ht="16.5" thickTop="1" thickBot="1" x14ac:dyDescent="0.3">
      <c r="A348" s="27">
        <f t="shared" si="5"/>
        <v>342</v>
      </c>
      <c r="B348" s="7">
        <v>45379</v>
      </c>
      <c r="C348" s="8" t="s">
        <v>292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6 X 45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1000</v>
      </c>
      <c r="H348" s="11">
        <v>32</v>
      </c>
      <c r="I348" s="11"/>
      <c r="J348" s="11" t="s">
        <v>3878</v>
      </c>
      <c r="K348" s="15">
        <f>IFERROR(MASUK8[[#This Row],[Harga Satuan]]*MASUK8[[#This Row],[Jumlah Keluar]], "")</f>
        <v>32000</v>
      </c>
      <c r="L348" s="11"/>
      <c r="M348" s="47">
        <f>IFERROR(VLOOKUP(C348,REKAP[[#All],[ID]:[Stok Akhir]],15,FALSE),"")</f>
        <v>24</v>
      </c>
    </row>
    <row r="349" spans="1:13" ht="16.5" thickTop="1" thickBot="1" x14ac:dyDescent="0.3">
      <c r="A349" s="27">
        <f t="shared" si="5"/>
        <v>343</v>
      </c>
      <c r="B349" s="7">
        <v>45379</v>
      </c>
      <c r="C349" s="8" t="s">
        <v>311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8 X 35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2000</v>
      </c>
      <c r="H349" s="11">
        <v>4</v>
      </c>
      <c r="I349" s="11"/>
      <c r="J349" s="11" t="s">
        <v>3878</v>
      </c>
      <c r="K349" s="15">
        <f>IFERROR(MASUK8[[#This Row],[Harga Satuan]]*MASUK8[[#This Row],[Jumlah Keluar]], "")</f>
        <v>8000</v>
      </c>
      <c r="L349" s="11"/>
      <c r="M349" s="47">
        <f>IFERROR(VLOOKUP(C349,REKAP[[#All],[ID]:[Stok Akhir]],15,FALSE),"")</f>
        <v>5</v>
      </c>
    </row>
    <row r="350" spans="1:13" ht="16.5" thickTop="1" thickBot="1" x14ac:dyDescent="0.3">
      <c r="A350" s="27">
        <f t="shared" si="5"/>
        <v>344</v>
      </c>
      <c r="B350" s="7">
        <v>45379</v>
      </c>
      <c r="C350" s="8" t="s">
        <v>463</v>
      </c>
      <c r="D350" s="16" t="str">
        <f>IFERROR(VLOOKUP(C350,REKAP[[#All],[ID]:[Stok Akhir]],2,FALSE), "")</f>
        <v>Baut JFL</v>
      </c>
      <c r="E350" s="16" t="str">
        <f>IFERROR(VLOOKUP(C350,REKAP[[#All],[ID]:[Stok Akhir]],4,FALSE), "")</f>
        <v>M 6 X 15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1000</v>
      </c>
      <c r="H350" s="11">
        <v>11</v>
      </c>
      <c r="I350" s="11" t="s">
        <v>3825</v>
      </c>
      <c r="J350" s="11" t="s">
        <v>3921</v>
      </c>
      <c r="K350" s="15">
        <f>IFERROR(MASUK8[[#This Row],[Harga Satuan]]*MASUK8[[#This Row],[Jumlah Keluar]], "")</f>
        <v>11000</v>
      </c>
      <c r="L350" s="11"/>
      <c r="M350" s="47">
        <f>IFERROR(VLOOKUP(C350,REKAP[[#All],[ID]:[Stok Akhir]],15,FALSE),"")</f>
        <v>27</v>
      </c>
    </row>
    <row r="351" spans="1:13" ht="16.5" thickTop="1" thickBot="1" x14ac:dyDescent="0.3">
      <c r="A351" s="27">
        <f t="shared" si="5"/>
        <v>345</v>
      </c>
      <c r="B351" s="7">
        <v>45379</v>
      </c>
      <c r="C351" s="8" t="s">
        <v>359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12 X 35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3200</v>
      </c>
      <c r="H351" s="11">
        <v>4</v>
      </c>
      <c r="I351" s="11"/>
      <c r="J351" s="11"/>
      <c r="K351" s="15">
        <f>IFERROR(MASUK8[[#This Row],[Harga Satuan]]*MASUK8[[#This Row],[Jumlah Keluar]], "")</f>
        <v>12800</v>
      </c>
      <c r="L351" s="11"/>
      <c r="M351" s="47">
        <f>IFERROR(VLOOKUP(C351,REKAP[[#All],[ID]:[Stok Akhir]],15,FALSE),"")</f>
        <v>21</v>
      </c>
    </row>
    <row r="352" spans="1:13" ht="16.5" thickTop="1" thickBot="1" x14ac:dyDescent="0.3">
      <c r="A352" s="27">
        <f t="shared" si="5"/>
        <v>346</v>
      </c>
      <c r="B352" s="7">
        <v>45379</v>
      </c>
      <c r="C352" s="8" t="s">
        <v>332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10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2200</v>
      </c>
      <c r="H352" s="11">
        <v>10</v>
      </c>
      <c r="I352" s="11" t="s">
        <v>3825</v>
      </c>
      <c r="J352" s="11" t="s">
        <v>3929</v>
      </c>
      <c r="K352" s="15">
        <f>IFERROR(MASUK8[[#This Row],[Harga Satuan]]*MASUK8[[#This Row],[Jumlah Keluar]], "")</f>
        <v>22000</v>
      </c>
      <c r="L352" s="11"/>
      <c r="M352" s="47">
        <f>IFERROR(VLOOKUP(C352,REKAP[[#All],[ID]:[Stok Akhir]],15,FALSE),"")</f>
        <v>21</v>
      </c>
    </row>
    <row r="353" spans="1:13" ht="16.5" thickTop="1" thickBot="1" x14ac:dyDescent="0.3">
      <c r="A353" s="27">
        <f t="shared" si="5"/>
        <v>347</v>
      </c>
      <c r="B353" s="7">
        <v>45380</v>
      </c>
      <c r="C353" s="8" t="s">
        <v>1272</v>
      </c>
      <c r="D353" s="16" t="str">
        <f>IFERROR(VLOOKUP(C353,REKAP[[#All],[ID]:[Stok Akhir]],2,FALSE), "")</f>
        <v>Limit Switch</v>
      </c>
      <c r="E353" s="16">
        <f>IFERROR(VLOOKUP(C353,REKAP[[#All],[ID]:[Stok Akhir]],4,FALSE), "")</f>
        <v>0</v>
      </c>
      <c r="F353" s="16" t="str">
        <f>IFERROR(VLOOKUP(C353,REKAP[[#All],[ID]:[Stok Akhir]],6,FALSE),"")</f>
        <v>Accessories Mold</v>
      </c>
      <c r="G353" s="15">
        <f>IFERROR(VLOOKUP(C353,REKAP[[#All],[ID]:[Stok Akhir]],8,FALSE),"")</f>
        <v>20000</v>
      </c>
      <c r="H353" s="11">
        <v>1</v>
      </c>
      <c r="I353" s="11" t="s">
        <v>3825</v>
      </c>
      <c r="J353" s="11" t="s">
        <v>3878</v>
      </c>
      <c r="K353" s="15">
        <f>IFERROR(MASUK8[[#This Row],[Harga Satuan]]*MASUK8[[#This Row],[Jumlah Keluar]], "")</f>
        <v>20000</v>
      </c>
      <c r="L353" s="11"/>
      <c r="M353" s="47">
        <f>IFERROR(VLOOKUP(C353,REKAP[[#All],[ID]:[Stok Akhir]],15,FALSE),"")</f>
        <v>1</v>
      </c>
    </row>
    <row r="354" spans="1:13" ht="16.5" thickTop="1" thickBot="1" x14ac:dyDescent="0.3">
      <c r="A354" s="27">
        <f t="shared" si="5"/>
        <v>348</v>
      </c>
      <c r="B354" s="7">
        <v>45380</v>
      </c>
      <c r="C354" s="8" t="s">
        <v>929</v>
      </c>
      <c r="D354" s="16" t="str">
        <f>IFERROR(VLOOKUP(C354,REKAP[[#All],[ID]:[Stok Akhir]],2,FALSE), "")</f>
        <v>Counter Shoot</v>
      </c>
      <c r="E354" s="16" t="str">
        <f>IFERROR(VLOOKUP(C354,REKAP[[#All],[ID]:[Stok Akhir]],4,FALSE), "")</f>
        <v>PROGRESSIVE 7 BIT</v>
      </c>
      <c r="F354" s="16" t="str">
        <f>IFERROR(VLOOKUP(C354,REKAP[[#All],[ID]:[Stok Akhir]],6,FALSE),"")</f>
        <v>Accessories Mold</v>
      </c>
      <c r="G354" s="15">
        <f>IFERROR(VLOOKUP(C354,REKAP[[#All],[ID]:[Stok Akhir]],8,FALSE),"")</f>
        <v>416100</v>
      </c>
      <c r="H354" s="11">
        <v>1</v>
      </c>
      <c r="I354" s="11" t="s">
        <v>3825</v>
      </c>
      <c r="J354" s="11" t="s">
        <v>3842</v>
      </c>
      <c r="K354" s="15">
        <f>IFERROR(MASUK8[[#This Row],[Harga Satuan]]*MASUK8[[#This Row],[Jumlah Keluar]], "")</f>
        <v>416100</v>
      </c>
      <c r="L354" s="11"/>
      <c r="M354" s="47">
        <f>IFERROR(VLOOKUP(C354,REKAP[[#All],[ID]:[Stok Akhir]],15,FALSE),"")</f>
        <v>2</v>
      </c>
    </row>
    <row r="355" spans="1:13" ht="16.5" thickTop="1" thickBot="1" x14ac:dyDescent="0.3">
      <c r="A355" s="27">
        <f t="shared" si="5"/>
        <v>349</v>
      </c>
      <c r="B355" s="7">
        <v>45380</v>
      </c>
      <c r="C355" s="8" t="s">
        <v>508</v>
      </c>
      <c r="D355" s="16" t="str">
        <f>IFERROR(VLOOKUP(C355,REKAP[[#All],[ID]:[Stok Akhir]],2,FALSE), "")</f>
        <v>Baut Tanam</v>
      </c>
      <c r="E355" s="16" t="str">
        <f>IFERROR(VLOOKUP(C355,REKAP[[#All],[ID]:[Stok Akhir]],4,FALSE), "")</f>
        <v xml:space="preserve">M 5 X 10 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550</v>
      </c>
      <c r="H355" s="11">
        <v>2</v>
      </c>
      <c r="I355" s="11" t="s">
        <v>3825</v>
      </c>
      <c r="J355" s="11" t="s">
        <v>3878</v>
      </c>
      <c r="K355" s="15">
        <f>IFERROR(MASUK8[[#This Row],[Harga Satuan]]*MASUK8[[#This Row],[Jumlah Keluar]], "")</f>
        <v>1100</v>
      </c>
      <c r="L355" s="11"/>
      <c r="M355" s="47">
        <f>IFERROR(VLOOKUP(C355,REKAP[[#All],[ID]:[Stok Akhir]],15,FALSE),"")</f>
        <v>7</v>
      </c>
    </row>
    <row r="356" spans="1:13" ht="16.5" thickTop="1" thickBot="1" x14ac:dyDescent="0.3">
      <c r="A356" s="27">
        <f t="shared" si="5"/>
        <v>350</v>
      </c>
      <c r="B356" s="7">
        <v>45380</v>
      </c>
      <c r="C356" s="8" t="s">
        <v>508</v>
      </c>
      <c r="D356" s="16" t="str">
        <f>IFERROR(VLOOKUP(C356,REKAP[[#All],[ID]:[Stok Akhir]],2,FALSE), "")</f>
        <v>Baut Tanam</v>
      </c>
      <c r="E356" s="16" t="str">
        <f>IFERROR(VLOOKUP(C356,REKAP[[#All],[ID]:[Stok Akhir]],4,FALSE), "")</f>
        <v xml:space="preserve">M 5 X 10 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550</v>
      </c>
      <c r="H356" s="11">
        <v>1</v>
      </c>
      <c r="I356" s="11" t="s">
        <v>3825</v>
      </c>
      <c r="J356" s="11" t="s">
        <v>3892</v>
      </c>
      <c r="K356" s="15">
        <f>IFERROR(MASUK8[[#This Row],[Harga Satuan]]*MASUK8[[#This Row],[Jumlah Keluar]], "")</f>
        <v>550</v>
      </c>
      <c r="L356" s="11"/>
      <c r="M356" s="47">
        <f>IFERROR(VLOOKUP(C356,REKAP[[#All],[ID]:[Stok Akhir]],15,FALSE),"")</f>
        <v>7</v>
      </c>
    </row>
    <row r="357" spans="1:13" ht="16.5" thickTop="1" thickBot="1" x14ac:dyDescent="0.3">
      <c r="A357" s="27">
        <f t="shared" si="5"/>
        <v>351</v>
      </c>
      <c r="B357" s="7">
        <v>45380</v>
      </c>
      <c r="C357" s="8" t="s">
        <v>929</v>
      </c>
      <c r="D357" s="16" t="str">
        <f>IFERROR(VLOOKUP(C357,REKAP[[#All],[ID]:[Stok Akhir]],2,FALSE), "")</f>
        <v>Counter Shoot</v>
      </c>
      <c r="E357" s="16" t="str">
        <f>IFERROR(VLOOKUP(C357,REKAP[[#All],[ID]:[Stok Akhir]],4,FALSE), "")</f>
        <v>PROGRESSIVE 7 BIT</v>
      </c>
      <c r="F357" s="16" t="str">
        <f>IFERROR(VLOOKUP(C357,REKAP[[#All],[ID]:[Stok Akhir]],6,FALSE),"")</f>
        <v>Accessories Mold</v>
      </c>
      <c r="G357" s="15">
        <f>IFERROR(VLOOKUP(C357,REKAP[[#All],[ID]:[Stok Akhir]],8,FALSE),"")</f>
        <v>416100</v>
      </c>
      <c r="H357" s="11">
        <v>1</v>
      </c>
      <c r="I357" s="11" t="s">
        <v>3825</v>
      </c>
      <c r="J357" s="11" t="s">
        <v>3892</v>
      </c>
      <c r="K357" s="15">
        <f>IFERROR(MASUK8[[#This Row],[Harga Satuan]]*MASUK8[[#This Row],[Jumlah Keluar]], "")</f>
        <v>416100</v>
      </c>
      <c r="L357" s="11"/>
      <c r="M357" s="47">
        <f>IFERROR(VLOOKUP(C357,REKAP[[#All],[ID]:[Stok Akhir]],15,FALSE),"")</f>
        <v>2</v>
      </c>
    </row>
    <row r="358" spans="1:13" ht="16.5" thickTop="1" thickBot="1" x14ac:dyDescent="0.3">
      <c r="A358" s="27">
        <f t="shared" si="5"/>
        <v>352</v>
      </c>
      <c r="B358" s="7">
        <v>45380</v>
      </c>
      <c r="C358" s="8" t="s">
        <v>1272</v>
      </c>
      <c r="D358" s="16" t="str">
        <f>IFERROR(VLOOKUP(C358,REKAP[[#All],[ID]:[Stok Akhir]],2,FALSE), "")</f>
        <v>Limit Switch</v>
      </c>
      <c r="E358" s="16">
        <f>IFERROR(VLOOKUP(C358,REKAP[[#All],[ID]:[Stok Akhir]],4,FALSE), "")</f>
        <v>0</v>
      </c>
      <c r="F358" s="16" t="str">
        <f>IFERROR(VLOOKUP(C358,REKAP[[#All],[ID]:[Stok Akhir]],6,FALSE),"")</f>
        <v>Accessories Mold</v>
      </c>
      <c r="G358" s="15">
        <f>IFERROR(VLOOKUP(C358,REKAP[[#All],[ID]:[Stok Akhir]],8,FALSE),"")</f>
        <v>20000</v>
      </c>
      <c r="H358" s="11">
        <v>1</v>
      </c>
      <c r="I358" s="11" t="s">
        <v>3825</v>
      </c>
      <c r="J358" s="11" t="s">
        <v>3892</v>
      </c>
      <c r="K358" s="15">
        <f>IFERROR(MASUK8[[#This Row],[Harga Satuan]]*MASUK8[[#This Row],[Jumlah Keluar]], "")</f>
        <v>20000</v>
      </c>
      <c r="L358" s="11"/>
      <c r="M358" s="47">
        <f>IFERROR(VLOOKUP(C358,REKAP[[#All],[ID]:[Stok Akhir]],15,FALSE),"")</f>
        <v>1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331</v>
      </c>
      <c r="D359" s="16" t="str">
        <f>IFERROR(VLOOKUP(C359,REKAP[[#All],[ID]:[Stok Akhir]],2,FALSE), "")</f>
        <v>Baut LPK</v>
      </c>
      <c r="E359" s="16" t="str">
        <f>IFERROR(VLOOKUP(C359,REKAP[[#All],[ID]:[Stok Akhir]],4,FALSE), "")</f>
        <v>M 10 X 25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2000</v>
      </c>
      <c r="H359" s="11">
        <v>32</v>
      </c>
      <c r="I359" s="11" t="s">
        <v>3825</v>
      </c>
      <c r="J359" s="11" t="s">
        <v>3893</v>
      </c>
      <c r="K359" s="15">
        <f>IFERROR(MASUK8[[#This Row],[Harga Satuan]]*MASUK8[[#This Row],[Jumlah Keluar]], "")</f>
        <v>64000</v>
      </c>
      <c r="L359" s="11"/>
      <c r="M359" s="47">
        <f>IFERROR(VLOOKUP(C359,REKAP[[#All],[ID]:[Stok Akhir]],15,FALSE),"")</f>
        <v>44</v>
      </c>
    </row>
    <row r="360" spans="1:13" ht="16.5" thickTop="1" thickBot="1" x14ac:dyDescent="0.3">
      <c r="A360" s="27">
        <f t="shared" si="5"/>
        <v>354</v>
      </c>
      <c r="B360" s="7">
        <v>45380</v>
      </c>
      <c r="C360" s="8" t="s">
        <v>294</v>
      </c>
      <c r="D360" s="16" t="str">
        <f>IFERROR(VLOOKUP(C360,REKAP[[#All],[ID]:[Stok Akhir]],2,FALSE), "")</f>
        <v>Baut LPK</v>
      </c>
      <c r="E360" s="16" t="str">
        <f>IFERROR(VLOOKUP(C360,REKAP[[#All],[ID]:[Stok Akhir]],4,FALSE), "")</f>
        <v>M 6 X 55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1250</v>
      </c>
      <c r="H360" s="11">
        <v>8</v>
      </c>
      <c r="I360" s="11" t="s">
        <v>3825</v>
      </c>
      <c r="J360" s="11" t="s">
        <v>3893</v>
      </c>
      <c r="K360" s="15">
        <f>IFERROR(MASUK8[[#This Row],[Harga Satuan]]*MASUK8[[#This Row],[Jumlah Keluar]], "")</f>
        <v>10000</v>
      </c>
      <c r="L360" s="11"/>
      <c r="M360" s="47">
        <f>IFERROR(VLOOKUP(C360,REKAP[[#All],[ID]:[Stok Akhir]],15,FALSE),"")</f>
        <v>25</v>
      </c>
    </row>
    <row r="361" spans="1:13" ht="16.5" thickTop="1" thickBot="1" x14ac:dyDescent="0.3">
      <c r="A361" s="27">
        <f t="shared" si="5"/>
        <v>355</v>
      </c>
      <c r="B361" s="7">
        <v>45380</v>
      </c>
      <c r="C361" s="8" t="s">
        <v>376</v>
      </c>
      <c r="D361" s="16" t="str">
        <f>IFERROR(VLOOKUP(C361,REKAP[[#All],[ID]:[Stok Akhir]],2,FALSE), "")</f>
        <v>Baut LPK</v>
      </c>
      <c r="E361" s="16" t="str">
        <f>IFERROR(VLOOKUP(C361,REKAP[[#All],[ID]:[Stok Akhir]],4,FALSE), "")</f>
        <v>M 12 X 160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20000</v>
      </c>
      <c r="H361" s="11">
        <v>2</v>
      </c>
      <c r="I361" s="11" t="s">
        <v>3825</v>
      </c>
      <c r="J361" s="11" t="s">
        <v>3893</v>
      </c>
      <c r="K361" s="15">
        <f>IFERROR(MASUK8[[#This Row],[Harga Satuan]]*MASUK8[[#This Row],[Jumlah Keluar]], "")</f>
        <v>40000</v>
      </c>
      <c r="L361" s="11"/>
      <c r="M361" s="47">
        <f>IFERROR(VLOOKUP(C361,REKAP[[#All],[ID]:[Stok Akhir]],15,FALSE),"")</f>
        <v>4</v>
      </c>
    </row>
    <row r="362" spans="1:13" ht="16.5" thickTop="1" thickBot="1" x14ac:dyDescent="0.3">
      <c r="A362" s="27">
        <f t="shared" si="5"/>
        <v>356</v>
      </c>
      <c r="B362" s="7">
        <v>45380</v>
      </c>
      <c r="C362" s="8" t="s">
        <v>293</v>
      </c>
      <c r="D362" s="16" t="str">
        <f>IFERROR(VLOOKUP(C362,REKAP[[#All],[ID]:[Stok Akhir]],2,FALSE), "")</f>
        <v>Baut LPK</v>
      </c>
      <c r="E362" s="16" t="str">
        <f>IFERROR(VLOOKUP(C362,REKAP[[#All],[ID]:[Stok Akhir]],4,FALSE), "")</f>
        <v>M 6 X 50</v>
      </c>
      <c r="F362" s="16" t="str">
        <f>IFERROR(VLOOKUP(C362,REKAP[[#All],[ID]:[Stok Akhir]],6,FALSE),"")</f>
        <v>Mur &amp; Baut</v>
      </c>
      <c r="G362" s="15">
        <f>IFERROR(VLOOKUP(C362,REKAP[[#All],[ID]:[Stok Akhir]],8,FALSE),"")</f>
        <v>1500</v>
      </c>
      <c r="H362" s="11">
        <v>4</v>
      </c>
      <c r="I362" s="11" t="s">
        <v>3825</v>
      </c>
      <c r="J362" s="11" t="s">
        <v>3893</v>
      </c>
      <c r="K362" s="15">
        <f>IFERROR(MASUK8[[#This Row],[Harga Satuan]]*MASUK8[[#This Row],[Jumlah Keluar]], "")</f>
        <v>6000</v>
      </c>
      <c r="L362" s="11"/>
      <c r="M362" s="47">
        <f>IFERROR(VLOOKUP(C362,REKAP[[#All],[ID]:[Stok Akhir]],15,FALSE),"")</f>
        <v>9</v>
      </c>
    </row>
    <row r="363" spans="1:13" ht="16.5" thickTop="1" thickBot="1" x14ac:dyDescent="0.3">
      <c r="A363" s="27">
        <f t="shared" si="5"/>
        <v>357</v>
      </c>
      <c r="B363" s="7">
        <v>45380</v>
      </c>
      <c r="C363" s="8" t="s">
        <v>289</v>
      </c>
      <c r="D363" s="16" t="str">
        <f>IFERROR(VLOOKUP(C363,REKAP[[#All],[ID]:[Stok Akhir]],2,FALSE), "")</f>
        <v>Baut LPK</v>
      </c>
      <c r="E363" s="16" t="str">
        <f>IFERROR(VLOOKUP(C363,REKAP[[#All],[ID]:[Stok Akhir]],4,FALSE), "")</f>
        <v>M 6 X 30</v>
      </c>
      <c r="F363" s="16" t="str">
        <f>IFERROR(VLOOKUP(C363,REKAP[[#All],[ID]:[Stok Akhir]],6,FALSE),"")</f>
        <v>Mur &amp; Baut</v>
      </c>
      <c r="G363" s="15">
        <f>IFERROR(VLOOKUP(C363,REKAP[[#All],[ID]:[Stok Akhir]],8,FALSE),"")</f>
        <v>800</v>
      </c>
      <c r="H363" s="11">
        <v>14</v>
      </c>
      <c r="I363" s="11" t="s">
        <v>3825</v>
      </c>
      <c r="J363" s="11" t="s">
        <v>3893</v>
      </c>
      <c r="K363" s="15">
        <f>IFERROR(MASUK8[[#This Row],[Harga Satuan]]*MASUK8[[#This Row],[Jumlah Keluar]], "")</f>
        <v>11200</v>
      </c>
      <c r="L363" s="11"/>
      <c r="M363" s="47">
        <f>IFERROR(VLOOKUP(C363,REKAP[[#All],[ID]:[Stok Akhir]],15,FALSE),"")</f>
        <v>7</v>
      </c>
    </row>
    <row r="364" spans="1:13" ht="16.5" thickTop="1" thickBot="1" x14ac:dyDescent="0.3">
      <c r="A364" s="27">
        <f t="shared" si="5"/>
        <v>358</v>
      </c>
      <c r="B364" s="7">
        <v>45380</v>
      </c>
      <c r="C364" s="8" t="s">
        <v>291</v>
      </c>
      <c r="D364" s="16" t="str">
        <f>IFERROR(VLOOKUP(C364,REKAP[[#All],[ID]:[Stok Akhir]],2,FALSE), "")</f>
        <v>Baut LPK</v>
      </c>
      <c r="E364" s="16" t="str">
        <f>IFERROR(VLOOKUP(C364,REKAP[[#All],[ID]:[Stok Akhir]],4,FALSE), "")</f>
        <v>M 6 X 40</v>
      </c>
      <c r="F364" s="16" t="str">
        <f>IFERROR(VLOOKUP(C364,REKAP[[#All],[ID]:[Stok Akhir]],6,FALSE),"")</f>
        <v>Mur &amp; Baut</v>
      </c>
      <c r="G364" s="15">
        <f>IFERROR(VLOOKUP(C364,REKAP[[#All],[ID]:[Stok Akhir]],8,FALSE),"")</f>
        <v>1000</v>
      </c>
      <c r="H364" s="11">
        <v>32</v>
      </c>
      <c r="I364" s="11" t="s">
        <v>3825</v>
      </c>
      <c r="J364" s="11" t="s">
        <v>3893</v>
      </c>
      <c r="K364" s="15">
        <f>IFERROR(MASUK8[[#This Row],[Harga Satuan]]*MASUK8[[#This Row],[Jumlah Keluar]], "")</f>
        <v>32000</v>
      </c>
      <c r="L364" s="11"/>
      <c r="M364" s="47">
        <f>IFERROR(VLOOKUP(C364,REKAP[[#All],[ID]:[Stok Akhir]],15,FALSE),"")</f>
        <v>23</v>
      </c>
    </row>
    <row r="365" spans="1:13" ht="16.5" thickTop="1" thickBot="1" x14ac:dyDescent="0.3">
      <c r="A365" s="27">
        <f t="shared" si="5"/>
        <v>359</v>
      </c>
      <c r="B365" s="7">
        <v>45380</v>
      </c>
      <c r="C365" s="8" t="s">
        <v>316</v>
      </c>
      <c r="D365" s="16" t="str">
        <f>IFERROR(VLOOKUP(C365,REKAP[[#All],[ID]:[Stok Akhir]],2,FALSE), "")</f>
        <v>Baut LPK</v>
      </c>
      <c r="E365" s="16" t="str">
        <f>IFERROR(VLOOKUP(C365,REKAP[[#All],[ID]:[Stok Akhir]],4,FALSE), "")</f>
        <v>M 8 X 60</v>
      </c>
      <c r="F365" s="16" t="str">
        <f>IFERROR(VLOOKUP(C365,REKAP[[#All],[ID]:[Stok Akhir]],6,FALSE),"")</f>
        <v>Mur &amp; Baut</v>
      </c>
      <c r="G365" s="15">
        <f>IFERROR(VLOOKUP(C365,REKAP[[#All],[ID]:[Stok Akhir]],8,FALSE),"")</f>
        <v>2350</v>
      </c>
      <c r="H365" s="11">
        <v>4</v>
      </c>
      <c r="I365" s="11" t="s">
        <v>3825</v>
      </c>
      <c r="J365" s="11" t="s">
        <v>3893</v>
      </c>
      <c r="K365" s="15">
        <f>IFERROR(MASUK8[[#This Row],[Harga Satuan]]*MASUK8[[#This Row],[Jumlah Keluar]], "")</f>
        <v>9400</v>
      </c>
      <c r="L365" s="11"/>
      <c r="M365" s="47">
        <f>IFERROR(VLOOKUP(C365,REKAP[[#All],[ID]:[Stok Akhir]],15,FALSE),"")</f>
        <v>39</v>
      </c>
    </row>
    <row r="366" spans="1:13" ht="16.5" thickTop="1" thickBot="1" x14ac:dyDescent="0.3">
      <c r="A366" s="27">
        <f t="shared" si="5"/>
        <v>360</v>
      </c>
      <c r="B366" s="7">
        <v>45380</v>
      </c>
      <c r="C366" s="8" t="s">
        <v>290</v>
      </c>
      <c r="D366" s="16" t="str">
        <f>IFERROR(VLOOKUP(C366,REKAP[[#All],[ID]:[Stok Akhir]],2,FALSE), "")</f>
        <v>Baut LPK</v>
      </c>
      <c r="E366" s="16" t="str">
        <f>IFERROR(VLOOKUP(C366,REKAP[[#All],[ID]:[Stok Akhir]],4,FALSE), "")</f>
        <v>M 6 X 35</v>
      </c>
      <c r="F366" s="16" t="str">
        <f>IFERROR(VLOOKUP(C366,REKAP[[#All],[ID]:[Stok Akhir]],6,FALSE),"")</f>
        <v>Mur &amp; Baut</v>
      </c>
      <c r="G366" s="15">
        <f>IFERROR(VLOOKUP(C366,REKAP[[#All],[ID]:[Stok Akhir]],8,FALSE),"")</f>
        <v>850</v>
      </c>
      <c r="H366" s="11">
        <v>1</v>
      </c>
      <c r="I366" s="11" t="s">
        <v>3825</v>
      </c>
      <c r="J366" s="11" t="s">
        <v>3893</v>
      </c>
      <c r="K366" s="15">
        <f>IFERROR(MASUK8[[#This Row],[Harga Satuan]]*MASUK8[[#This Row],[Jumlah Keluar]], "")</f>
        <v>850</v>
      </c>
      <c r="L366" s="11"/>
      <c r="M366" s="47">
        <f>IFERROR(VLOOKUP(C366,REKAP[[#All],[ID]:[Stok Akhir]],15,FALSE),"")</f>
        <v>40</v>
      </c>
    </row>
    <row r="367" spans="1:13" ht="16.5" thickTop="1" thickBot="1" x14ac:dyDescent="0.3">
      <c r="A367" s="27">
        <f t="shared" si="5"/>
        <v>361</v>
      </c>
      <c r="B367" s="7">
        <v>45380</v>
      </c>
      <c r="C367" s="8" t="s">
        <v>286</v>
      </c>
      <c r="D367" s="16" t="str">
        <f>IFERROR(VLOOKUP(C367,REKAP[[#All],[ID]:[Stok Akhir]],2,FALSE), "")</f>
        <v>Baut LPK</v>
      </c>
      <c r="E367" s="16" t="str">
        <f>IFERROR(VLOOKUP(C367,REKAP[[#All],[ID]:[Stok Akhir]],4,FALSE), "")</f>
        <v>M 6 X 15/16</v>
      </c>
      <c r="F367" s="16" t="str">
        <f>IFERROR(VLOOKUP(C367,REKAP[[#All],[ID]:[Stok Akhir]],6,FALSE),"")</f>
        <v>Mur &amp; Baut</v>
      </c>
      <c r="G367" s="15">
        <f>IFERROR(VLOOKUP(C367,REKAP[[#All],[ID]:[Stok Akhir]],8,FALSE),"")</f>
        <v>600</v>
      </c>
      <c r="H367" s="11">
        <v>36</v>
      </c>
      <c r="I367" s="11" t="s">
        <v>3825</v>
      </c>
      <c r="J367" s="11" t="s">
        <v>3893</v>
      </c>
      <c r="K367" s="15">
        <f>IFERROR(MASUK8[[#This Row],[Harga Satuan]]*MASUK8[[#This Row],[Jumlah Keluar]], "")</f>
        <v>21600</v>
      </c>
      <c r="L367" s="11"/>
      <c r="M367" s="47">
        <f>IFERROR(VLOOKUP(C367,REKAP[[#All],[ID]:[Stok Akhir]],15,FALSE),"")</f>
        <v>61</v>
      </c>
    </row>
    <row r="368" spans="1:13" ht="16.5" thickTop="1" thickBot="1" x14ac:dyDescent="0.3">
      <c r="A368" s="27">
        <f t="shared" si="5"/>
        <v>362</v>
      </c>
      <c r="B368" s="7">
        <v>45380</v>
      </c>
      <c r="C368" s="8" t="s">
        <v>267</v>
      </c>
      <c r="D368" s="16" t="str">
        <f>IFERROR(VLOOKUP(C368,REKAP[[#All],[ID]:[Stok Akhir]],2,FALSE), "")</f>
        <v>Baut LPK</v>
      </c>
      <c r="E368" s="16" t="str">
        <f>IFERROR(VLOOKUP(C368,REKAP[[#All],[ID]:[Stok Akhir]],4,FALSE), "")</f>
        <v>M 5 X 15/16</v>
      </c>
      <c r="F368" s="16" t="str">
        <f>IFERROR(VLOOKUP(C368,REKAP[[#All],[ID]:[Stok Akhir]],6,FALSE),"")</f>
        <v>Mur &amp; Baut</v>
      </c>
      <c r="G368" s="15">
        <f>IFERROR(VLOOKUP(C368,REKAP[[#All],[ID]:[Stok Akhir]],8,FALSE),"")</f>
        <v>500</v>
      </c>
      <c r="H368" s="11">
        <v>4</v>
      </c>
      <c r="I368" s="11" t="s">
        <v>3825</v>
      </c>
      <c r="J368" s="11" t="s">
        <v>3893</v>
      </c>
      <c r="K368" s="15">
        <f>IFERROR(MASUK8[[#This Row],[Harga Satuan]]*MASUK8[[#This Row],[Jumlah Keluar]], "")</f>
        <v>2000</v>
      </c>
      <c r="L368" s="11"/>
      <c r="M368" s="47">
        <f>IFERROR(VLOOKUP(C368,REKAP[[#All],[ID]:[Stok Akhir]],15,FALSE),"")</f>
        <v>68</v>
      </c>
    </row>
    <row r="369" spans="1:13" ht="16.5" thickTop="1" thickBot="1" x14ac:dyDescent="0.3">
      <c r="A369" s="27">
        <f t="shared" si="5"/>
        <v>363</v>
      </c>
      <c r="B369" s="7">
        <v>45380</v>
      </c>
      <c r="C369" s="8" t="s">
        <v>259</v>
      </c>
      <c r="D369" s="16" t="str">
        <f>IFERROR(VLOOKUP(C369,REKAP[[#All],[ID]:[Stok Akhir]],2,FALSE), "")</f>
        <v>Baut LPK</v>
      </c>
      <c r="E369" s="16" t="str">
        <f>IFERROR(VLOOKUP(C369,REKAP[[#All],[ID]:[Stok Akhir]],4,FALSE), "")</f>
        <v>M 4 X 25</v>
      </c>
      <c r="F369" s="16" t="str">
        <f>IFERROR(VLOOKUP(C369,REKAP[[#All],[ID]:[Stok Akhir]],6,FALSE),"")</f>
        <v>Mur &amp; Baut</v>
      </c>
      <c r="G369" s="15">
        <f>IFERROR(VLOOKUP(C369,REKAP[[#All],[ID]:[Stok Akhir]],8,FALSE),"")</f>
        <v>600</v>
      </c>
      <c r="H369" s="11">
        <v>32</v>
      </c>
      <c r="I369" s="11" t="s">
        <v>3825</v>
      </c>
      <c r="J369" s="11" t="s">
        <v>3893</v>
      </c>
      <c r="K369" s="15">
        <f>IFERROR(MASUK8[[#This Row],[Harga Satuan]]*MASUK8[[#This Row],[Jumlah Keluar]], "")</f>
        <v>19200</v>
      </c>
      <c r="L369" s="11"/>
      <c r="M369" s="47">
        <f>IFERROR(VLOOKUP(C369,REKAP[[#All],[ID]:[Stok Akhir]],15,FALSE),"")</f>
        <v>28</v>
      </c>
    </row>
    <row r="370" spans="1:13" ht="16.5" thickTop="1" thickBot="1" x14ac:dyDescent="0.3">
      <c r="A370" s="27">
        <f t="shared" si="5"/>
        <v>364</v>
      </c>
      <c r="B370" s="7">
        <v>45380</v>
      </c>
      <c r="C370" s="8" t="s">
        <v>455</v>
      </c>
      <c r="D370" s="16" t="str">
        <f>IFERROR(VLOOKUP(C370,REKAP[[#All],[ID]:[Stok Akhir]],2,FALSE), "")</f>
        <v>Baut JFL</v>
      </c>
      <c r="E370" s="16" t="str">
        <f>IFERROR(VLOOKUP(C370,REKAP[[#All],[ID]:[Stok Akhir]],4,FALSE), "")</f>
        <v>M 5 X 10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80</v>
      </c>
      <c r="I370" s="11" t="s">
        <v>3825</v>
      </c>
      <c r="J370" s="11" t="s">
        <v>3927</v>
      </c>
      <c r="K370" s="15">
        <f>IFERROR(MASUK8[[#This Row],[Harga Satuan]]*MASUK8[[#This Row],[Jumlah Keluar]], "")</f>
        <v>40000</v>
      </c>
      <c r="L370" s="11"/>
      <c r="M370" s="47">
        <f>IFERROR(VLOOKUP(C370,REKAP[[#All],[ID]:[Stok Akhir]],15,FALSE),"")</f>
        <v>69</v>
      </c>
    </row>
    <row r="371" spans="1:13" ht="16.5" thickTop="1" thickBot="1" x14ac:dyDescent="0.3">
      <c r="A371" s="27">
        <f t="shared" si="5"/>
        <v>365</v>
      </c>
      <c r="B371" s="7">
        <v>45380</v>
      </c>
      <c r="C371" s="8" t="s">
        <v>463</v>
      </c>
      <c r="D371" s="16" t="str">
        <f>IFERROR(VLOOKUP(C371,REKAP[[#All],[ID]:[Stok Akhir]],2,FALSE), "")</f>
        <v>Baut JFL</v>
      </c>
      <c r="E371" s="16" t="str">
        <f>IFERROR(VLOOKUP(C371,REKAP[[#All],[ID]:[Stok Akhir]],4,FALSE), "")</f>
        <v>M 6 X 15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1000</v>
      </c>
      <c r="H371" s="11">
        <v>4</v>
      </c>
      <c r="I371" s="11" t="s">
        <v>3825</v>
      </c>
      <c r="J371" s="11" t="s">
        <v>3893</v>
      </c>
      <c r="K371" s="15">
        <f>IFERROR(MASUK8[[#This Row],[Harga Satuan]]*MASUK8[[#This Row],[Jumlah Keluar]], "")</f>
        <v>4000</v>
      </c>
      <c r="L371" s="11"/>
      <c r="M371" s="47">
        <f>IFERROR(VLOOKUP(C371,REKAP[[#All],[ID]:[Stok Akhir]],15,FALSE),"")</f>
        <v>27</v>
      </c>
    </row>
    <row r="372" spans="1:13" ht="16.5" thickTop="1" thickBot="1" x14ac:dyDescent="0.3">
      <c r="A372" s="27">
        <f t="shared" si="5"/>
        <v>366</v>
      </c>
      <c r="B372" s="7">
        <v>45380</v>
      </c>
      <c r="C372" s="8" t="s">
        <v>457</v>
      </c>
      <c r="D372" s="16" t="str">
        <f>IFERROR(VLOOKUP(C372,REKAP[[#All],[ID]:[Stok Akhir]],2,FALSE), "")</f>
        <v>Baut JFL</v>
      </c>
      <c r="E372" s="16" t="str">
        <f>IFERROR(VLOOKUP(C372,REKAP[[#All],[ID]:[Stok Akhir]],4,FALSE), "")</f>
        <v>M 5 X 16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400</v>
      </c>
      <c r="H372" s="11">
        <v>16</v>
      </c>
      <c r="I372" s="11" t="s">
        <v>3825</v>
      </c>
      <c r="J372" s="11" t="s">
        <v>3893</v>
      </c>
      <c r="K372" s="15">
        <f>IFERROR(MASUK8[[#This Row],[Harga Satuan]]*MASUK8[[#This Row],[Jumlah Keluar]], "")</f>
        <v>6400</v>
      </c>
      <c r="L372" s="11"/>
      <c r="M372" s="47">
        <f>IFERROR(VLOOKUP(C372,REKAP[[#All],[ID]:[Stok Akhir]],15,FALSE),"")</f>
        <v>56</v>
      </c>
    </row>
    <row r="373" spans="1:13" ht="16.5" thickTop="1" thickBot="1" x14ac:dyDescent="0.3">
      <c r="A373" s="27">
        <f t="shared" si="5"/>
        <v>367</v>
      </c>
      <c r="B373" s="7">
        <v>45380</v>
      </c>
      <c r="C373" s="8" t="s">
        <v>3793</v>
      </c>
      <c r="D373" s="16" t="str">
        <f>IFERROR(VLOOKUP(C373,REKAP[[#All],[ID]:[Stok Akhir]],2,FALSE), "")</f>
        <v xml:space="preserve">SPRING </v>
      </c>
      <c r="E373" s="16" t="str">
        <f>IFERROR(VLOOKUP(C373,REKAP[[#All],[ID]:[Stok Akhir]],4,FALSE), "")</f>
        <v>CSF 22-80</v>
      </c>
      <c r="F373" s="16" t="str">
        <f>IFERROR(VLOOKUP(C373,REKAP[[#All],[ID]:[Stok Akhir]],6,FALSE),"")</f>
        <v>Accessories Mold</v>
      </c>
      <c r="G373" s="15">
        <f>IFERROR(VLOOKUP(C373,REKAP[[#All],[ID]:[Stok Akhir]],8,FALSE),"")</f>
        <v>0</v>
      </c>
      <c r="H373" s="11">
        <v>6</v>
      </c>
      <c r="I373" s="11" t="s">
        <v>3846</v>
      </c>
      <c r="J373" s="11" t="s">
        <v>3882</v>
      </c>
      <c r="K373" s="15">
        <f>IFERROR(MASUK8[[#This Row],[Harga Satuan]]*MASUK8[[#This Row],[Jumlah Keluar]], "")</f>
        <v>0</v>
      </c>
      <c r="L373" s="11"/>
      <c r="M373" s="47">
        <f>IFERROR(VLOOKUP(C373,REKAP[[#All],[ID]:[Stok Akhir]],15,FALSE),"")</f>
        <v>0</v>
      </c>
    </row>
    <row r="374" spans="1:13" ht="16.5" thickTop="1" thickBot="1" x14ac:dyDescent="0.3">
      <c r="A374" s="27">
        <f t="shared" si="5"/>
        <v>368</v>
      </c>
      <c r="B374" s="7">
        <v>45380</v>
      </c>
      <c r="C374" s="8" t="s">
        <v>1327</v>
      </c>
      <c r="D374" s="16" t="str">
        <f>IFERROR(VLOOKUP(C374,REKAP[[#All],[ID]:[Stok Akhir]],2,FALSE), "")</f>
        <v>Spring</v>
      </c>
      <c r="E374" s="16" t="str">
        <f>IFERROR(VLOOKUP(C374,REKAP[[#All],[ID]:[Stok Akhir]],4,FALSE), "")</f>
        <v>CSF 14-40</v>
      </c>
      <c r="F374" s="16" t="str">
        <f>IFERROR(VLOOKUP(C374,REKAP[[#All],[ID]:[Stok Akhir]],6,FALSE),"")</f>
        <v>Accessories Mold</v>
      </c>
      <c r="G374" s="15">
        <f>IFERROR(VLOOKUP(C374,REKAP[[#All],[ID]:[Stok Akhir]],8,FALSE),"")</f>
        <v>29000</v>
      </c>
      <c r="H374" s="11">
        <v>2</v>
      </c>
      <c r="I374" s="11" t="s">
        <v>3846</v>
      </c>
      <c r="J374" s="11" t="s">
        <v>3882</v>
      </c>
      <c r="K374" s="15">
        <f>IFERROR(MASUK8[[#This Row],[Harga Satuan]]*MASUK8[[#This Row],[Jumlah Keluar]], "")</f>
        <v>58000</v>
      </c>
      <c r="L374" s="11"/>
      <c r="M374" s="47">
        <f>IFERROR(VLOOKUP(C374,REKAP[[#All],[ID]:[Stok Akhir]],15,FALSE),"")</f>
        <v>0</v>
      </c>
    </row>
    <row r="375" spans="1:13" ht="16.5" thickTop="1" thickBot="1" x14ac:dyDescent="0.3">
      <c r="A375" s="27">
        <f t="shared" si="5"/>
        <v>369</v>
      </c>
      <c r="B375" s="7">
        <v>45380</v>
      </c>
      <c r="C375" s="8" t="s">
        <v>1294</v>
      </c>
      <c r="D375" s="16" t="str">
        <f>IFERROR(VLOOKUP(C375,REKAP[[#All],[ID]:[Stok Akhir]],2,FALSE), "")</f>
        <v>Po-Lock</v>
      </c>
      <c r="E375" s="16" t="str">
        <f>IFERROR(VLOOKUP(C375,REKAP[[#All],[ID]:[Stok Akhir]],4,FALSE), "")</f>
        <v>PN-16</v>
      </c>
      <c r="F375" s="16" t="str">
        <f>IFERROR(VLOOKUP(C375,REKAP[[#All],[ID]:[Stok Akhir]],6,FALSE),"")</f>
        <v>Accessories Mold</v>
      </c>
      <c r="G375" s="15">
        <f>IFERROR(VLOOKUP(C375,REKAP[[#All],[ID]:[Stok Akhir]],8,FALSE),"")</f>
        <v>18240</v>
      </c>
      <c r="H375" s="11">
        <v>4</v>
      </c>
      <c r="I375" s="11" t="s">
        <v>3846</v>
      </c>
      <c r="J375" s="11" t="s">
        <v>3882</v>
      </c>
      <c r="K375" s="15">
        <f>IFERROR(MASUK8[[#This Row],[Harga Satuan]]*MASUK8[[#This Row],[Jumlah Keluar]], "")</f>
        <v>72960</v>
      </c>
      <c r="L375" s="11"/>
      <c r="M375" s="47">
        <f>IFERROR(VLOOKUP(C375,REKAP[[#All],[ID]:[Stok Akhir]],15,FALSE),"")</f>
        <v>0</v>
      </c>
    </row>
    <row r="376" spans="1:13" ht="16.5" thickTop="1" thickBot="1" x14ac:dyDescent="0.3">
      <c r="A376" s="27">
        <f t="shared" si="5"/>
        <v>370</v>
      </c>
      <c r="B376" s="7">
        <v>45380</v>
      </c>
      <c r="C376" s="8" t="s">
        <v>1302</v>
      </c>
      <c r="D376" s="16" t="str">
        <f>IFERROR(VLOOKUP(C376,REKAP[[#All],[ID]:[Stok Akhir]],2,FALSE), "")</f>
        <v>Quick Fitting</v>
      </c>
      <c r="E376" s="16" t="str">
        <f>IFERROR(VLOOKUP(C376,REKAP[[#All],[ID]:[Stok Akhir]],4,FALSE), "")</f>
        <v>QFT 02-10</v>
      </c>
      <c r="F376" s="16" t="str">
        <f>IFERROR(VLOOKUP(C376,REKAP[[#All],[ID]:[Stok Akhir]],6,FALSE),"")</f>
        <v>Accessories Mold</v>
      </c>
      <c r="G376" s="15">
        <f>IFERROR(VLOOKUP(C376,REKAP[[#All],[ID]:[Stok Akhir]],8,FALSE),"")</f>
        <v>25000</v>
      </c>
      <c r="H376" s="11">
        <v>8</v>
      </c>
      <c r="I376" s="11" t="s">
        <v>3846</v>
      </c>
      <c r="J376" s="11" t="s">
        <v>3882</v>
      </c>
      <c r="K376" s="15">
        <f>IFERROR(MASUK8[[#This Row],[Harga Satuan]]*MASUK8[[#This Row],[Jumlah Keluar]], "")</f>
        <v>200000</v>
      </c>
      <c r="L376" s="11"/>
      <c r="M376" s="47">
        <f>IFERROR(VLOOKUP(C376,REKAP[[#All],[ID]:[Stok Akhir]],15,FALSE),"")</f>
        <v>0</v>
      </c>
    </row>
    <row r="377" spans="1:13" ht="16.5" thickTop="1" thickBot="1" x14ac:dyDescent="0.3">
      <c r="A377" s="27">
        <f t="shared" si="5"/>
        <v>371</v>
      </c>
      <c r="B377" s="7">
        <v>45380</v>
      </c>
      <c r="C377" s="8" t="s">
        <v>962</v>
      </c>
      <c r="D377" s="16" t="str">
        <f>IFERROR(VLOOKUP(C377,REKAP[[#All],[ID]:[Stok Akhir]],2,FALSE), "")</f>
        <v>Dowel Pin</v>
      </c>
      <c r="E377" s="16" t="str">
        <f>IFERROR(VLOOKUP(C377,REKAP[[#All],[ID]:[Stok Akhir]],4,FALSE), "")</f>
        <v>DPND-8-15</v>
      </c>
      <c r="F377" s="16" t="str">
        <f>IFERROR(VLOOKUP(C377,REKAP[[#All],[ID]:[Stok Akhir]],6,FALSE),"")</f>
        <v>Accessories Mold</v>
      </c>
      <c r="G377" s="15">
        <f>IFERROR(VLOOKUP(C377,REKAP[[#All],[ID]:[Stok Akhir]],8,FALSE),"")</f>
        <v>3726</v>
      </c>
      <c r="H377" s="11">
        <v>2</v>
      </c>
      <c r="I377" s="11" t="s">
        <v>3846</v>
      </c>
      <c r="J377" s="11" t="s">
        <v>3882</v>
      </c>
      <c r="K377" s="15">
        <f>IFERROR(MASUK8[[#This Row],[Harga Satuan]]*MASUK8[[#This Row],[Jumlah Keluar]], "")</f>
        <v>7452</v>
      </c>
      <c r="L377" s="11"/>
      <c r="M377" s="47">
        <f>IFERROR(VLOOKUP(C377,REKAP[[#All],[ID]:[Stok Akhir]],15,FALSE),"")</f>
        <v>2</v>
      </c>
    </row>
    <row r="378" spans="1:13" ht="16.5" thickTop="1" thickBot="1" x14ac:dyDescent="0.3">
      <c r="A378" s="27">
        <f t="shared" si="5"/>
        <v>372</v>
      </c>
      <c r="B378" s="7">
        <v>45380</v>
      </c>
      <c r="C378" s="8" t="s">
        <v>3788</v>
      </c>
      <c r="D378" s="16" t="str">
        <f>IFERROR(VLOOKUP(C378,REKAP[[#All],[ID]:[Stok Akhir]],2,FALSE), "")</f>
        <v>NIPLLE</v>
      </c>
      <c r="E378" s="16" t="str">
        <f>IFERROR(VLOOKUP(C378,REKAP[[#All],[ID]:[Stok Akhir]],4,FALSE), "")</f>
        <v>QTA 020-100</v>
      </c>
      <c r="F378" s="16" t="str">
        <f>IFERROR(VLOOKUP(C378,REKAP[[#All],[ID]:[Stok Akhir]],6,FALSE),"")</f>
        <v>Accessories Mold</v>
      </c>
      <c r="G378" s="15">
        <f>IFERROR(VLOOKUP(C378,REKAP[[#All],[ID]:[Stok Akhir]],8,FALSE),"")</f>
        <v>0</v>
      </c>
      <c r="H378" s="11">
        <v>4</v>
      </c>
      <c r="I378" s="11" t="s">
        <v>3846</v>
      </c>
      <c r="J378" s="11" t="s">
        <v>3882</v>
      </c>
      <c r="K378" s="15">
        <f>IFERROR(MASUK8[[#This Row],[Harga Satuan]]*MASUK8[[#This Row],[Jumlah Keluar]], "")</f>
        <v>0</v>
      </c>
      <c r="L378" s="11"/>
      <c r="M378" s="47">
        <f>IFERROR(VLOOKUP(C378,REKAP[[#All],[ID]:[Stok Akhir]],15,FALSE),"")</f>
        <v>0</v>
      </c>
    </row>
    <row r="379" spans="1:13" ht="16.5" thickTop="1" thickBot="1" x14ac:dyDescent="0.3">
      <c r="A379" s="27">
        <f t="shared" si="5"/>
        <v>373</v>
      </c>
      <c r="B379" s="7">
        <v>45380</v>
      </c>
      <c r="C379" s="8" t="s">
        <v>1140</v>
      </c>
      <c r="D379" s="16" t="str">
        <f>IFERROR(VLOOKUP(C379,REKAP[[#All],[ID]:[Stok Akhir]],2,FALSE), "")</f>
        <v>Ejector Pin</v>
      </c>
      <c r="E379" s="16" t="str">
        <f>IFERROR(VLOOKUP(C379,REKAP[[#All],[ID]:[Stok Akhir]],4,FALSE), "")</f>
        <v>EPD-6-100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21500</v>
      </c>
      <c r="H379" s="11">
        <v>4</v>
      </c>
      <c r="I379" s="11" t="s">
        <v>3846</v>
      </c>
      <c r="J379" s="11" t="s">
        <v>3882</v>
      </c>
      <c r="K379" s="15">
        <f>IFERROR(MASUK8[[#This Row],[Harga Satuan]]*MASUK8[[#This Row],[Jumlah Keluar]], "")</f>
        <v>86000</v>
      </c>
      <c r="L379" s="11"/>
      <c r="M379" s="47">
        <f>IFERROR(VLOOKUP(C379,REKAP[[#All],[ID]:[Stok Akhir]],15,FALSE),"")</f>
        <v>0</v>
      </c>
    </row>
    <row r="380" spans="1:13" ht="16.5" thickTop="1" thickBot="1" x14ac:dyDescent="0.3">
      <c r="A380" s="27">
        <f t="shared" si="5"/>
        <v>374</v>
      </c>
      <c r="B380" s="7">
        <v>45380</v>
      </c>
      <c r="C380" s="8" t="s">
        <v>1196</v>
      </c>
      <c r="D380" s="16" t="str">
        <f>IFERROR(VLOOKUP(C380,REKAP[[#All],[ID]:[Stok Akhir]],2,FALSE), "")</f>
        <v>Eye Bolt</v>
      </c>
      <c r="E380" s="16" t="str">
        <f>IFERROR(VLOOKUP(C380,REKAP[[#All],[ID]:[Stok Akhir]],4,FALSE), "")</f>
        <v>BLE-20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65000</v>
      </c>
      <c r="H380" s="11">
        <v>2</v>
      </c>
      <c r="I380" s="11" t="s">
        <v>3846</v>
      </c>
      <c r="J380" s="11" t="s">
        <v>3882</v>
      </c>
      <c r="K380" s="15">
        <f>IFERROR(MASUK8[[#This Row],[Harga Satuan]]*MASUK8[[#This Row],[Jumlah Keluar]], "")</f>
        <v>130000</v>
      </c>
      <c r="L380" s="11"/>
      <c r="M380" s="47">
        <f>IFERROR(VLOOKUP(C380,REKAP[[#All],[ID]:[Stok Akhir]],15,FALSE),"")</f>
        <v>1</v>
      </c>
    </row>
    <row r="381" spans="1:13" ht="16.5" thickTop="1" thickBot="1" x14ac:dyDescent="0.3">
      <c r="A381" s="27">
        <f t="shared" si="5"/>
        <v>375</v>
      </c>
      <c r="B381" s="7">
        <v>45380</v>
      </c>
      <c r="C381" s="8" t="s">
        <v>266</v>
      </c>
      <c r="D381" s="16" t="str">
        <f>IFERROR(VLOOKUP(C381,REKAP[[#All],[ID]:[Stok Akhir]],2,FALSE), "")</f>
        <v>Baut LPK</v>
      </c>
      <c r="E381" s="16" t="str">
        <f>IFERROR(VLOOKUP(C381,REKAP[[#All],[ID]:[Stok Akhir]],4,FALSE), "")</f>
        <v xml:space="preserve">M 5 X 12  </v>
      </c>
      <c r="F381" s="16" t="str">
        <f>IFERROR(VLOOKUP(C381,REKAP[[#All],[ID]:[Stok Akhir]],6,FALSE),"")</f>
        <v>Mur &amp; Baut</v>
      </c>
      <c r="G381" s="15">
        <f>IFERROR(VLOOKUP(C381,REKAP[[#All],[ID]:[Stok Akhir]],8,FALSE),"")</f>
        <v>500</v>
      </c>
      <c r="H381" s="11">
        <v>12</v>
      </c>
      <c r="I381" s="11" t="s">
        <v>3846</v>
      </c>
      <c r="J381" s="11" t="s">
        <v>3882</v>
      </c>
      <c r="K381" s="15">
        <f>IFERROR(MASUK8[[#This Row],[Harga Satuan]]*MASUK8[[#This Row],[Jumlah Keluar]], "")</f>
        <v>6000</v>
      </c>
      <c r="L381" s="11"/>
      <c r="M381" s="47">
        <f>IFERROR(VLOOKUP(C381,REKAP[[#All],[ID]:[Stok Akhir]],15,FALSE),"")</f>
        <v>18</v>
      </c>
    </row>
    <row r="382" spans="1:13" ht="16.5" thickTop="1" thickBot="1" x14ac:dyDescent="0.3">
      <c r="A382" s="27">
        <f t="shared" si="5"/>
        <v>376</v>
      </c>
      <c r="B382" s="7">
        <v>45380</v>
      </c>
      <c r="C382" s="8" t="s">
        <v>360</v>
      </c>
      <c r="D382" s="16" t="str">
        <f>IFERROR(VLOOKUP(C382,REKAP[[#All],[ID]:[Stok Akhir]],2,FALSE), "")</f>
        <v>Baut LPK</v>
      </c>
      <c r="E382" s="16" t="str">
        <f>IFERROR(VLOOKUP(C382,REKAP[[#All],[ID]:[Stok Akhir]],4,FALSE), "")</f>
        <v>M 12 X 40</v>
      </c>
      <c r="F382" s="16" t="str">
        <f>IFERROR(VLOOKUP(C382,REKAP[[#All],[ID]:[Stok Akhir]],6,FALSE),"")</f>
        <v>Mur &amp; Baut</v>
      </c>
      <c r="G382" s="15">
        <f>IFERROR(VLOOKUP(C382,REKAP[[#All],[ID]:[Stok Akhir]],8,FALSE),"")</f>
        <v>3750</v>
      </c>
      <c r="H382" s="11">
        <v>4</v>
      </c>
      <c r="I382" s="11" t="s">
        <v>3846</v>
      </c>
      <c r="J382" s="11" t="s">
        <v>3882</v>
      </c>
      <c r="K382" s="15">
        <f>IFERROR(MASUK8[[#This Row],[Harga Satuan]]*MASUK8[[#This Row],[Jumlah Keluar]], "")</f>
        <v>15000</v>
      </c>
      <c r="L382" s="11"/>
      <c r="M382" s="47">
        <f>IFERROR(VLOOKUP(C382,REKAP[[#All],[ID]:[Stok Akhir]],15,FALSE),"")</f>
        <v>7</v>
      </c>
    </row>
    <row r="383" spans="1:13" ht="16.5" thickTop="1" thickBot="1" x14ac:dyDescent="0.3">
      <c r="A383" s="27">
        <f t="shared" si="5"/>
        <v>377</v>
      </c>
      <c r="B383" s="7">
        <v>45380</v>
      </c>
      <c r="C383" s="8" t="s">
        <v>312</v>
      </c>
      <c r="D383" s="16" t="str">
        <f>IFERROR(VLOOKUP(C383,REKAP[[#All],[ID]:[Stok Akhir]],2,FALSE), "")</f>
        <v>Baut LPK</v>
      </c>
      <c r="E383" s="16" t="str">
        <f>IFERROR(VLOOKUP(C383,REKAP[[#All],[ID]:[Stok Akhir]],4,FALSE), "")</f>
        <v>M 8 X 40</v>
      </c>
      <c r="F383" s="16" t="str">
        <f>IFERROR(VLOOKUP(C383,REKAP[[#All],[ID]:[Stok Akhir]],6,FALSE),"")</f>
        <v>Mur &amp; Baut</v>
      </c>
      <c r="G383" s="15">
        <f>IFERROR(VLOOKUP(C383,REKAP[[#All],[ID]:[Stok Akhir]],8,FALSE),"")</f>
        <v>2000</v>
      </c>
      <c r="H383" s="11">
        <v>8</v>
      </c>
      <c r="I383" s="11" t="s">
        <v>3846</v>
      </c>
      <c r="J383" s="11" t="s">
        <v>3882</v>
      </c>
      <c r="K383" s="15">
        <f>IFERROR(MASUK8[[#This Row],[Harga Satuan]]*MASUK8[[#This Row],[Jumlah Keluar]], "")</f>
        <v>16000</v>
      </c>
      <c r="L383" s="11"/>
      <c r="M383" s="47">
        <f>IFERROR(VLOOKUP(C383,REKAP[[#All],[ID]:[Stok Akhir]],15,FALSE),"")</f>
        <v>12</v>
      </c>
    </row>
    <row r="384" spans="1:13" ht="16.5" thickTop="1" thickBot="1" x14ac:dyDescent="0.3">
      <c r="A384" s="27">
        <f t="shared" si="5"/>
        <v>378</v>
      </c>
      <c r="B384" s="7">
        <v>45380</v>
      </c>
      <c r="C384" s="8" t="s">
        <v>286</v>
      </c>
      <c r="D384" s="16" t="str">
        <f>IFERROR(VLOOKUP(C384,REKAP[[#All],[ID]:[Stok Akhir]],2,FALSE), "")</f>
        <v>Baut LPK</v>
      </c>
      <c r="E384" s="16" t="str">
        <f>IFERROR(VLOOKUP(C384,REKAP[[#All],[ID]:[Stok Akhir]],4,FALSE), "")</f>
        <v>M 6 X 15/16</v>
      </c>
      <c r="F384" s="16" t="str">
        <f>IFERROR(VLOOKUP(C384,REKAP[[#All],[ID]:[Stok Akhir]],6,FALSE),"")</f>
        <v>Mur &amp; Baut</v>
      </c>
      <c r="G384" s="15">
        <f>IFERROR(VLOOKUP(C384,REKAP[[#All],[ID]:[Stok Akhir]],8,FALSE),"")</f>
        <v>600</v>
      </c>
      <c r="H384" s="11">
        <v>4</v>
      </c>
      <c r="I384" s="11" t="s">
        <v>3846</v>
      </c>
      <c r="J384" s="11" t="s">
        <v>3882</v>
      </c>
      <c r="K384" s="15">
        <f>IFERROR(MASUK8[[#This Row],[Harga Satuan]]*MASUK8[[#This Row],[Jumlah Keluar]], "")</f>
        <v>2400</v>
      </c>
      <c r="L384" s="11"/>
      <c r="M384" s="47">
        <f>IFERROR(VLOOKUP(C384,REKAP[[#All],[ID]:[Stok Akhir]],15,FALSE),"")</f>
        <v>61</v>
      </c>
    </row>
    <row r="385" spans="1:13" ht="16.5" thickTop="1" thickBot="1" x14ac:dyDescent="0.3">
      <c r="A385" s="27">
        <f t="shared" si="5"/>
        <v>379</v>
      </c>
      <c r="B385" s="7">
        <v>45380</v>
      </c>
      <c r="C385" s="8" t="s">
        <v>310</v>
      </c>
      <c r="D385" s="16" t="str">
        <f>IFERROR(VLOOKUP(C385,REKAP[[#All],[ID]:[Stok Akhir]],2,FALSE), "")</f>
        <v>Baut LPK</v>
      </c>
      <c r="E385" s="16" t="str">
        <f>IFERROR(VLOOKUP(C385,REKAP[[#All],[ID]:[Stok Akhir]],4,FALSE), "")</f>
        <v>M 8 X 30</v>
      </c>
      <c r="F385" s="16" t="str">
        <f>IFERROR(VLOOKUP(C385,REKAP[[#All],[ID]:[Stok Akhir]],6,FALSE),"")</f>
        <v>Mur &amp; Baut</v>
      </c>
      <c r="G385" s="15">
        <f>IFERROR(VLOOKUP(C385,REKAP[[#All],[ID]:[Stok Akhir]],8,FALSE),"")</f>
        <v>2000</v>
      </c>
      <c r="H385" s="11">
        <v>6</v>
      </c>
      <c r="I385" s="11" t="s">
        <v>3846</v>
      </c>
      <c r="J385" s="11" t="s">
        <v>3882</v>
      </c>
      <c r="K385" s="15">
        <f>IFERROR(MASUK8[[#This Row],[Harga Satuan]]*MASUK8[[#This Row],[Jumlah Keluar]], "")</f>
        <v>12000</v>
      </c>
      <c r="L385" s="11"/>
      <c r="M385" s="47">
        <f>IFERROR(VLOOKUP(C385,REKAP[[#All],[ID]:[Stok Akhir]],15,FALSE),"")</f>
        <v>15</v>
      </c>
    </row>
    <row r="386" spans="1:13" ht="16.5" thickTop="1" thickBot="1" x14ac:dyDescent="0.3">
      <c r="A386" s="27">
        <f t="shared" si="5"/>
        <v>380</v>
      </c>
      <c r="B386" s="7">
        <v>45380</v>
      </c>
      <c r="C386" s="8" t="s">
        <v>3023</v>
      </c>
      <c r="D386" s="16" t="str">
        <f>IFERROR(VLOOKUP(C386,REKAP[[#All],[ID]:[Stok Akhir]],2,FALSE), "")</f>
        <v>Insert Moldino</v>
      </c>
      <c r="E386" s="16" t="str">
        <f>IFERROR(VLOOKUP(C386,REKAP[[#All],[ID]:[Stok Akhir]],4,FALSE), "")</f>
        <v>ENMU0603ER-C JP4120</v>
      </c>
      <c r="F386" s="16" t="str">
        <f>IFERROR(VLOOKUP(C386,REKAP[[#All],[ID]:[Stok Akhir]],6,FALSE),"")</f>
        <v>Tools</v>
      </c>
      <c r="G386" s="15">
        <f>IFERROR(VLOOKUP(C386,REKAP[[#All],[ID]:[Stok Akhir]],8,FALSE),"")</f>
        <v>122000</v>
      </c>
      <c r="H386" s="11">
        <v>10</v>
      </c>
      <c r="I386" s="11" t="s">
        <v>3865</v>
      </c>
      <c r="J386" s="11" t="s">
        <v>3894</v>
      </c>
      <c r="K386" s="15">
        <f>IFERROR(MASUK8[[#This Row],[Harga Satuan]]*MASUK8[[#This Row],[Jumlah Keluar]], "")</f>
        <v>1220000</v>
      </c>
      <c r="L386" s="11"/>
      <c r="M386" s="47">
        <f>IFERROR(VLOOKUP(C386,REKAP[[#All],[ID]:[Stok Akhir]],15,FALSE),"")</f>
        <v>0</v>
      </c>
    </row>
    <row r="387" spans="1:13" ht="16.5" thickTop="1" thickBot="1" x14ac:dyDescent="0.3">
      <c r="A387" s="27">
        <f t="shared" si="5"/>
        <v>381</v>
      </c>
      <c r="B387" s="7">
        <v>45380</v>
      </c>
      <c r="C387" s="8" t="s">
        <v>731</v>
      </c>
      <c r="D387" s="16" t="str">
        <f>IFERROR(VLOOKUP(C387,REKAP[[#All],[ID]:[Stok Akhir]],2,FALSE), "")</f>
        <v xml:space="preserve">EDM WIRE </v>
      </c>
      <c r="E387" s="16" t="str">
        <f>IFERROR(VLOOKUP(C387,REKAP[[#All],[ID]:[Stok Akhir]],4,FALSE), "")</f>
        <v>0.25mm</v>
      </c>
      <c r="F387" s="16" t="str">
        <f>IFERROR(VLOOKUP(C387,REKAP[[#All],[ID]:[Stok Akhir]],6,FALSE),"")</f>
        <v>Bahan Pembantu</v>
      </c>
      <c r="G387" s="15">
        <f>IFERROR(VLOOKUP(C387,REKAP[[#All],[ID]:[Stok Akhir]],8,FALSE),"")</f>
        <v>160000</v>
      </c>
      <c r="H387" s="11">
        <v>1</v>
      </c>
      <c r="I387" s="11" t="s">
        <v>3716</v>
      </c>
      <c r="J387" s="11" t="s">
        <v>3842</v>
      </c>
      <c r="K387" s="15">
        <f>IFERROR(MASUK8[[#This Row],[Harga Satuan]]*MASUK8[[#This Row],[Jumlah Keluar]], "")</f>
        <v>160000</v>
      </c>
      <c r="L387" s="11"/>
      <c r="M387" s="47">
        <f>IFERROR(VLOOKUP(C387,REKAP[[#All],[ID]:[Stok Akhir]],15,FALSE),"")</f>
        <v>7</v>
      </c>
    </row>
    <row r="388" spans="1:13" ht="16.5" thickTop="1" thickBot="1" x14ac:dyDescent="0.3">
      <c r="A388" s="27">
        <f t="shared" si="5"/>
        <v>382</v>
      </c>
      <c r="B388" s="7">
        <v>45380</v>
      </c>
      <c r="C388" s="8" t="s">
        <v>788</v>
      </c>
      <c r="D388" s="16" t="str">
        <f>IFERROR(VLOOKUP(C388,REKAP[[#All],[ID]:[Stok Akhir]],2,FALSE), "")</f>
        <v>Sarung Tangan kain</v>
      </c>
      <c r="E388" s="16">
        <f>IFERROR(VLOOKUP(C388,REKAP[[#All],[ID]:[Stok Akhir]],4,FALSE), "")</f>
        <v>0</v>
      </c>
      <c r="F388" s="16" t="str">
        <f>IFERROR(VLOOKUP(C388,REKAP[[#All],[ID]:[Stok Akhir]],6,FALSE),"")</f>
        <v>Bahan Pembantu</v>
      </c>
      <c r="G388" s="15">
        <f>IFERROR(VLOOKUP(C388,REKAP[[#All],[ID]:[Stok Akhir]],8,FALSE),"")</f>
        <v>2000</v>
      </c>
      <c r="H388" s="11">
        <v>1</v>
      </c>
      <c r="I388" s="11" t="s">
        <v>3871</v>
      </c>
      <c r="J388" s="11" t="s">
        <v>3663</v>
      </c>
      <c r="K388" s="15">
        <f>IFERROR(MASUK8[[#This Row],[Harga Satuan]]*MASUK8[[#This Row],[Jumlah Keluar]], "")</f>
        <v>2000</v>
      </c>
      <c r="L388" s="11"/>
      <c r="M388" s="47">
        <f>IFERROR(VLOOKUP(C388,REKAP[[#All],[ID]:[Stok Akhir]],15,FALSE),"")</f>
        <v>0</v>
      </c>
    </row>
    <row r="389" spans="1:13" ht="16.5" thickTop="1" thickBot="1" x14ac:dyDescent="0.3">
      <c r="A389" s="27">
        <f t="shared" si="5"/>
        <v>383</v>
      </c>
      <c r="B389" s="7">
        <v>45380</v>
      </c>
      <c r="C389" s="8" t="s">
        <v>765</v>
      </c>
      <c r="D389" s="16" t="str">
        <f>IFERROR(VLOOKUP(C389,REKAP[[#All],[ID]:[Stok Akhir]],2,FALSE), "")</f>
        <v>Lipstik</v>
      </c>
      <c r="E389" s="16">
        <f>IFERROR(VLOOKUP(C389,REKAP[[#All],[ID]:[Stok Akhir]],4,FALSE), "")</f>
        <v>0</v>
      </c>
      <c r="F389" s="16" t="str">
        <f>IFERROR(VLOOKUP(C389,REKAP[[#All],[ID]:[Stok Akhir]],6,FALSE),"")</f>
        <v>Bahan Pembantu</v>
      </c>
      <c r="G389" s="15">
        <f>IFERROR(VLOOKUP(C389,REKAP[[#All],[ID]:[Stok Akhir]],8,FALSE),"")</f>
        <v>12258</v>
      </c>
      <c r="H389" s="11">
        <v>1</v>
      </c>
      <c r="I389" s="11" t="s">
        <v>3874</v>
      </c>
      <c r="J389" s="11" t="s">
        <v>3842</v>
      </c>
      <c r="K389" s="15">
        <f>IFERROR(MASUK8[[#This Row],[Harga Satuan]]*MASUK8[[#This Row],[Jumlah Keluar]], "")</f>
        <v>12258</v>
      </c>
      <c r="L389" s="11"/>
      <c r="M389" s="47">
        <f>IFERROR(VLOOKUP(C389,REKAP[[#All],[ID]:[Stok Akhir]],15,FALSE),"")</f>
        <v>6</v>
      </c>
    </row>
    <row r="390" spans="1:13" ht="16.5" thickTop="1" thickBot="1" x14ac:dyDescent="0.3">
      <c r="A390" s="27">
        <f t="shared" si="5"/>
        <v>384</v>
      </c>
      <c r="B390" s="7">
        <v>45381</v>
      </c>
      <c r="C390" s="8" t="s">
        <v>1196</v>
      </c>
      <c r="D390" s="16" t="str">
        <f>IFERROR(VLOOKUP(C390,REKAP[[#All],[ID]:[Stok Akhir]],2,FALSE), "")</f>
        <v>Eye Bolt</v>
      </c>
      <c r="E390" s="16" t="str">
        <f>IFERROR(VLOOKUP(C390,REKAP[[#All],[ID]:[Stok Akhir]],4,FALSE), "")</f>
        <v>BLE-20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65000</v>
      </c>
      <c r="H390" s="11">
        <v>16</v>
      </c>
      <c r="I390" s="11" t="s">
        <v>3825</v>
      </c>
      <c r="J390" s="11" t="s">
        <v>3895</v>
      </c>
      <c r="K390" s="15">
        <f>IFERROR(MASUK8[[#This Row],[Harga Satuan]]*MASUK8[[#This Row],[Jumlah Keluar]], "")</f>
        <v>1040000</v>
      </c>
      <c r="L390" s="11"/>
      <c r="M390" s="47">
        <f>IFERROR(VLOOKUP(C390,REKAP[[#All],[ID]:[Stok Akhir]],15,FALSE),"")</f>
        <v>1</v>
      </c>
    </row>
    <row r="391" spans="1:13" ht="16.5" thickTop="1" thickBot="1" x14ac:dyDescent="0.3">
      <c r="A391" s="27">
        <f t="shared" ref="A391:A454" si="6">ROW()-ROW($A$6)</f>
        <v>385</v>
      </c>
      <c r="B391" s="7">
        <v>45381</v>
      </c>
      <c r="C391" s="8" t="s">
        <v>964</v>
      </c>
      <c r="D391" s="16" t="str">
        <f>IFERROR(VLOOKUP(C391,REKAP[[#All],[ID]:[Stok Akhir]],2,FALSE), "")</f>
        <v>Dowel Pin</v>
      </c>
      <c r="E391" s="16" t="str">
        <f>IFERROR(VLOOKUP(C391,REKAP[[#All],[ID]:[Stok Akhir]],4,FALSE), "")</f>
        <v>DPND-8-25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14904</v>
      </c>
      <c r="H391" s="11">
        <v>24</v>
      </c>
      <c r="I391" s="11" t="s">
        <v>3825</v>
      </c>
      <c r="J391" s="11" t="s">
        <v>3797</v>
      </c>
      <c r="K391" s="15">
        <f>IFERROR(MASUK8[[#This Row],[Harga Satuan]]*MASUK8[[#This Row],[Jumlah Keluar]], "")</f>
        <v>357696</v>
      </c>
      <c r="L391" s="11"/>
      <c r="M391" s="47">
        <f>IFERROR(VLOOKUP(C391,REKAP[[#All],[ID]:[Stok Akhir]],15,FALSE),"")</f>
        <v>6</v>
      </c>
    </row>
    <row r="392" spans="1:13" ht="16.5" thickTop="1" thickBot="1" x14ac:dyDescent="0.3">
      <c r="A392" s="27">
        <f t="shared" si="6"/>
        <v>386</v>
      </c>
      <c r="B392" s="7">
        <v>45381</v>
      </c>
      <c r="C392" s="8" t="s">
        <v>958</v>
      </c>
      <c r="D392" s="16" t="str">
        <f>IFERROR(VLOOKUP(C392,REKAP[[#All],[ID]:[Stok Akhir]],2,FALSE), "")</f>
        <v>Dowel Pin</v>
      </c>
      <c r="E392" s="16" t="str">
        <f>IFERROR(VLOOKUP(C392,REKAP[[#All],[ID]:[Stok Akhir]],4,FALSE), "")</f>
        <v>DPND-6-20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2879</v>
      </c>
      <c r="H392" s="11">
        <v>40</v>
      </c>
      <c r="I392" s="11" t="s">
        <v>3825</v>
      </c>
      <c r="J392" s="11" t="s">
        <v>3797</v>
      </c>
      <c r="K392" s="15">
        <f>IFERROR(MASUK8[[#This Row],[Harga Satuan]]*MASUK8[[#This Row],[Jumlah Keluar]], "")</f>
        <v>115160</v>
      </c>
      <c r="L392" s="11"/>
      <c r="M392" s="47">
        <f>IFERROR(VLOOKUP(C392,REKAP[[#All],[ID]:[Stok Akhir]],15,FALSE),"")</f>
        <v>22</v>
      </c>
    </row>
    <row r="393" spans="1:13" ht="16.5" thickTop="1" thickBot="1" x14ac:dyDescent="0.3">
      <c r="A393" s="27">
        <f t="shared" si="6"/>
        <v>387</v>
      </c>
      <c r="B393" s="7">
        <v>45381</v>
      </c>
      <c r="C393" s="8" t="s">
        <v>970</v>
      </c>
      <c r="D393" s="16" t="str">
        <f>IFERROR(VLOOKUP(C393,REKAP[[#All],[ID]:[Stok Akhir]],2,FALSE), "")</f>
        <v>Dowel Pin</v>
      </c>
      <c r="E393" s="16" t="str">
        <f>IFERROR(VLOOKUP(C393,REKAP[[#All],[ID]:[Stok Akhir]],4,FALSE), "")</f>
        <v>DPND-10-25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5398</v>
      </c>
      <c r="H393" s="11">
        <v>4</v>
      </c>
      <c r="I393" s="11" t="s">
        <v>3825</v>
      </c>
      <c r="J393" s="11" t="s">
        <v>3893</v>
      </c>
      <c r="K393" s="15">
        <f>IFERROR(MASUK8[[#This Row],[Harga Satuan]]*MASUK8[[#This Row],[Jumlah Keluar]], "")</f>
        <v>21592</v>
      </c>
      <c r="L393" s="11"/>
      <c r="M393" s="47">
        <f>IFERROR(VLOOKUP(C393,REKAP[[#All],[ID]:[Stok Akhir]],15,FALSE),"")</f>
        <v>1</v>
      </c>
    </row>
    <row r="394" spans="1:13" ht="16.5" thickTop="1" thickBot="1" x14ac:dyDescent="0.3">
      <c r="A394" s="27">
        <f t="shared" si="6"/>
        <v>388</v>
      </c>
      <c r="B394" s="7">
        <v>45381</v>
      </c>
      <c r="C394" s="8" t="s">
        <v>958</v>
      </c>
      <c r="D394" s="16" t="str">
        <f>IFERROR(VLOOKUP(C394,REKAP[[#All],[ID]:[Stok Akhir]],2,FALSE), "")</f>
        <v>Dowel Pin</v>
      </c>
      <c r="E394" s="16" t="str">
        <f>IFERROR(VLOOKUP(C394,REKAP[[#All],[ID]:[Stok Akhir]],4,FALSE), "")</f>
        <v>DPND-6-20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2879</v>
      </c>
      <c r="H394" s="11">
        <v>48</v>
      </c>
      <c r="I394" s="11" t="s">
        <v>3825</v>
      </c>
      <c r="J394" s="11" t="s">
        <v>3893</v>
      </c>
      <c r="K394" s="15">
        <f>IFERROR(MASUK8[[#This Row],[Harga Satuan]]*MASUK8[[#This Row],[Jumlah Keluar]], "")</f>
        <v>138192</v>
      </c>
      <c r="L394" s="11"/>
      <c r="M394" s="47">
        <f>IFERROR(VLOOKUP(C394,REKAP[[#All],[ID]:[Stok Akhir]],15,FALSE),"")</f>
        <v>22</v>
      </c>
    </row>
    <row r="395" spans="1:13" ht="16.5" thickTop="1" thickBot="1" x14ac:dyDescent="0.3">
      <c r="A395" s="27">
        <f t="shared" si="6"/>
        <v>389</v>
      </c>
      <c r="B395" s="7">
        <v>45381</v>
      </c>
      <c r="C395" s="8" t="s">
        <v>957</v>
      </c>
      <c r="D395" s="16" t="str">
        <f>IFERROR(VLOOKUP(C395,REKAP[[#All],[ID]:[Stok Akhir]],2,FALSE), "")</f>
        <v>Dowel Pin</v>
      </c>
      <c r="E395" s="16" t="str">
        <f>IFERROR(VLOOKUP(C395,REKAP[[#All],[ID]:[Stok Akhir]],4,FALSE), "")</f>
        <v>DPND-6-15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2879</v>
      </c>
      <c r="H395" s="11">
        <v>8</v>
      </c>
      <c r="I395" s="11" t="s">
        <v>3825</v>
      </c>
      <c r="J395" s="11" t="s">
        <v>3893</v>
      </c>
      <c r="K395" s="15">
        <f>IFERROR(MASUK8[[#This Row],[Harga Satuan]]*MASUK8[[#This Row],[Jumlah Keluar]], "")</f>
        <v>23032</v>
      </c>
      <c r="L395" s="11"/>
      <c r="M395" s="47">
        <f>IFERROR(VLOOKUP(C395,REKAP[[#All],[ID]:[Stok Akhir]],15,FALSE),"")</f>
        <v>3</v>
      </c>
    </row>
    <row r="396" spans="1:13" ht="16.5" thickTop="1" thickBot="1" x14ac:dyDescent="0.3">
      <c r="A396" s="27">
        <f t="shared" si="6"/>
        <v>390</v>
      </c>
      <c r="B396" s="7">
        <v>45381</v>
      </c>
      <c r="C396" s="8" t="s">
        <v>969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DPND-10-20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5096</v>
      </c>
      <c r="H396" s="11">
        <v>4</v>
      </c>
      <c r="I396" s="11" t="s">
        <v>3825</v>
      </c>
      <c r="J396" s="11" t="s">
        <v>3893</v>
      </c>
      <c r="K396" s="15">
        <f>IFERROR(MASUK8[[#This Row],[Harga Satuan]]*MASUK8[[#This Row],[Jumlah Keluar]], "")</f>
        <v>20384</v>
      </c>
      <c r="L396" s="11"/>
      <c r="M396" s="47">
        <f>IFERROR(VLOOKUP(C396,REKAP[[#All],[ID]:[Stok Akhir]],15,FALSE),"")</f>
        <v>4</v>
      </c>
    </row>
    <row r="397" spans="1:13" ht="16.5" thickTop="1" thickBot="1" x14ac:dyDescent="0.3">
      <c r="A397" s="27">
        <f t="shared" si="6"/>
        <v>391</v>
      </c>
      <c r="B397" s="7">
        <v>45381</v>
      </c>
      <c r="C397" s="8" t="s">
        <v>945</v>
      </c>
      <c r="D397" s="16" t="str">
        <f>IFERROR(VLOOKUP(C397,REKAP[[#All],[ID]:[Stok Akhir]],2,FALSE), "")</f>
        <v>Dowel Pin</v>
      </c>
      <c r="E397" s="16" t="str">
        <f>IFERROR(VLOOKUP(C397,REKAP[[#All],[ID]:[Stok Akhir]],4,FALSE), "")</f>
        <v>DPND-3-10</v>
      </c>
      <c r="F397" s="16" t="str">
        <f>IFERROR(VLOOKUP(C397,REKAP[[#All],[ID]:[Stok Akhir]],6,FALSE),"")</f>
        <v>Accessories Mold</v>
      </c>
      <c r="G397" s="15">
        <f>IFERROR(VLOOKUP(C397,REKAP[[#All],[ID]:[Stok Akhir]],8,FALSE),"")</f>
        <v>2421</v>
      </c>
      <c r="H397" s="11">
        <v>4</v>
      </c>
      <c r="I397" s="11" t="s">
        <v>3825</v>
      </c>
      <c r="J397" s="11" t="s">
        <v>3877</v>
      </c>
      <c r="K397" s="15">
        <f>IFERROR(MASUK8[[#This Row],[Harga Satuan]]*MASUK8[[#This Row],[Jumlah Keluar]], "")</f>
        <v>9684</v>
      </c>
      <c r="L397" s="11"/>
      <c r="M397" s="47">
        <f>IFERROR(VLOOKUP(C397,REKAP[[#All],[ID]:[Stok Akhir]],15,FALSE),"")</f>
        <v>0</v>
      </c>
    </row>
    <row r="398" spans="1:13" ht="16.5" thickTop="1" thickBot="1" x14ac:dyDescent="0.3">
      <c r="A398" s="27">
        <f t="shared" si="6"/>
        <v>392</v>
      </c>
      <c r="B398" s="7">
        <v>45381</v>
      </c>
      <c r="C398" s="8" t="s">
        <v>962</v>
      </c>
      <c r="D398" s="16" t="str">
        <f>IFERROR(VLOOKUP(C398,REKAP[[#All],[ID]:[Stok Akhir]],2,FALSE), "")</f>
        <v>Dowel Pin</v>
      </c>
      <c r="E398" s="16" t="str">
        <f>IFERROR(VLOOKUP(C398,REKAP[[#All],[ID]:[Stok Akhir]],4,FALSE), "")</f>
        <v>DPND-8-15</v>
      </c>
      <c r="F398" s="16" t="str">
        <f>IFERROR(VLOOKUP(C398,REKAP[[#All],[ID]:[Stok Akhir]],6,FALSE),"")</f>
        <v>Accessories Mold</v>
      </c>
      <c r="G398" s="15">
        <f>IFERROR(VLOOKUP(C398,REKAP[[#All],[ID]:[Stok Akhir]],8,FALSE),"")</f>
        <v>3726</v>
      </c>
      <c r="H398" s="11">
        <v>16</v>
      </c>
      <c r="I398" s="11" t="s">
        <v>3825</v>
      </c>
      <c r="J398" s="11" t="s">
        <v>3896</v>
      </c>
      <c r="K398" s="15">
        <f>IFERROR(MASUK8[[#This Row],[Harga Satuan]]*MASUK8[[#This Row],[Jumlah Keluar]], "")</f>
        <v>59616</v>
      </c>
      <c r="L398" s="11"/>
      <c r="M398" s="47">
        <f>IFERROR(VLOOKUP(C398,REKAP[[#All],[ID]:[Stok Akhir]],15,FALSE),"")</f>
        <v>2</v>
      </c>
    </row>
    <row r="399" spans="1:13" ht="16.5" thickTop="1" thickBot="1" x14ac:dyDescent="0.3">
      <c r="A399" s="27">
        <f t="shared" si="6"/>
        <v>393</v>
      </c>
      <c r="B399" s="7">
        <v>45381</v>
      </c>
      <c r="C399" s="8" t="s">
        <v>963</v>
      </c>
      <c r="D399" s="16" t="str">
        <f>IFERROR(VLOOKUP(C399,REKAP[[#All],[ID]:[Stok Akhir]],2,FALSE), "")</f>
        <v>Dowel Pin</v>
      </c>
      <c r="E399" s="16" t="str">
        <f>IFERROR(VLOOKUP(C399,REKAP[[#All],[ID]:[Stok Akhir]],4,FALSE), "")</f>
        <v>DPND-8-20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10500</v>
      </c>
      <c r="H399" s="11">
        <v>4</v>
      </c>
      <c r="I399" s="11" t="s">
        <v>3825</v>
      </c>
      <c r="J399" s="11" t="s">
        <v>3896</v>
      </c>
      <c r="K399" s="15">
        <f>IFERROR(MASUK8[[#This Row],[Harga Satuan]]*MASUK8[[#This Row],[Jumlah Keluar]], "")</f>
        <v>42000</v>
      </c>
      <c r="L399" s="11"/>
      <c r="M399" s="47">
        <f>IFERROR(VLOOKUP(C399,REKAP[[#All],[ID]:[Stok Akhir]],15,FALSE),"")</f>
        <v>0</v>
      </c>
    </row>
    <row r="400" spans="1:13" ht="16.5" thickTop="1" thickBot="1" x14ac:dyDescent="0.3">
      <c r="A400" s="27">
        <f t="shared" si="6"/>
        <v>394</v>
      </c>
      <c r="B400" s="7">
        <v>45381</v>
      </c>
      <c r="C400" s="8" t="s">
        <v>958</v>
      </c>
      <c r="D400" s="16" t="str">
        <f>IFERROR(VLOOKUP(C400,REKAP[[#All],[ID]:[Stok Akhir]],2,FALSE), "")</f>
        <v>Dowel Pin</v>
      </c>
      <c r="E400" s="16" t="str">
        <f>IFERROR(VLOOKUP(C400,REKAP[[#All],[ID]:[Stok Akhir]],4,FALSE), "")</f>
        <v>DPND-6-20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2879</v>
      </c>
      <c r="H400" s="11">
        <v>24</v>
      </c>
      <c r="I400" s="11" t="s">
        <v>3825</v>
      </c>
      <c r="J400" s="11" t="s">
        <v>3896</v>
      </c>
      <c r="K400" s="15">
        <f>IFERROR(MASUK8[[#This Row],[Harga Satuan]]*MASUK8[[#This Row],[Jumlah Keluar]], "")</f>
        <v>69096</v>
      </c>
      <c r="L400" s="11"/>
      <c r="M400" s="47">
        <f>IFERROR(VLOOKUP(C400,REKAP[[#All],[ID]:[Stok Akhir]],15,FALSE),"")</f>
        <v>22</v>
      </c>
    </row>
    <row r="401" spans="1:13" ht="16.5" thickTop="1" thickBot="1" x14ac:dyDescent="0.3">
      <c r="A401" s="27">
        <f t="shared" si="6"/>
        <v>395</v>
      </c>
      <c r="B401" s="7">
        <v>45381</v>
      </c>
      <c r="C401" s="8" t="s">
        <v>957</v>
      </c>
      <c r="D401" s="16" t="str">
        <f>IFERROR(VLOOKUP(C401,REKAP[[#All],[ID]:[Stok Akhir]],2,FALSE), "")</f>
        <v>Dowel Pin</v>
      </c>
      <c r="E401" s="16" t="str">
        <f>IFERROR(VLOOKUP(C401,REKAP[[#All],[ID]:[Stok Akhir]],4,FALSE), "")</f>
        <v>DPND-6-15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2879</v>
      </c>
      <c r="H401" s="11">
        <v>8</v>
      </c>
      <c r="I401" s="11" t="s">
        <v>3825</v>
      </c>
      <c r="J401" s="11" t="s">
        <v>3896</v>
      </c>
      <c r="K401" s="15">
        <f>IFERROR(MASUK8[[#This Row],[Harga Satuan]]*MASUK8[[#This Row],[Jumlah Keluar]], "")</f>
        <v>23032</v>
      </c>
      <c r="L401" s="11"/>
      <c r="M401" s="47">
        <f>IFERROR(VLOOKUP(C401,REKAP[[#All],[ID]:[Stok Akhir]],15,FALSE),"")</f>
        <v>3</v>
      </c>
    </row>
    <row r="402" spans="1:13" ht="16.5" thickTop="1" thickBot="1" x14ac:dyDescent="0.3">
      <c r="A402" s="27">
        <f t="shared" si="6"/>
        <v>396</v>
      </c>
      <c r="B402" s="7">
        <v>45381</v>
      </c>
      <c r="C402" s="8" t="s">
        <v>1132</v>
      </c>
      <c r="D402" s="16" t="str">
        <f>IFERROR(VLOOKUP(C402,REKAP[[#All],[ID]:[Stok Akhir]],2,FALSE), "")</f>
        <v>Ejector Pin</v>
      </c>
      <c r="E402" s="16" t="str">
        <f>IFERROR(VLOOKUP(C402,REKAP[[#All],[ID]:[Stok Akhir]],4,FALSE), "")</f>
        <v>EPD-5-100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19000</v>
      </c>
      <c r="H402" s="11">
        <v>8</v>
      </c>
      <c r="I402" s="11" t="s">
        <v>3825</v>
      </c>
      <c r="J402" s="11" t="s">
        <v>3842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Akhir]],15,FALSE),"")</f>
        <v>0</v>
      </c>
    </row>
    <row r="403" spans="1:13" ht="16.5" thickTop="1" thickBot="1" x14ac:dyDescent="0.3">
      <c r="A403" s="27">
        <f t="shared" si="6"/>
        <v>397</v>
      </c>
      <c r="B403" s="7">
        <v>45381</v>
      </c>
      <c r="C403" s="8" t="s">
        <v>1016</v>
      </c>
      <c r="D403" s="16" t="str">
        <f>IFERROR(VLOOKUP(C403,REKAP[[#All],[ID]:[Stok Akhir]],2,FALSE), "")</f>
        <v>Ejector Pin</v>
      </c>
      <c r="E403" s="16" t="str">
        <f>IFERROR(VLOOKUP(C403,REKAP[[#All],[ID]:[Stok Akhir]],4,FALSE), "")</f>
        <v>EPC-2-100</v>
      </c>
      <c r="F403" s="16" t="str">
        <f>IFERROR(VLOOKUP(C403,REKAP[[#All],[ID]:[Stok Akhir]],6,FALSE),"")</f>
        <v>Accessories Mold</v>
      </c>
      <c r="G403" s="15">
        <f>IFERROR(VLOOKUP(C403,REKAP[[#All],[ID]:[Stok Akhir]],8,FALSE),"")</f>
        <v>1961</v>
      </c>
      <c r="H403" s="11">
        <v>15</v>
      </c>
      <c r="I403" s="11" t="s">
        <v>3825</v>
      </c>
      <c r="J403" s="11" t="s">
        <v>3897</v>
      </c>
      <c r="K403" s="15">
        <f>IFERROR(MASUK8[[#This Row],[Harga Satuan]]*MASUK8[[#This Row],[Jumlah Keluar]], "")</f>
        <v>29415</v>
      </c>
      <c r="L403" s="11"/>
      <c r="M403" s="47">
        <f>IFERROR(VLOOKUP(C403,REKAP[[#All],[ID]:[Stok Akhir]],15,FALSE),"")</f>
        <v>0</v>
      </c>
    </row>
    <row r="404" spans="1:13" ht="16.5" thickTop="1" thickBot="1" x14ac:dyDescent="0.3">
      <c r="A404" s="27">
        <f t="shared" si="6"/>
        <v>398</v>
      </c>
      <c r="B404" s="7">
        <v>45381</v>
      </c>
      <c r="C404" s="8" t="s">
        <v>1033</v>
      </c>
      <c r="D404" s="16" t="str">
        <f>IFERROR(VLOOKUP(C404,REKAP[[#All],[ID]:[Stok Akhir]],2,FALSE), "")</f>
        <v>Ejector Pin</v>
      </c>
      <c r="E404" s="16" t="str">
        <f>IFERROR(VLOOKUP(C404,REKAP[[#All],[ID]:[Stok Akhir]],4,FALSE), "")</f>
        <v>EPC-4-100</v>
      </c>
      <c r="F404" s="16" t="str">
        <f>IFERROR(VLOOKUP(C404,REKAP[[#All],[ID]:[Stok Akhir]],6,FALSE),"")</f>
        <v>Accessories Mold</v>
      </c>
      <c r="G404" s="15">
        <f>IFERROR(VLOOKUP(C404,REKAP[[#All],[ID]:[Stok Akhir]],8,FALSE),"")</f>
        <v>5015</v>
      </c>
      <c r="H404" s="11">
        <v>3</v>
      </c>
      <c r="I404" s="11" t="s">
        <v>3825</v>
      </c>
      <c r="J404" s="11" t="s">
        <v>3897</v>
      </c>
      <c r="K404" s="15">
        <f>IFERROR(MASUK8[[#This Row],[Harga Satuan]]*MASUK8[[#This Row],[Jumlah Keluar]], "")</f>
        <v>15045</v>
      </c>
      <c r="L404" s="11"/>
      <c r="M404" s="47">
        <f>IFERROR(VLOOKUP(C404,REKAP[[#All],[ID]:[Stok Akhir]],15,FALSE),"")</f>
        <v>0</v>
      </c>
    </row>
    <row r="405" spans="1:13" ht="16.5" thickTop="1" thickBot="1" x14ac:dyDescent="0.3">
      <c r="A405" s="27">
        <f t="shared" si="6"/>
        <v>399</v>
      </c>
      <c r="B405" s="7">
        <v>45381</v>
      </c>
      <c r="C405" s="8" t="s">
        <v>1045</v>
      </c>
      <c r="D405" s="16" t="str">
        <f>IFERROR(VLOOKUP(C405,REKAP[[#All],[ID]:[Stok Akhir]],2,FALSE), "")</f>
        <v>Ejector Pin</v>
      </c>
      <c r="E405" s="16" t="str">
        <f>IFERROR(VLOOKUP(C405,REKAP[[#All],[ID]:[Stok Akhir]],4,FALSE), "")</f>
        <v>EPC-6-100</v>
      </c>
      <c r="F405" s="16" t="str">
        <f>IFERROR(VLOOKUP(C405,REKAP[[#All],[ID]:[Stok Akhir]],6,FALSE),"")</f>
        <v>Accessories Mold</v>
      </c>
      <c r="G405" s="15">
        <f>IFERROR(VLOOKUP(C405,REKAP[[#All],[ID]:[Stok Akhir]],8,FALSE),"")</f>
        <v>8331</v>
      </c>
      <c r="H405" s="11">
        <v>2</v>
      </c>
      <c r="I405" s="11" t="s">
        <v>3825</v>
      </c>
      <c r="J405" s="11" t="s">
        <v>3897</v>
      </c>
      <c r="K405" s="15">
        <f>IFERROR(MASUK8[[#This Row],[Harga Satuan]]*MASUK8[[#This Row],[Jumlah Keluar]], "")</f>
        <v>16662</v>
      </c>
      <c r="L405" s="11"/>
      <c r="M405" s="47">
        <f>IFERROR(VLOOKUP(C405,REKAP[[#All],[ID]:[Stok Akhir]],15,FALSE),"")</f>
        <v>0</v>
      </c>
    </row>
    <row r="406" spans="1:13" ht="16.5" thickTop="1" thickBot="1" x14ac:dyDescent="0.3">
      <c r="A406" s="27">
        <f t="shared" si="6"/>
        <v>400</v>
      </c>
      <c r="B406" s="7">
        <v>45381</v>
      </c>
      <c r="C406" s="8" t="s">
        <v>3804</v>
      </c>
      <c r="D406" s="16" t="str">
        <f>IFERROR(VLOOKUP(C406,REKAP[[#All],[ID]:[Stok Akhir]],2,FALSE), "")</f>
        <v>Guide Bush</v>
      </c>
      <c r="E406" s="16" t="str">
        <f>IFERROR(VLOOKUP(C406,REKAP[[#All],[ID]:[Stok Akhir]],4,FALSE), "")</f>
        <v>SPWS 16-95</v>
      </c>
      <c r="F406" s="16" t="str">
        <f>IFERROR(VLOOKUP(C406,REKAP[[#All],[ID]:[Stok Akhir]],6,FALSE),"")</f>
        <v>Accessories Mold</v>
      </c>
      <c r="G406" s="15">
        <f>IFERROR(VLOOKUP(C406,REKAP[[#All],[ID]:[Stok Akhir]],8,FALSE),"")</f>
        <v>0</v>
      </c>
      <c r="H406" s="11">
        <v>2</v>
      </c>
      <c r="I406" s="11" t="s">
        <v>3825</v>
      </c>
      <c r="J406" s="11" t="s">
        <v>3898</v>
      </c>
      <c r="K406" s="15">
        <f>IFERROR(MASUK8[[#This Row],[Harga Satuan]]*MASUK8[[#This Row],[Jumlah Keluar]], "")</f>
        <v>0</v>
      </c>
      <c r="L406" s="11"/>
      <c r="M406" s="47">
        <f>IFERROR(VLOOKUP(C406,REKAP[[#All],[ID]:[Stok Akhir]],15,FALSE),"")</f>
        <v>0</v>
      </c>
    </row>
    <row r="407" spans="1:13" ht="16.5" thickTop="1" thickBot="1" x14ac:dyDescent="0.3">
      <c r="A407" s="27">
        <f t="shared" si="6"/>
        <v>401</v>
      </c>
      <c r="B407" s="7">
        <v>45381</v>
      </c>
      <c r="C407" s="8" t="s">
        <v>953</v>
      </c>
      <c r="D407" s="16" t="str">
        <f>IFERROR(VLOOKUP(C407,REKAP[[#All],[ID]:[Stok Akhir]],2,FALSE), "")</f>
        <v>Dowel Pin</v>
      </c>
      <c r="E407" s="16" t="str">
        <f>IFERROR(VLOOKUP(C407,REKAP[[#All],[ID]:[Stok Akhir]],4,FALSE), "")</f>
        <v>DPND-5-15</v>
      </c>
      <c r="F407" s="16" t="str">
        <f>IFERROR(VLOOKUP(C407,REKAP[[#All],[ID]:[Stok Akhir]],6,FALSE),"")</f>
        <v>Accessories Mold</v>
      </c>
      <c r="G407" s="15">
        <f>IFERROR(VLOOKUP(C407,REKAP[[#All],[ID]:[Stok Akhir]],8,FALSE),"")</f>
        <v>2618</v>
      </c>
      <c r="H407" s="11">
        <v>4</v>
      </c>
      <c r="I407" s="11" t="s">
        <v>3825</v>
      </c>
      <c r="J407" s="11" t="s">
        <v>3899</v>
      </c>
      <c r="K407" s="15">
        <f>IFERROR(MASUK8[[#This Row],[Harga Satuan]]*MASUK8[[#This Row],[Jumlah Keluar]], "")</f>
        <v>10472</v>
      </c>
      <c r="L407" s="11"/>
      <c r="M407" s="47">
        <f>IFERROR(VLOOKUP(C407,REKAP[[#All],[ID]:[Stok Akhir]],15,FALSE),"")</f>
        <v>19</v>
      </c>
    </row>
    <row r="408" spans="1:13" ht="16.5" thickTop="1" thickBot="1" x14ac:dyDescent="0.3">
      <c r="A408" s="27">
        <f t="shared" si="6"/>
        <v>402</v>
      </c>
      <c r="B408" s="7">
        <v>45381</v>
      </c>
      <c r="C408" s="8" t="s">
        <v>268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>M 5 X 20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600</v>
      </c>
      <c r="H408" s="11">
        <v>2</v>
      </c>
      <c r="I408" s="11" t="s">
        <v>3825</v>
      </c>
      <c r="J408" s="11" t="s">
        <v>3899</v>
      </c>
      <c r="K408" s="15">
        <f>IFERROR(MASUK8[[#This Row],[Harga Satuan]]*MASUK8[[#This Row],[Jumlah Keluar]], "")</f>
        <v>1200</v>
      </c>
      <c r="L408" s="11"/>
      <c r="M408" s="47">
        <f>IFERROR(VLOOKUP(C408,REKAP[[#All],[ID]:[Stok Akhir]],15,FALSE),"")</f>
        <v>14</v>
      </c>
    </row>
    <row r="409" spans="1:13" ht="16.5" thickTop="1" thickBot="1" x14ac:dyDescent="0.3">
      <c r="A409" s="27">
        <f t="shared" si="6"/>
        <v>403</v>
      </c>
      <c r="B409" s="7">
        <v>45381</v>
      </c>
      <c r="C409" s="8" t="s">
        <v>446</v>
      </c>
      <c r="D409" s="16" t="str">
        <f>IFERROR(VLOOKUP(C409,REKAP[[#All],[ID]:[Stok Akhir]],2,FALSE), "")</f>
        <v>Baut JFL</v>
      </c>
      <c r="E409" s="16" t="str">
        <f>IFERROR(VLOOKUP(C409,REKAP[[#All],[ID]:[Stok Akhir]],4,FALSE), "")</f>
        <v>M 3 x 10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500</v>
      </c>
      <c r="H409" s="11">
        <v>4</v>
      </c>
      <c r="I409" s="11" t="s">
        <v>3825</v>
      </c>
      <c r="J409" s="11" t="s">
        <v>3900</v>
      </c>
      <c r="K409" s="15">
        <f>IFERROR(MASUK8[[#This Row],[Harga Satuan]]*MASUK8[[#This Row],[Jumlah Keluar]], "")</f>
        <v>2000</v>
      </c>
      <c r="L409" s="11"/>
      <c r="M409" s="47">
        <f>IFERROR(VLOOKUP(C409,REKAP[[#All],[ID]:[Stok Akhir]],15,FALSE),"")</f>
        <v>50</v>
      </c>
    </row>
    <row r="410" spans="1:13" ht="16.5" thickTop="1" thickBot="1" x14ac:dyDescent="0.3">
      <c r="A410" s="27">
        <f t="shared" si="6"/>
        <v>404</v>
      </c>
      <c r="B410" s="7">
        <v>45381</v>
      </c>
      <c r="C410" s="8" t="s">
        <v>1194</v>
      </c>
      <c r="D410" s="16" t="str">
        <f>IFERROR(VLOOKUP(C410,REKAP[[#All],[ID]:[Stok Akhir]],2,FALSE), "")</f>
        <v>Eye Bolt</v>
      </c>
      <c r="E410" s="16" t="str">
        <f>IFERROR(VLOOKUP(C410,REKAP[[#All],[ID]:[Stok Akhir]],4,FALSE), "")</f>
        <v>BLE-12</v>
      </c>
      <c r="F410" s="16" t="str">
        <f>IFERROR(VLOOKUP(C410,REKAP[[#All],[ID]:[Stok Akhir]],6,FALSE),"")</f>
        <v>Accessories Mold</v>
      </c>
      <c r="G410" s="15">
        <f>IFERROR(VLOOKUP(C410,REKAP[[#All],[ID]:[Stok Akhir]],8,FALSE),"")</f>
        <v>40000</v>
      </c>
      <c r="H410" s="11">
        <v>2</v>
      </c>
      <c r="I410" s="11" t="s">
        <v>3825</v>
      </c>
      <c r="J410" s="11" t="s">
        <v>3898</v>
      </c>
      <c r="K410" s="15">
        <f>IFERROR(MASUK8[[#This Row],[Harga Satuan]]*MASUK8[[#This Row],[Jumlah Keluar]], "")</f>
        <v>80000</v>
      </c>
      <c r="L410" s="11"/>
      <c r="M410" s="47">
        <f>IFERROR(VLOOKUP(C410,REKAP[[#All],[ID]:[Stok Akhir]],15,FALSE),"")</f>
        <v>0</v>
      </c>
    </row>
    <row r="411" spans="1:13" ht="16.5" thickTop="1" thickBot="1" x14ac:dyDescent="0.3">
      <c r="A411" s="27">
        <f t="shared" si="6"/>
        <v>405</v>
      </c>
      <c r="B411" s="7">
        <v>45381</v>
      </c>
      <c r="C411" s="8" t="s">
        <v>1204</v>
      </c>
      <c r="D411" s="16" t="str">
        <f>IFERROR(VLOOKUP(C411,REKAP[[#All],[ID]:[Stok Akhir]],2,FALSE), "")</f>
        <v>Guide Bush</v>
      </c>
      <c r="E411" s="16" t="str">
        <f>IFERROR(VLOOKUP(C411,REKAP[[#All],[ID]:[Stok Akhir]],4,FALSE), "")</f>
        <v>GBET 16-15</v>
      </c>
      <c r="F411" s="16" t="str">
        <f>IFERROR(VLOOKUP(C411,REKAP[[#All],[ID]:[Stok Akhir]],6,FALSE),"")</f>
        <v>Accessories Mold</v>
      </c>
      <c r="G411" s="15">
        <f>IFERROR(VLOOKUP(C411,REKAP[[#All],[ID]:[Stok Akhir]],8,FALSE),"")</f>
        <v>110000</v>
      </c>
      <c r="H411" s="11">
        <v>2</v>
      </c>
      <c r="I411" s="11" t="s">
        <v>3825</v>
      </c>
      <c r="J411" s="11" t="s">
        <v>3898</v>
      </c>
      <c r="K411" s="15">
        <f>IFERROR(MASUK8[[#This Row],[Harga Satuan]]*MASUK8[[#This Row],[Jumlah Keluar]], "")</f>
        <v>220000</v>
      </c>
      <c r="L411" s="11"/>
      <c r="M411" s="47">
        <f>IFERROR(VLOOKUP(C411,REKAP[[#All],[ID]:[Stok Akhir]],15,FALSE),"")</f>
        <v>0</v>
      </c>
    </row>
    <row r="412" spans="1:13" ht="16.5" thickTop="1" thickBot="1" x14ac:dyDescent="0.3">
      <c r="A412" s="27">
        <f t="shared" si="6"/>
        <v>406</v>
      </c>
      <c r="B412" s="7">
        <v>45381</v>
      </c>
      <c r="C412" s="8" t="s">
        <v>1302</v>
      </c>
      <c r="D412" s="16" t="str">
        <f>IFERROR(VLOOKUP(C412,REKAP[[#All],[ID]:[Stok Akhir]],2,FALSE), "")</f>
        <v>Quick Fitting</v>
      </c>
      <c r="E412" s="16" t="str">
        <f>IFERROR(VLOOKUP(C412,REKAP[[#All],[ID]:[Stok Akhir]],4,FALSE), "")</f>
        <v>QFT 02-10</v>
      </c>
      <c r="F412" s="16" t="str">
        <f>IFERROR(VLOOKUP(C412,REKAP[[#All],[ID]:[Stok Akhir]],6,FALSE),"")</f>
        <v>Accessories Mold</v>
      </c>
      <c r="G412" s="15">
        <f>IFERROR(VLOOKUP(C412,REKAP[[#All],[ID]:[Stok Akhir]],8,FALSE),"")</f>
        <v>25000</v>
      </c>
      <c r="H412" s="11">
        <v>8</v>
      </c>
      <c r="I412" s="11" t="s">
        <v>3825</v>
      </c>
      <c r="J412" s="11" t="s">
        <v>3901</v>
      </c>
      <c r="K412" s="15">
        <f>IFERROR(MASUK8[[#This Row],[Harga Satuan]]*MASUK8[[#This Row],[Jumlah Keluar]], "")</f>
        <v>200000</v>
      </c>
      <c r="L412" s="11"/>
      <c r="M412" s="47">
        <f>IFERROR(VLOOKUP(C412,REKAP[[#All],[ID]:[Stok Akhir]],15,FALSE),"")</f>
        <v>0</v>
      </c>
    </row>
    <row r="413" spans="1:13" ht="16.5" thickTop="1" thickBot="1" x14ac:dyDescent="0.3">
      <c r="A413" s="27">
        <f t="shared" si="6"/>
        <v>407</v>
      </c>
      <c r="B413" s="7">
        <v>45381</v>
      </c>
      <c r="C413" s="8" t="s">
        <v>1335</v>
      </c>
      <c r="D413" s="16" t="str">
        <f>IFERROR(VLOOKUP(C413,REKAP[[#All],[ID]:[Stok Akhir]],2,FALSE), "")</f>
        <v>Spring</v>
      </c>
      <c r="E413" s="16" t="str">
        <f>IFERROR(VLOOKUP(C413,REKAP[[#All],[ID]:[Stok Akhir]],4,FALSE), "")</f>
        <v>CSF 25-60</v>
      </c>
      <c r="F413" s="16" t="str">
        <f>IFERROR(VLOOKUP(C413,REKAP[[#All],[ID]:[Stok Akhir]],6,FALSE),"")</f>
        <v>Accessories Mold</v>
      </c>
      <c r="G413" s="15">
        <f>IFERROR(VLOOKUP(C413,REKAP[[#All],[ID]:[Stok Akhir]],8,FALSE),"")</f>
        <v>38000</v>
      </c>
      <c r="H413" s="11">
        <v>4</v>
      </c>
      <c r="I413" s="11" t="s">
        <v>3825</v>
      </c>
      <c r="J413" s="11" t="s">
        <v>3901</v>
      </c>
      <c r="K413" s="15">
        <f>IFERROR(MASUK8[[#This Row],[Harga Satuan]]*MASUK8[[#This Row],[Jumlah Keluar]], "")</f>
        <v>152000</v>
      </c>
      <c r="L413" s="11"/>
      <c r="M413" s="47">
        <f>IFERROR(VLOOKUP(C413,REKAP[[#All],[ID]:[Stok Akhir]],15,FALSE),"")</f>
        <v>0</v>
      </c>
    </row>
    <row r="414" spans="1:13" ht="16.5" thickTop="1" thickBot="1" x14ac:dyDescent="0.3">
      <c r="A414" s="27">
        <f t="shared" si="6"/>
        <v>408</v>
      </c>
      <c r="B414" s="7">
        <v>45381</v>
      </c>
      <c r="C414" s="8" t="s">
        <v>3806</v>
      </c>
      <c r="D414" s="16" t="str">
        <f>IFERROR(VLOOKUP(C414,REKAP[[#All],[ID]:[Stok Akhir]],2,FALSE), "")</f>
        <v>HANDLE RODA LEVELING</v>
      </c>
      <c r="E414" s="16" t="str">
        <f>IFERROR(VLOOKUP(C414,REKAP[[#All],[ID]:[Stok Akhir]],4,FALSE), "")</f>
        <v>HANDLE WA-100</v>
      </c>
      <c r="F414" s="16" t="str">
        <f>IFERROR(VLOOKUP(C414,REKAP[[#All],[ID]:[Stok Akhir]],6,FALSE),"")</f>
        <v>Barang Jadi</v>
      </c>
      <c r="G414" s="15">
        <f>IFERROR(VLOOKUP(C414,REKAP[[#All],[ID]:[Stok Akhir]],8,FALSE),"")</f>
        <v>0</v>
      </c>
      <c r="H414" s="11">
        <v>3</v>
      </c>
      <c r="I414" s="11" t="s">
        <v>3825</v>
      </c>
      <c r="J414" s="11" t="s">
        <v>3845</v>
      </c>
      <c r="K414" s="15">
        <f>IFERROR(MASUK8[[#This Row],[Harga Satuan]]*MASUK8[[#This Row],[Jumlah Keluar]], "")</f>
        <v>0</v>
      </c>
      <c r="L414" s="11"/>
      <c r="M414" s="47">
        <f>IFERROR(VLOOKUP(C414,REKAP[[#All],[ID]:[Stok Akhir]],15,FALSE),"")</f>
        <v>0</v>
      </c>
    </row>
    <row r="415" spans="1:13" ht="16.5" thickTop="1" thickBot="1" x14ac:dyDescent="0.3">
      <c r="A415" s="27">
        <f t="shared" si="6"/>
        <v>409</v>
      </c>
      <c r="B415" s="7">
        <v>45381</v>
      </c>
      <c r="C415" s="8" t="s">
        <v>333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10 X 35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2500</v>
      </c>
      <c r="H415" s="11">
        <v>4</v>
      </c>
      <c r="I415" s="11" t="s">
        <v>3825</v>
      </c>
      <c r="J415" s="11" t="s">
        <v>3882</v>
      </c>
      <c r="K415" s="15">
        <f>IFERROR(MASUK8[[#This Row],[Harga Satuan]]*MASUK8[[#This Row],[Jumlah Keluar]], "")</f>
        <v>10000</v>
      </c>
      <c r="L415" s="11"/>
      <c r="M415" s="47">
        <f>IFERROR(VLOOKUP(C415,REKAP[[#All],[ID]:[Stok Akhir]],15,FALSE),"")</f>
        <v>16</v>
      </c>
    </row>
    <row r="416" spans="1:13" ht="16.5" thickTop="1" thickBot="1" x14ac:dyDescent="0.3">
      <c r="A416" s="27">
        <f t="shared" si="6"/>
        <v>410</v>
      </c>
      <c r="B416" s="7">
        <v>45381</v>
      </c>
      <c r="C416" s="8" t="s">
        <v>472</v>
      </c>
      <c r="D416" s="16" t="str">
        <f>IFERROR(VLOOKUP(C416,REKAP[[#All],[ID]:[Stok Akhir]],2,FALSE), "")</f>
        <v>Baut JFL</v>
      </c>
      <c r="E416" s="16" t="str">
        <f>IFERROR(VLOOKUP(C416,REKAP[[#All],[ID]:[Stok Akhir]],4,FALSE), "")</f>
        <v xml:space="preserve">M 8 X 20  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1350</v>
      </c>
      <c r="H416" s="11">
        <v>16</v>
      </c>
      <c r="I416" s="11" t="s">
        <v>3825</v>
      </c>
      <c r="J416" s="11" t="s">
        <v>3882</v>
      </c>
      <c r="K416" s="15">
        <f>IFERROR(MASUK8[[#This Row],[Harga Satuan]]*MASUK8[[#This Row],[Jumlah Keluar]], "")</f>
        <v>21600</v>
      </c>
      <c r="L416" s="11"/>
      <c r="M416" s="47">
        <f>IFERROR(VLOOKUP(C416,REKAP[[#All],[ID]:[Stok Akhir]],15,FALSE),"")</f>
        <v>25</v>
      </c>
    </row>
    <row r="417" spans="1:13" ht="16.5" thickTop="1" thickBot="1" x14ac:dyDescent="0.3">
      <c r="A417" s="27">
        <f t="shared" si="6"/>
        <v>411</v>
      </c>
      <c r="B417" s="7">
        <v>45381</v>
      </c>
      <c r="C417" s="8" t="s">
        <v>530</v>
      </c>
      <c r="D417" s="16" t="str">
        <f>IFERROR(VLOOKUP(C417,REKAP[[#All],[ID]:[Stok Akhir]],2,FALSE), "")</f>
        <v>Baut Tanam</v>
      </c>
      <c r="E417" s="16" t="str">
        <f>IFERROR(VLOOKUP(C417,REKAP[[#All],[ID]:[Stok Akhir]],4,FALSE), "")</f>
        <v xml:space="preserve">M 12 x 12 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3000</v>
      </c>
      <c r="H417" s="11">
        <v>2</v>
      </c>
      <c r="I417" s="11" t="s">
        <v>3825</v>
      </c>
      <c r="J417" s="11" t="s">
        <v>3882</v>
      </c>
      <c r="K417" s="15">
        <f>IFERROR(MASUK8[[#This Row],[Harga Satuan]]*MASUK8[[#This Row],[Jumlah Keluar]], "")</f>
        <v>6000</v>
      </c>
      <c r="L417" s="11"/>
      <c r="M417" s="47">
        <f>IFERROR(VLOOKUP(C417,REKAP[[#All],[ID]:[Stok Akhir]],15,FALSE),"")</f>
        <v>12</v>
      </c>
    </row>
    <row r="418" spans="1:13" ht="16.5" thickTop="1" thickBot="1" x14ac:dyDescent="0.3">
      <c r="A418" s="27">
        <f t="shared" si="6"/>
        <v>412</v>
      </c>
      <c r="B418" s="7">
        <v>45381</v>
      </c>
      <c r="C418" s="8" t="s">
        <v>523</v>
      </c>
      <c r="D418" s="16" t="str">
        <f>IFERROR(VLOOKUP(C418,REKAP[[#All],[ID]:[Stok Akhir]],2,FALSE), "")</f>
        <v>Baut Tanam</v>
      </c>
      <c r="E418" s="16" t="str">
        <f>IFERROR(VLOOKUP(C418,REKAP[[#All],[ID]:[Stok Akhir]],4,FALSE), "")</f>
        <v xml:space="preserve">M 10 x 10 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1500</v>
      </c>
      <c r="H418" s="11">
        <v>14</v>
      </c>
      <c r="I418" s="11" t="s">
        <v>3825</v>
      </c>
      <c r="J418" s="11" t="s">
        <v>3882</v>
      </c>
      <c r="K418" s="15">
        <f>IFERROR(MASUK8[[#This Row],[Harga Satuan]]*MASUK8[[#This Row],[Jumlah Keluar]], "")</f>
        <v>21000</v>
      </c>
      <c r="L418" s="11"/>
      <c r="M418" s="47">
        <f>IFERROR(VLOOKUP(C418,REKAP[[#All],[ID]:[Stok Akhir]],15,FALSE),"")</f>
        <v>13</v>
      </c>
    </row>
    <row r="419" spans="1:13" ht="16.5" thickTop="1" thickBot="1" x14ac:dyDescent="0.3">
      <c r="A419" s="27">
        <f t="shared" si="6"/>
        <v>413</v>
      </c>
      <c r="B419" s="7">
        <v>45381</v>
      </c>
      <c r="C419" s="8" t="s">
        <v>308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 xml:space="preserve">M 8 X 20 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1300</v>
      </c>
      <c r="H419" s="11">
        <v>6</v>
      </c>
      <c r="I419" s="11" t="s">
        <v>3825</v>
      </c>
      <c r="J419" s="11" t="s">
        <v>3882</v>
      </c>
      <c r="K419" s="15">
        <f>IFERROR(MASUK8[[#This Row],[Harga Satuan]]*MASUK8[[#This Row],[Jumlah Keluar]], "")</f>
        <v>7800</v>
      </c>
      <c r="L419" s="11"/>
      <c r="M419" s="47">
        <f>IFERROR(VLOOKUP(C419,REKAP[[#All],[ID]:[Stok Akhir]],15,FALSE),"")</f>
        <v>53</v>
      </c>
    </row>
    <row r="420" spans="1:13" ht="16.5" thickTop="1" thickBot="1" x14ac:dyDescent="0.3">
      <c r="A420" s="27">
        <f t="shared" si="6"/>
        <v>414</v>
      </c>
      <c r="B420" s="7">
        <v>45381</v>
      </c>
      <c r="C420" s="8" t="s">
        <v>342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10 X 80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3400</v>
      </c>
      <c r="H420" s="11">
        <v>4</v>
      </c>
      <c r="I420" s="11" t="s">
        <v>3825</v>
      </c>
      <c r="J420" s="11" t="s">
        <v>3882</v>
      </c>
      <c r="K420" s="15">
        <f>IFERROR(MASUK8[[#This Row],[Harga Satuan]]*MASUK8[[#This Row],[Jumlah Keluar]], "")</f>
        <v>13600</v>
      </c>
      <c r="L420" s="11"/>
      <c r="M420" s="47">
        <f>IFERROR(VLOOKUP(C420,REKAP[[#All],[ID]:[Stok Akhir]],15,FALSE),"")</f>
        <v>25</v>
      </c>
    </row>
    <row r="421" spans="1:13" ht="16.5" thickTop="1" thickBot="1" x14ac:dyDescent="0.3">
      <c r="A421" s="27">
        <f t="shared" si="6"/>
        <v>415</v>
      </c>
      <c r="B421" s="7">
        <v>45381</v>
      </c>
      <c r="C421" s="8" t="s">
        <v>311</v>
      </c>
      <c r="D421" s="16" t="str">
        <f>IFERROR(VLOOKUP(C421,REKAP[[#All],[ID]:[Stok Akhir]],2,FALSE), "")</f>
        <v>Baut LPK</v>
      </c>
      <c r="E421" s="16" t="str">
        <f>IFERROR(VLOOKUP(C421,REKAP[[#All],[ID]:[Stok Akhir]],4,FALSE), "")</f>
        <v>M 8 X 35</v>
      </c>
      <c r="F421" s="16" t="str">
        <f>IFERROR(VLOOKUP(C421,REKAP[[#All],[ID]:[Stok Akhir]],6,FALSE),"")</f>
        <v>Mur &amp; Baut</v>
      </c>
      <c r="G421" s="15">
        <f>IFERROR(VLOOKUP(C421,REKAP[[#All],[ID]:[Stok Akhir]],8,FALSE),"")</f>
        <v>2000</v>
      </c>
      <c r="H421" s="11">
        <v>6</v>
      </c>
      <c r="I421" s="11" t="s">
        <v>3825</v>
      </c>
      <c r="J421" s="11" t="s">
        <v>3882</v>
      </c>
      <c r="K421" s="15">
        <f>IFERROR(MASUK8[[#This Row],[Harga Satuan]]*MASUK8[[#This Row],[Jumlah Keluar]], "")</f>
        <v>12000</v>
      </c>
      <c r="L421" s="11"/>
      <c r="M421" s="47">
        <f>IFERROR(VLOOKUP(C421,REKAP[[#All],[ID]:[Stok Akhir]],15,FALSE),"")</f>
        <v>5</v>
      </c>
    </row>
    <row r="422" spans="1:13" ht="16.5" customHeight="1" thickTop="1" thickBot="1" x14ac:dyDescent="0.3">
      <c r="A422" s="27">
        <f t="shared" si="6"/>
        <v>416</v>
      </c>
      <c r="B422" s="7">
        <v>45381</v>
      </c>
      <c r="C422" s="8" t="s">
        <v>331</v>
      </c>
      <c r="D422" s="16" t="str">
        <f>IFERROR(VLOOKUP(C422,REKAP[[#All],[ID]:[Stok Akhir]],2,FALSE), "")</f>
        <v>Baut LPK</v>
      </c>
      <c r="E422" s="16" t="str">
        <f>IFERROR(VLOOKUP(C422,REKAP[[#All],[ID]:[Stok Akhir]],4,FALSE), "")</f>
        <v>M 10 X 25</v>
      </c>
      <c r="F422" s="16" t="str">
        <f>IFERROR(VLOOKUP(C422,REKAP[[#All],[ID]:[Stok Akhir]],6,FALSE),"")</f>
        <v>Mur &amp; Baut</v>
      </c>
      <c r="G422" s="15">
        <f>IFERROR(VLOOKUP(C422,REKAP[[#All],[ID]:[Stok Akhir]],8,FALSE),"")</f>
        <v>2000</v>
      </c>
      <c r="H422" s="11">
        <v>48</v>
      </c>
      <c r="I422" s="11" t="s">
        <v>3825</v>
      </c>
      <c r="J422" s="8" t="s">
        <v>3797</v>
      </c>
      <c r="K422" s="15">
        <f>IFERROR(MASUK8[[#This Row],[Harga Satuan]]*MASUK8[[#This Row],[Jumlah Keluar]], "")</f>
        <v>96000</v>
      </c>
      <c r="L422" s="11"/>
      <c r="M422" s="47">
        <f>IFERROR(VLOOKUP(C422,REKAP[[#All],[ID]:[Stok Akhir]],15,FALSE),"")</f>
        <v>44</v>
      </c>
    </row>
    <row r="423" spans="1:13" ht="16.5" customHeight="1" thickTop="1" thickBot="1" x14ac:dyDescent="0.3">
      <c r="A423" s="27">
        <f t="shared" si="6"/>
        <v>417</v>
      </c>
      <c r="B423" s="7">
        <v>45381</v>
      </c>
      <c r="C423" s="8" t="s">
        <v>316</v>
      </c>
      <c r="D423" s="16" t="str">
        <f>IFERROR(VLOOKUP(C423,REKAP[[#All],[ID]:[Stok Akhir]],2,FALSE), "")</f>
        <v>Baut LPK</v>
      </c>
      <c r="E423" s="16" t="str">
        <f>IFERROR(VLOOKUP(C423,REKAP[[#All],[ID]:[Stok Akhir]],4,FALSE), "")</f>
        <v>M 8 X 60</v>
      </c>
      <c r="F423" s="16" t="str">
        <f>IFERROR(VLOOKUP(C423,REKAP[[#All],[ID]:[Stok Akhir]],6,FALSE),"")</f>
        <v>Mur &amp; Baut</v>
      </c>
      <c r="G423" s="15">
        <f>IFERROR(VLOOKUP(C423,REKAP[[#All],[ID]:[Stok Akhir]],8,FALSE),"")</f>
        <v>2350</v>
      </c>
      <c r="H423" s="11">
        <v>24</v>
      </c>
      <c r="I423" s="11" t="s">
        <v>3825</v>
      </c>
      <c r="J423" s="11" t="s">
        <v>3797</v>
      </c>
      <c r="K423" s="15">
        <f>IFERROR(MASUK8[[#This Row],[Harga Satuan]]*MASUK8[[#This Row],[Jumlah Keluar]], "")</f>
        <v>56400</v>
      </c>
      <c r="L423" s="11"/>
      <c r="M423" s="47">
        <f>IFERROR(VLOOKUP(C423,REKAP[[#All],[ID]:[Stok Akhir]],15,FALSE),"")</f>
        <v>39</v>
      </c>
    </row>
    <row r="424" spans="1:13" ht="16.5" customHeight="1" thickTop="1" thickBot="1" x14ac:dyDescent="0.3">
      <c r="A424" s="27">
        <f t="shared" si="6"/>
        <v>418</v>
      </c>
      <c r="B424" s="7">
        <v>45381</v>
      </c>
      <c r="C424" s="8" t="s">
        <v>309</v>
      </c>
      <c r="D424" s="16" t="str">
        <f>IFERROR(VLOOKUP(C424,REKAP[[#All],[ID]:[Stok Akhir]],2,FALSE), "")</f>
        <v>Baut LPK</v>
      </c>
      <c r="E424" s="16" t="str">
        <f>IFERROR(VLOOKUP(C424,REKAP[[#All],[ID]:[Stok Akhir]],4,FALSE), "")</f>
        <v>M 8 X 25</v>
      </c>
      <c r="F424" s="16" t="str">
        <f>IFERROR(VLOOKUP(C424,REKAP[[#All],[ID]:[Stok Akhir]],6,FALSE),"")</f>
        <v>Mur &amp; Baut</v>
      </c>
      <c r="G424" s="15">
        <f>IFERROR(VLOOKUP(C424,REKAP[[#All],[ID]:[Stok Akhir]],8,FALSE),"")</f>
        <v>1500</v>
      </c>
      <c r="H424" s="11">
        <v>16</v>
      </c>
      <c r="I424" s="11" t="s">
        <v>3825</v>
      </c>
      <c r="J424" s="11" t="s">
        <v>3797</v>
      </c>
      <c r="K424" s="15">
        <f>IFERROR(MASUK8[[#This Row],[Harga Satuan]]*MASUK8[[#This Row],[Jumlah Keluar]], "")</f>
        <v>24000</v>
      </c>
      <c r="L424" s="11"/>
      <c r="M424" s="47">
        <f>IFERROR(VLOOKUP(C424,REKAP[[#All],[ID]:[Stok Akhir]],15,FALSE),"")</f>
        <v>15</v>
      </c>
    </row>
    <row r="425" spans="1:13" ht="16.5" customHeight="1" thickTop="1" thickBot="1" x14ac:dyDescent="0.3">
      <c r="A425" s="27">
        <f t="shared" si="6"/>
        <v>419</v>
      </c>
      <c r="B425" s="7">
        <v>45381</v>
      </c>
      <c r="C425" s="8" t="s">
        <v>295</v>
      </c>
      <c r="D425" s="16" t="str">
        <f>IFERROR(VLOOKUP(C425,REKAP[[#All],[ID]:[Stok Akhir]],2,FALSE), "")</f>
        <v>Baut LPK</v>
      </c>
      <c r="E425" s="16" t="str">
        <f>IFERROR(VLOOKUP(C425,REKAP[[#All],[ID]:[Stok Akhir]],4,FALSE), "")</f>
        <v>M 6 X 60</v>
      </c>
      <c r="F425" s="16" t="str">
        <f>IFERROR(VLOOKUP(C425,REKAP[[#All],[ID]:[Stok Akhir]],6,FALSE),"")</f>
        <v>Mur &amp; Baut</v>
      </c>
      <c r="G425" s="15">
        <f>IFERROR(VLOOKUP(C425,REKAP[[#All],[ID]:[Stok Akhir]],8,FALSE),"")</f>
        <v>1400</v>
      </c>
      <c r="H425" s="11">
        <v>16</v>
      </c>
      <c r="I425" s="11" t="s">
        <v>3825</v>
      </c>
      <c r="J425" s="11" t="s">
        <v>3797</v>
      </c>
      <c r="K425" s="15">
        <f>IFERROR(MASUK8[[#This Row],[Harga Satuan]]*MASUK8[[#This Row],[Jumlah Keluar]], "")</f>
        <v>22400</v>
      </c>
      <c r="L425" s="11"/>
      <c r="M425" s="47">
        <f>IFERROR(VLOOKUP(C425,REKAP[[#All],[ID]:[Stok Akhir]],15,FALSE),"")</f>
        <v>17</v>
      </c>
    </row>
    <row r="426" spans="1:13" ht="16.5" customHeight="1" thickTop="1" thickBot="1" x14ac:dyDescent="0.3">
      <c r="A426" s="27">
        <f t="shared" si="6"/>
        <v>420</v>
      </c>
      <c r="B426" s="7">
        <v>45381</v>
      </c>
      <c r="C426" s="8" t="s">
        <v>291</v>
      </c>
      <c r="D426" s="16" t="str">
        <f>IFERROR(VLOOKUP(C426,REKAP[[#All],[ID]:[Stok Akhir]],2,FALSE), "")</f>
        <v>Baut LPK</v>
      </c>
      <c r="E426" s="16" t="str">
        <f>IFERROR(VLOOKUP(C426,REKAP[[#All],[ID]:[Stok Akhir]],4,FALSE), "")</f>
        <v>M 6 X 40</v>
      </c>
      <c r="F426" s="16" t="str">
        <f>IFERROR(VLOOKUP(C426,REKAP[[#All],[ID]:[Stok Akhir]],6,FALSE),"")</f>
        <v>Mur &amp; Baut</v>
      </c>
      <c r="G426" s="15">
        <f>IFERROR(VLOOKUP(C426,REKAP[[#All],[ID]:[Stok Akhir]],8,FALSE),"")</f>
        <v>1000</v>
      </c>
      <c r="H426" s="11">
        <v>12</v>
      </c>
      <c r="I426" s="11" t="s">
        <v>3825</v>
      </c>
      <c r="J426" s="11" t="s">
        <v>3797</v>
      </c>
      <c r="K426" s="15">
        <f>IFERROR(MASUK8[[#This Row],[Harga Satuan]]*MASUK8[[#This Row],[Jumlah Keluar]], "")</f>
        <v>12000</v>
      </c>
      <c r="L426" s="11"/>
      <c r="M426" s="47">
        <f>IFERROR(VLOOKUP(C426,REKAP[[#All],[ID]:[Stok Akhir]],15,FALSE),"")</f>
        <v>23</v>
      </c>
    </row>
    <row r="427" spans="1:13" ht="16.5" customHeight="1" thickTop="1" thickBot="1" x14ac:dyDescent="0.3">
      <c r="A427" s="27">
        <f t="shared" si="6"/>
        <v>421</v>
      </c>
      <c r="B427" s="7">
        <v>45381</v>
      </c>
      <c r="C427" s="8" t="s">
        <v>294</v>
      </c>
      <c r="D427" s="16" t="str">
        <f>IFERROR(VLOOKUP(C427,REKAP[[#All],[ID]:[Stok Akhir]],2,FALSE), "")</f>
        <v>Baut LPK</v>
      </c>
      <c r="E427" s="16" t="str">
        <f>IFERROR(VLOOKUP(C427,REKAP[[#All],[ID]:[Stok Akhir]],4,FALSE), "")</f>
        <v>M 6 X 55</v>
      </c>
      <c r="F427" s="16" t="str">
        <f>IFERROR(VLOOKUP(C427,REKAP[[#All],[ID]:[Stok Akhir]],6,FALSE),"")</f>
        <v>Mur &amp; Baut</v>
      </c>
      <c r="G427" s="15">
        <f>IFERROR(VLOOKUP(C427,REKAP[[#All],[ID]:[Stok Akhir]],8,FALSE),"")</f>
        <v>1250</v>
      </c>
      <c r="H427" s="11">
        <v>12</v>
      </c>
      <c r="I427" s="11" t="s">
        <v>3825</v>
      </c>
      <c r="J427" s="11" t="s">
        <v>3926</v>
      </c>
      <c r="K427" s="15">
        <f>IFERROR(MASUK8[[#This Row],[Harga Satuan]]*MASUK8[[#This Row],[Jumlah Keluar]], "")</f>
        <v>15000</v>
      </c>
      <c r="L427" s="11"/>
      <c r="M427" s="47">
        <f>IFERROR(VLOOKUP(C427,REKAP[[#All],[ID]:[Stok Akhir]],15,FALSE),"")</f>
        <v>25</v>
      </c>
    </row>
    <row r="428" spans="1:13" ht="16.5" customHeight="1" thickTop="1" thickBot="1" x14ac:dyDescent="0.3">
      <c r="A428" s="27">
        <f t="shared" si="6"/>
        <v>422</v>
      </c>
      <c r="B428" s="7">
        <v>45381</v>
      </c>
      <c r="C428" s="8" t="s">
        <v>286</v>
      </c>
      <c r="D428" s="16" t="str">
        <f>IFERROR(VLOOKUP(C428,REKAP[[#All],[ID]:[Stok Akhir]],2,FALSE), "")</f>
        <v>Baut LPK</v>
      </c>
      <c r="E428" s="16" t="str">
        <f>IFERROR(VLOOKUP(C428,REKAP[[#All],[ID]:[Stok Akhir]],4,FALSE), "")</f>
        <v>M 6 X 15/16</v>
      </c>
      <c r="F428" s="16" t="str">
        <f>IFERROR(VLOOKUP(C428,REKAP[[#All],[ID]:[Stok Akhir]],6,FALSE),"")</f>
        <v>Mur &amp; Baut</v>
      </c>
      <c r="G428" s="15">
        <f>IFERROR(VLOOKUP(C428,REKAP[[#All],[ID]:[Stok Akhir]],8,FALSE),"")</f>
        <v>600</v>
      </c>
      <c r="H428" s="11">
        <v>36</v>
      </c>
      <c r="I428" s="11" t="s">
        <v>3825</v>
      </c>
      <c r="J428" s="11" t="s">
        <v>3920</v>
      </c>
      <c r="K428" s="15">
        <f>IFERROR(MASUK8[[#This Row],[Harga Satuan]]*MASUK8[[#This Row],[Jumlah Keluar]], "")</f>
        <v>21600</v>
      </c>
      <c r="L428" s="11"/>
      <c r="M428" s="47">
        <f>IFERROR(VLOOKUP(C428,REKAP[[#All],[ID]:[Stok Akhir]],15,FALSE),"")</f>
        <v>61</v>
      </c>
    </row>
    <row r="429" spans="1:13" ht="16.5" customHeight="1" thickTop="1" thickBot="1" x14ac:dyDescent="0.3">
      <c r="A429" s="27">
        <f t="shared" si="6"/>
        <v>423</v>
      </c>
      <c r="B429" s="7">
        <v>45381</v>
      </c>
      <c r="C429" s="8" t="s">
        <v>259</v>
      </c>
      <c r="D429" s="16" t="str">
        <f>IFERROR(VLOOKUP(C429,REKAP[[#All],[ID]:[Stok Akhir]],2,FALSE), "")</f>
        <v>Baut LPK</v>
      </c>
      <c r="E429" s="16" t="str">
        <f>IFERROR(VLOOKUP(C429,REKAP[[#All],[ID]:[Stok Akhir]],4,FALSE), "")</f>
        <v>M 4 X 25</v>
      </c>
      <c r="F429" s="16" t="str">
        <f>IFERROR(VLOOKUP(C429,REKAP[[#All],[ID]:[Stok Akhir]],6,FALSE),"")</f>
        <v>Mur &amp; Baut</v>
      </c>
      <c r="G429" s="15">
        <f>IFERROR(VLOOKUP(C429,REKAP[[#All],[ID]:[Stok Akhir]],8,FALSE),"")</f>
        <v>600</v>
      </c>
      <c r="H429" s="11">
        <v>32</v>
      </c>
      <c r="I429" s="11" t="s">
        <v>3825</v>
      </c>
      <c r="J429" s="11" t="s">
        <v>3797</v>
      </c>
      <c r="K429" s="15">
        <f>IFERROR(MASUK8[[#This Row],[Harga Satuan]]*MASUK8[[#This Row],[Jumlah Keluar]], "")</f>
        <v>19200</v>
      </c>
      <c r="L429" s="11"/>
      <c r="M429" s="47">
        <f>IFERROR(VLOOKUP(C429,REKAP[[#All],[ID]:[Stok Akhir]],15,FALSE),"")</f>
        <v>28</v>
      </c>
    </row>
    <row r="430" spans="1:13" ht="16.5" customHeight="1" thickTop="1" thickBot="1" x14ac:dyDescent="0.3">
      <c r="A430" s="27">
        <f t="shared" si="6"/>
        <v>424</v>
      </c>
      <c r="B430" s="7">
        <v>45381</v>
      </c>
      <c r="C430" s="8" t="s">
        <v>364</v>
      </c>
      <c r="D430" s="16" t="str">
        <f>IFERROR(VLOOKUP(C430,REKAP[[#All],[ID]:[Stok Akhir]],2,FALSE), "")</f>
        <v>Baut LPK</v>
      </c>
      <c r="E430" s="16" t="str">
        <f>IFERROR(VLOOKUP(C430,REKAP[[#All],[ID]:[Stok Akhir]],4,FALSE), "")</f>
        <v>M 12 X 60</v>
      </c>
      <c r="F430" s="16" t="str">
        <f>IFERROR(VLOOKUP(C430,REKAP[[#All],[ID]:[Stok Akhir]],6,FALSE),"")</f>
        <v>Mur &amp; Baut</v>
      </c>
      <c r="G430" s="15">
        <f>IFERROR(VLOOKUP(C430,REKAP[[#All],[ID]:[Stok Akhir]],8,FALSE),"")</f>
        <v>480</v>
      </c>
      <c r="H430" s="11">
        <v>4</v>
      </c>
      <c r="I430" s="11" t="s">
        <v>3825</v>
      </c>
      <c r="J430" s="11" t="s">
        <v>3797</v>
      </c>
      <c r="K430" s="15">
        <f>IFERROR(MASUK8[[#This Row],[Harga Satuan]]*MASUK8[[#This Row],[Jumlah Keluar]], "")</f>
        <v>1920</v>
      </c>
      <c r="L430" s="11"/>
      <c r="M430" s="47">
        <f>IFERROR(VLOOKUP(C430,REKAP[[#All],[ID]:[Stok Akhir]],15,FALSE),"")</f>
        <v>26</v>
      </c>
    </row>
    <row r="431" spans="1:13" ht="16.5" customHeight="1" thickTop="1" thickBot="1" x14ac:dyDescent="0.3">
      <c r="A431" s="27">
        <f t="shared" si="6"/>
        <v>425</v>
      </c>
      <c r="B431" s="7">
        <v>45381</v>
      </c>
      <c r="C431" s="8" t="s">
        <v>289</v>
      </c>
      <c r="D431" s="16" t="str">
        <f>IFERROR(VLOOKUP(C431,REKAP[[#All],[ID]:[Stok Akhir]],2,FALSE), "")</f>
        <v>Baut LPK</v>
      </c>
      <c r="E431" s="16" t="str">
        <f>IFERROR(VLOOKUP(C431,REKAP[[#All],[ID]:[Stok Akhir]],4,FALSE), "")</f>
        <v>M 6 X 30</v>
      </c>
      <c r="F431" s="16" t="str">
        <f>IFERROR(VLOOKUP(C431,REKAP[[#All],[ID]:[Stok Akhir]],6,FALSE),"")</f>
        <v>Mur &amp; Baut</v>
      </c>
      <c r="G431" s="15">
        <f>IFERROR(VLOOKUP(C431,REKAP[[#All],[ID]:[Stok Akhir]],8,FALSE),"")</f>
        <v>800</v>
      </c>
      <c r="H431" s="11">
        <v>2</v>
      </c>
      <c r="I431" s="11" t="s">
        <v>3825</v>
      </c>
      <c r="J431" s="11" t="s">
        <v>3797</v>
      </c>
      <c r="K431" s="15">
        <f>IFERROR(MASUK8[[#This Row],[Harga Satuan]]*MASUK8[[#This Row],[Jumlah Keluar]], "")</f>
        <v>1600</v>
      </c>
      <c r="L431" s="11"/>
      <c r="M431" s="47">
        <f>IFERROR(VLOOKUP(C431,REKAP[[#All],[ID]:[Stok Akhir]],15,FALSE),"")</f>
        <v>7</v>
      </c>
    </row>
    <row r="432" spans="1:13" ht="16.5" customHeight="1" thickTop="1" thickBot="1" x14ac:dyDescent="0.3">
      <c r="A432" s="27">
        <f t="shared" si="6"/>
        <v>426</v>
      </c>
      <c r="B432" s="7">
        <v>45381</v>
      </c>
      <c r="C432" s="8" t="s">
        <v>769</v>
      </c>
      <c r="D432" s="16" t="str">
        <f>IFERROR(VLOOKUP(C432,REKAP[[#All],[ID]:[Stok Akhir]],2,FALSE), "")</f>
        <v>Masker Safety (Polytron)</v>
      </c>
      <c r="E432" s="16">
        <f>IFERROR(VLOOKUP(C432,REKAP[[#All],[ID]:[Stok Akhir]],4,FALSE), "")</f>
        <v>0</v>
      </c>
      <c r="F432" s="16" t="str">
        <f>IFERROR(VLOOKUP(C432,REKAP[[#All],[ID]:[Stok Akhir]],6,FALSE),"")</f>
        <v>Bahan Pembantu</v>
      </c>
      <c r="G432" s="15">
        <f>IFERROR(VLOOKUP(C432,REKAP[[#All],[ID]:[Stok Akhir]],8,FALSE),"")</f>
        <v>1455</v>
      </c>
      <c r="H432" s="11">
        <v>1</v>
      </c>
      <c r="I432" s="11" t="s">
        <v>3872</v>
      </c>
      <c r="J432" s="11" t="s">
        <v>3663</v>
      </c>
      <c r="K432" s="15">
        <f>IFERROR(MASUK8[[#This Row],[Harga Satuan]]*MASUK8[[#This Row],[Jumlah Keluar]], "")</f>
        <v>1455</v>
      </c>
      <c r="L432" s="11"/>
      <c r="M432" s="47">
        <f>IFERROR(VLOOKUP(C432,REKAP[[#All],[ID]:[Stok Akhir]],15,FALSE),"")</f>
        <v>143</v>
      </c>
    </row>
    <row r="433" spans="1:13" ht="16.5" customHeight="1" thickTop="1" thickBot="1" x14ac:dyDescent="0.3">
      <c r="A433" s="27">
        <f t="shared" si="6"/>
        <v>427</v>
      </c>
      <c r="B433" s="7">
        <v>45381</v>
      </c>
      <c r="C433" s="8" t="s">
        <v>761</v>
      </c>
      <c r="D433" s="16" t="str">
        <f>IFERROR(VLOOKUP(C433,REKAP[[#All],[ID]:[Stok Akhir]],2,FALSE), "")</f>
        <v>Kuas Cat</v>
      </c>
      <c r="E433" s="16" t="str">
        <f>IFERROR(VLOOKUP(C433,REKAP[[#All],[ID]:[Stok Akhir]],4,FALSE), "")</f>
        <v>1"</v>
      </c>
      <c r="F433" s="16" t="str">
        <f>IFERROR(VLOOKUP(C433,REKAP[[#All],[ID]:[Stok Akhir]],6,FALSE),"")</f>
        <v>Bahan Pembantu</v>
      </c>
      <c r="G433" s="15">
        <f>IFERROR(VLOOKUP(C433,REKAP[[#All],[ID]:[Stok Akhir]],8,FALSE),"")</f>
        <v>4000</v>
      </c>
      <c r="H433" s="11">
        <v>1</v>
      </c>
      <c r="I433" s="11" t="s">
        <v>3866</v>
      </c>
      <c r="J433" s="11" t="s">
        <v>3845</v>
      </c>
      <c r="K433" s="15">
        <f>IFERROR(MASUK8[[#This Row],[Harga Satuan]]*MASUK8[[#This Row],[Jumlah Keluar]], "")</f>
        <v>4000</v>
      </c>
      <c r="L433" s="11"/>
      <c r="M433" s="47">
        <f>IFERROR(VLOOKUP(C433,REKAP[[#All],[ID]:[Stok Akhir]],15,FALSE),"")</f>
        <v>3</v>
      </c>
    </row>
    <row r="434" spans="1:13" ht="16.5" customHeight="1" thickTop="1" thickBot="1" x14ac:dyDescent="0.3">
      <c r="A434" s="27">
        <f t="shared" si="6"/>
        <v>428</v>
      </c>
      <c r="B434" s="7">
        <v>45381</v>
      </c>
      <c r="C434" s="8" t="s">
        <v>788</v>
      </c>
      <c r="D434" s="16" t="str">
        <f>IFERROR(VLOOKUP(C434,REKAP[[#All],[ID]:[Stok Akhir]],2,FALSE), "")</f>
        <v>Sarung Tangan kain</v>
      </c>
      <c r="E434" s="16">
        <f>IFERROR(VLOOKUP(C434,REKAP[[#All],[ID]:[Stok Akhir]],4,FALSE), "")</f>
        <v>0</v>
      </c>
      <c r="F434" s="16" t="str">
        <f>IFERROR(VLOOKUP(C434,REKAP[[#All],[ID]:[Stok Akhir]],6,FALSE),"")</f>
        <v>Bahan Pembantu</v>
      </c>
      <c r="G434" s="15">
        <f>IFERROR(VLOOKUP(C434,REKAP[[#All],[ID]:[Stok Akhir]],8,FALSE),"")</f>
        <v>2000</v>
      </c>
      <c r="H434" s="11">
        <v>1</v>
      </c>
      <c r="I434" s="11" t="s">
        <v>3662</v>
      </c>
      <c r="J434" s="11" t="s">
        <v>3663</v>
      </c>
      <c r="K434" s="15">
        <f>IFERROR(MASUK8[[#This Row],[Harga Satuan]]*MASUK8[[#This Row],[Jumlah Keluar]], "")</f>
        <v>2000</v>
      </c>
      <c r="L434" s="11"/>
      <c r="M434" s="47">
        <f>IFERROR(VLOOKUP(C434,REKAP[[#All],[ID]:[Stok Akhir]],15,FALSE),"")</f>
        <v>0</v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Akhir]],15,FALSE),"")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Akhir]],15,FALSE),"")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Akhir]],15,FALSE),"")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Akhir]],15,FALSE),"")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Akhir]],15,FALSE),"")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Akhir]],15,FALSE),"")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Akhir]],15,FALSE),"")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Akhir]],15,FALSE),"")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Akhir]],15,FALSE),"")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Akhir]],15,FALSE),"")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Akhir]],15,FALSE),"")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Akhir]],15,FALSE),"")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Akhir]],15,FALSE),"")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Akhir]],15,FALSE),"")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Akhir]],15,FALSE),"")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Akhir]],15,FALSE),"")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Akhir]],15,FALSE),"")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Akhir]],15,FALSE),"")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Akhir]],15,FALSE),"")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Akhir]],15,FALSE),"")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Akhir]],15,FALSE),"")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Akhir]],15,FALSE),"")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Akhir]],15,FALSE),"")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Akhir]],15,FALSE),"")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Akhir]],15,FALSE),"")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Akhir]],15,FALSE),"")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Akhir]],15,FALSE),"")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Akhir]],15,FALSE),"")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Akhir]],15,FALSE),"")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Akhir]],15,FALSE),"")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Akhir]],15,FALSE),"")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Akhir]],15,FALSE),"")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Akhir]],15,FALSE),"")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Akhir]],15,FALSE),"")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Akhir]],15,FALSE),"")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Akhir]],15,FALSE),"")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Akhir]],15,FALSE),"")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Akhir]],15,FALSE),"")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Akhir]],15,FALSE),"")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Akhir]],15,FALSE),"")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Akhir]],15,FALSE),"")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Akhir]],15,FALSE),"")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Akhir]],15,FALSE),"")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Akhir]],15,FALSE),"")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Akhir]],15,FALSE),"")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Akhir]],15,FALSE),"")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Akhir]],15,FALSE),"")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Akhir]],15,FALSE),"")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Akhir]],15,FALSE),"")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Akhir]],15,FALSE),"")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Akhir]],15,FALSE),"")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Akhir]],15,FALSE),"")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Akhir]],15,FALSE),"")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Akhir]],15,FALSE),"")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Akhir]],15,FALSE),"")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Akhir]],15,FALSE),"")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Akhir]],15,FALSE),"")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Akhir]],15,FALSE),"")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Akhir]],15,FALSE),"")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Akhir]],15,FALSE),"")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Akhir]],15,FALSE),"")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Akhir]],15,FALSE),"")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Akhir]],15,FALSE),"")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Akhir]],15,FALSE),"")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Akhir]],15,FALSE),"")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Akhir]],15,FALSE),"")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Akhir]],15,FALSE),"")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Akhir]],15,FALSE),"")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Akhir]],15,FALSE),"")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Akhir]],15,FALSE),"")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Akhir]],15,FALSE),"")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Akhir]],15,FALSE),"")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Akhir]],15,FALSE),"")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Akhir]],15,FALSE),"")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Akhir]],15,FALSE),"")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Akhir]],15,FALSE),"")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Akhir]],15,FALSE),"")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Akhir]],15,FALSE),"")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Akhir]],15,FALSE),"")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Akhir]],15,FALSE),"")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Akhir]],15,FALSE),"")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Akhir]],15,FALSE),"")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Akhir]],15,FALSE),"")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Akhir]],15,FALSE),"")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Akhir]],15,FALSE),"")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Akhir]],15,FALSE),"")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Akhir]],15,FALSE),"")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Akhir]],15,FALSE),"")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Akhir]],15,FALSE),"")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Akhir]],15,FALSE),"")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Akhir]],15,FALSE),"")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Akhir]],15,FALSE),"")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Akhir]],15,FALSE),"")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Akhir]],15,FALSE),"")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Akhir]],15,FALSE),"")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Akhir]],15,FALSE),"")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Akhir]],15,FALSE),"")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Akhir]],15,FALSE),"")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Akhir]],15,FALSE),"")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Akhir]],15,FALSE),"")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Akhir]],15,FALSE),"")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Akhir]],15,FALSE),"")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Akhir]],15,FALSE),"")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Akhir]],15,FALSE),"")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Akhir]],15,FALSE),"")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Akhir]],15,FALSE),"")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Akhir]],15,FALSE),"")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Akhir]],15,FALSE),"")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Akhir]],15,FALSE),"")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Akhir]],15,FALSE),"")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Akhir]],15,FALSE),"")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Akhir]],15,FALSE),"")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Akhir]],15,FALSE),"")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Akhir]],15,FALSE),"")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Akhir]],15,FALSE),"")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Akhir]],15,FALSE),"")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Akhir]],15,FALSE),"")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Akhir]],15,FALSE),"")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Akhir]],15,FALSE),"")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Akhir]],15,FALSE),"")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Akhir]],15,FALSE),"")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Akhir]],15,FALSE),"")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Akhir]],15,FALSE),"")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Akhir]],15,FALSE),"")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Akhir]],15,FALSE),"")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Akhir]],15,FALSE),"")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Akhir]],15,FALSE),"")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Akhir]],15,FALSE),"")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Akhir]],15,FALSE),"")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Akhir]],15,FALSE),"")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Akhir]],15,FALSE),"")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Akhir]],15,FALSE),"")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Akhir]],15,FALSE),"")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Akhir]],15,FALSE),"")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Akhir]],15,FALSE),"")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Akhir]],15,FALSE),"")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Akhir]],15,FALSE),"")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Akhir]],15,FALSE),"")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Akhir]],15,FALSE),"")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Akhir]],15,FALSE),"")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Akhir]],15,FALSE),"")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Akhir]],15,FALSE),"")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Akhir]],15,FALSE),"")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Akhir]],15,FALSE),"")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Akhir]],15,FALSE),"")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Akhir]],15,FALSE),"")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Akhir]],15,FALSE),"")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Akhir]],15,FALSE),"")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Akhir]],15,FALSE),"")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Akhir]],15,FALSE),"")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Akhir]],15,FALSE),"")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Akhir]],15,FALSE),"")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Akhir]],15,FALSE),"")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Akhir]],15,FALSE),"")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Akhir]],15,FALSE),"")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Akhir]],15,FALSE),"")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Akhir]],15,FALSE),"")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Akhir]],15,FALSE),"")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Akhir]],15,FALSE),"")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Akhir]],15,FALSE),"")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Akhir]],15,FALSE),"")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Akhir]],15,FALSE),"")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Akhir]],15,FALSE),"")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Akhir]],15,FALSE),"")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Akhir]],15,FALSE),"")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Akhir]],15,FALSE),"")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Akhir]],15,FALSE),"")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Akhir]],15,FALSE),"")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Akhir]],15,FALSE),"")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Akhir]],15,FALSE),"")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Akhir]],15,FALSE),"")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Akhir]],15,FALSE),"")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Akhir]],15,FALSE),"")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Akhir]],15,FALSE),"")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Akhir]],15,FALSE),"")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Akhir]],15,FALSE),"")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Akhir]],15,FALSE),"")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Akhir]],15,FALSE),"")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Akhir]],15,FALSE),"")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Akhir]],15,FALSE),"")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Akhir]],15,FALSE),"")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Akhir]],15,FALSE),"")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Akhir]],15,FALSE),"")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Akhir]],15,FALSE),"")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Akhir]],15,FALSE),"")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Akhir]],15,FALSE),"")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Akhir]],15,FALSE),"")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Akhir]],15,FALSE),"")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Akhir]],15,FALSE),"")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Akhir]],15,FALSE),"")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Akhir]],15,FALSE),"")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Akhir]],15,FALSE),"")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Akhir]],15,FALSE),"")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Akhir]],15,FALSE),"")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Akhir]],15,FALSE),"")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Akhir]],15,FALSE),"")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Akhir]],15,FALSE),"")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Akhir]],15,FALSE),"")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Akhir]],15,FALSE),"")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Akhir]],15,FALSE),"")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Akhir]],15,FALSE),"")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Akhir]],15,FALSE),"")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Akhir]],15,FALSE),"")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Akhir]],15,FALSE),"")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Akhir]],15,FALSE),"")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Akhir]],15,FALSE),"")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Akhir]],15,FALSE),"")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Akhir]],15,FALSE),"")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Akhir]],15,FALSE),"")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Akhir]],15,FALSE),"")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Akhir]],15,FALSE),"")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Akhir]],15,FALSE),"")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Akhir]],15,FALSE),"")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Akhir]],15,FALSE),"")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Akhir]],15,FALSE),"")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Akhir]],15,FALSE),"")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Akhir]],15,FALSE),"")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Akhir]],15,FALSE),"")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Akhir]],15,FALSE),"")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Akhir]],15,FALSE),"")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Akhir]],15,FALSE),"")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Akhir]],15,FALSE),"")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Akhir]],15,FALSE),"")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Akhir]],15,FALSE),"")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Akhir]],15,FALSE),"")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Akhir]],15,FALSE),"")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Akhir]],15,FALSE),"")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Akhir]],15,FALSE),"")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Akhir]],15,FALSE),"")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Akhir]],15,FALSE),"")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Akhir]],15,FALSE),"")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Akhir]],15,FALSE),"")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Akhir]],15,FALSE),"")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Akhir]],15,FALSE),"")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Akhir]],15,FALSE),"")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Akhir]],15,FALSE),"")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Akhir]],15,FALSE),"")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Akhir]],15,FALSE),"")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Akhir]],15,FALSE),"")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Akhir]],15,FALSE),"")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Akhir]],15,FALSE),"")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Akhir]],15,FALSE),"")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Akhir]],15,FALSE),"")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Akhir]],15,FALSE),"")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Akhir]],15,FALSE),"")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Akhir]],15,FALSE),"")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Akhir]],15,FALSE),"")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Akhir]],15,FALSE),"")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Akhir]],15,FALSE),"")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Akhir]],15,FALSE),"")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Akhir]],15,FALSE),"")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Akhir]],15,FALSE),"")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Akhir]],15,FALSE),"")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Akhir]],15,FALSE),"")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Akhir]],15,FALSE),"")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Akhir]],15,FALSE),"")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Akhir]],15,FALSE),"")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Akhir]],15,FALSE),"")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Akhir]],15,FALSE),"")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Akhir]],15,FALSE),"")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Akhir]],15,FALSE),"")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Akhir]],15,FALSE),"")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Akhir]],15,FALSE),"")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Akhir]],15,FALSE),"")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Akhir]],15,FALSE),"")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Akhir]],15,FALSE),"")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Akhir]],15,FALSE),"")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Akhir]],15,FALSE),"")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Akhir]],15,FALSE),"")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Akhir]],15,FALSE),"")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Akhir]],15,FALSE),"")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Akhir]],15,FALSE),"")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Akhir]],15,FALSE),"")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Akhir]],15,FALSE),"")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Akhir]],15,FALSE),"")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Akhir]],15,FALSE),"")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Akhir]],15,FALSE),"")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Akhir]],15,FALSE),"")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Akhir]],15,FALSE),"")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Akhir]],15,FALSE),"")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Akhir]],15,FALSE),"")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Akhir]],15,FALSE),"")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Akhir]],15,FALSE),"")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Akhir]],15,FALSE),"")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Akhir]],15,FALSE),"")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Akhir]],15,FALSE),"")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Akhir]],15,FALSE),"")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Akhir]],15,FALSE),"")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Akhir]],15,FALSE),"")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Akhir]],15,FALSE),"")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Akhir]],15,FALSE),"")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Akhir]],15,FALSE),"")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Akhir]],15,FALSE),"")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Akhir]],15,FALSE),"")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Akhir]],15,FALSE),"")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Akhir]],15,FALSE),"")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Akhir]],15,FALSE),"")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Akhir]],15,FALSE),"")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Akhir]],15,FALSE),"")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Akhir]],15,FALSE),"")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Akhir]],15,FALSE),"")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Akhir]],15,FALSE),"")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Akhir]],15,FALSE),"")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Akhir]],15,FALSE),"")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Akhir]],15,FALSE),"")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Akhir]],15,FALSE),"")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Akhir]],15,FALSE),"")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Akhir]],15,FALSE),"")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Akhir]],15,FALSE),"")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Akhir]],15,FALSE),"")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Akhir]],15,FALSE),"")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Akhir]],15,FALSE),"")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Akhir]],15,FALSE),"")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Akhir]],15,FALSE),"")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Akhir]],15,FALSE),"")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Akhir]],15,FALSE),"")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Akhir]],15,FALSE),"")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Akhir]],15,FALSE),"")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Akhir]],15,FALSE),"")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Akhir]],15,FALSE),"")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Akhir]],15,FALSE),"")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Akhir]],15,FALSE),"")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Akhir]],15,FALSE),"")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Akhir]],15,FALSE),"")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Akhir]],15,FALSE),"")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Akhir]],15,FALSE),"")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Akhir]],15,FALSE),"")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Akhir]],15,FALSE),"")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Akhir]],15,FALSE),"")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Akhir]],15,FALSE),"")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Akhir]],15,FALSE),"")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Akhir]],15,FALSE),"")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Akhir]],15,FALSE),"")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Akhir]],15,FALSE),"")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Akhir]],15,FALSE),"")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Akhir]],15,FALSE),"")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Akhir]],15,FALSE),"")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Akhir]],15,FALSE),"")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Akhir]],15,FALSE),"")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Akhir]],15,FALSE),"")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Akhir]],15,FALSE),"")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Akhir]],15,FALSE),"")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Akhir]],15,FALSE),"")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Akhir]],15,FALSE),"")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Akhir]],15,FALSE),"")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Akhir]],15,FALSE),"")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Akhir]],15,FALSE),"")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Akhir]],15,FALSE),"")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Akhir]],15,FALSE),"")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Akhir]],15,FALSE),"")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Akhir]],15,FALSE),"")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Akhir]],15,FALSE),"")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Akhir]],15,FALSE),"")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Akhir]],15,FALSE),"")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Akhir]],15,FALSE),"")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Akhir]],15,FALSE),"")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Akhir]],15,FALSE),"")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Akhir]],15,FALSE),"")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Akhir]],15,FALSE),"")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Akhir]],15,FALSE),"")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Akhir]],15,FALSE),"")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Akhir]],15,FALSE),"")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Akhir]],15,FALSE),"")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Akhir]],15,FALSE),"")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Akhir]],15,FALSE),"")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Akhir]],15,FALSE),"")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Akhir]],15,FALSE),"")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Akhir]],15,FALSE),"")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Akhir]],15,FALSE),"")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Akhir]],15,FALSE),"")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Akhir]],15,FALSE),"")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Akhir]],15,FALSE),"")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Akhir]],15,FALSE),"")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Akhir]],15,FALSE),"")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Akhir]],15,FALSE),"")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Akhir]],15,FALSE),"")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Akhir]],15,FALSE),"")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Akhir]],15,FALSE),"")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Akhir]],15,FALSE),"")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Akhir]],15,FALSE),"")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Akhir]],15,FALSE),"")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Akhir]],15,FALSE),"")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Akhir]],15,FALSE),"")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Akhir]],15,FALSE),"")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Akhir]],15,FALSE),"")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Akhir]],15,FALSE),"")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Akhir]],15,FALSE),"")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Akhir]],15,FALSE),"")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Akhir]],15,FALSE),"")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Akhir]],15,FALSE),"")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Akhir]],15,FALSE),"")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Akhir]],15,FALSE),"")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Akhir]],15,FALSE),"")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Akhir]],15,FALSE),"")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Akhir]],15,FALSE),"")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Akhir]],15,FALSE),"")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Akhir]],15,FALSE),"")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Akhir]],15,FALSE),"")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Akhir]],15,FALSE),"")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Akhir]],15,FALSE),"")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Akhir]],15,FALSE),"")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Akhir]],15,FALSE),"")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Akhir]],15,FALSE),"")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Akhir]],15,FALSE),"")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Akhir]],15,FALSE),"")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Akhir]],15,FALSE),"")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Akhir]],15,FALSE),"")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Akhir]],15,FALSE),"")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Akhir]],15,FALSE),"")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Akhir]],15,FALSE),"")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Akhir]],15,FALSE),"")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Akhir]],15,FALSE),"")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Akhir]],15,FALSE),"")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Akhir]],15,FALSE),"")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Akhir]],15,FALSE),"")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Akhir]],15,FALSE),"")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Akhir]],15,FALSE),"")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Akhir]],15,FALSE),"")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Akhir]],15,FALSE),"")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Akhir]],15,FALSE),"")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Akhir]],15,FALSE),"")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Akhir]],15,FALSE),"")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Akhir]],15,FALSE),"")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Akhir]],15,FALSE),"")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Akhir]],15,FALSE),"")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Akhir]],15,FALSE),"")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Akhir]],15,FALSE),"")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Akhir]],15,FALSE),"")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Akhir]],15,FALSE),"")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Akhir]],15,FALSE),"")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Akhir]],15,FALSE),"")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Akhir]],15,FALSE),"")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Akhir]],15,FALSE),"")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Akhir]],15,FALSE),"")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Akhir]],15,FALSE),"")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Akhir]],15,FALSE),"")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Akhir]],15,FALSE),"")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Akhir]],15,FALSE),"")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Akhir]],15,FALSE),"")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Akhir]],15,FALSE),"")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Akhir]],15,FALSE),"")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Akhir]],15,FALSE),"")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Akhir]],15,FALSE),"")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Akhir]],15,FALSE),"")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Akhir]],15,FALSE),"")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Akhir]],15,FALSE),"")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Akhir]],15,FALSE),"")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Akhir]],15,FALSE),"")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Akhir]],15,FALSE),"")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Akhir]],15,FALSE),"")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Akhir]],15,FALSE),"")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Akhir]],15,FALSE),"")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Akhir]],15,FALSE),"")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Akhir]],15,FALSE),"")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Akhir]],15,FALSE),"")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Akhir]],15,FALSE),"")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Akhir]],15,FALSE),"")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Akhir]],15,FALSE),"")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Akhir]],15,FALSE),"")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Akhir]],15,FALSE),"")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Akhir]],15,FALSE),"")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Akhir]],15,FALSE),"")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Akhir]],15,FALSE),"")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Akhir]],15,FALSE),"")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Akhir]],15,FALSE),"")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Akhir]],15,FALSE),"")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Akhir]],15,FALSE),"")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Akhir]],15,FALSE),"")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Akhir]],15,FALSE),"")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Akhir]],15,FALSE),"")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Akhir]],15,FALSE),"")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Akhir]],15,FALSE),"")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Akhir]],15,FALSE),"")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Akhir]],15,FALSE),"")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Akhir]],15,FALSE),"")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Akhir]],15,FALSE),"")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Akhir]],15,FALSE),"")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Akhir]],15,FALSE),"")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Akhir]],15,FALSE),"")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Akhir]],15,FALSE),"")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Akhir]],15,FALSE),"")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Akhir]],15,FALSE),"")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Akhir]],15,FALSE),"")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Akhir]],15,FALSE),"")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Akhir]],15,FALSE),"")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Akhir]],15,FALSE),"")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Akhir]],15,FALSE),"")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Akhir]],15,FALSE),"")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Akhir]],15,FALSE),"")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Akhir]],15,FALSE),"")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Akhir]],15,FALSE),"")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Akhir]],15,FALSE),"")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Akhir]],15,FALSE),"")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Akhir]],15,FALSE),"")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Akhir]],15,FALSE),"")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Akhir]],15,FALSE),"")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Akhir]],15,FALSE),"")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Akhir]],15,FALSE),"")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Akhir]],15,FALSE),"")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Akhir]],15,FALSE),"")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Akhir]],15,FALSE),"")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Akhir]],15,FALSE),"")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Akhir]],15,FALSE),"")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Akhir]],15,FALSE),"")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Akhir]],15,FALSE),"")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Akhir]],15,FALSE),"")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Akhir]],15,FALSE),"")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Akhir]],15,FALSE),"")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Akhir]],15,FALSE),"")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Akhir]],15,FALSE),"")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Akhir]],15,FALSE),"")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Akhir]],15,FALSE),"")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Akhir]],15,FALSE),"")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Akhir]],15,FALSE),"")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Akhir]],15,FALSE),"")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Akhir]],15,FALSE),"")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Akhir]],15,FALSE),"")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Akhir]],15,FALSE),"")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Akhir]],15,FALSE),"")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Akhir]],15,FALSE),"")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Akhir]],15,FALSE),"")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Akhir]],15,FALSE),"")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Akhir]],15,FALSE),"")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Akhir]],15,FALSE),"")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Akhir]],15,FALSE),"")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Akhir]],15,FALSE),"")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Akhir]],15,FALSE),"")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Akhir]],15,FALSE),"")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Akhir]],15,FALSE),"")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Akhir]],15,FALSE),"")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Akhir]],15,FALSE),"")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Akhir]],15,FALSE),"")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Akhir]],15,FALSE),"")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Akhir]],15,FALSE),"")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Akhir]],15,FALSE),"")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Akhir]],15,FALSE),"")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Akhir]],15,FALSE),"")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Akhir]],15,FALSE),"")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Akhir]],15,FALSE),"")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Akhir]],15,FALSE),"")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Akhir]],15,FALSE),"")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Akhir]],15,FALSE),"")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Akhir]],15,FALSE),"")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Akhir]],15,FALSE),"")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Akhir]],15,FALSE),"")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Akhir]],15,FALSE),"")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Akhir]],15,FALSE),"")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Akhir]],15,FALSE),"")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Akhir]],15,FALSE),"")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Akhir]],15,FALSE),"")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Akhir]],15,FALSE),"")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Akhir]],15,FALSE),"")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Akhir]],15,FALSE),"")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Akhir]],15,FALSE),"")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Akhir]],15,FALSE),"")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Akhir]],15,FALSE),"")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Akhir]],15,FALSE),"")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Akhir]],15,FALSE),"")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Akhir]],15,FALSE),"")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Akhir]],15,FALSE),"")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Akhir]],15,FALSE),"")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Akhir]],15,FALSE),"")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Akhir]],15,FALSE),"")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Akhir]],15,FALSE),"")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Akhir]],15,FALSE),"")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Akhir]],15,FALSE),"")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Akhir]],15,FALSE),"")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Akhir]],15,FALSE),"")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Akhir]],15,FALSE),"")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Akhir]],15,FALSE),"")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Akhir]],15,FALSE),"")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Akhir]],15,FALSE),"")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Akhir]],15,FALSE),"")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Akhir]],15,FALSE),"")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Akhir]],15,FALSE),"")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Akhir]],15,FALSE),"")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Akhir]],15,FALSE),"")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Akhir]],15,FALSE),"")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Akhir]],15,FALSE),"")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Akhir]],15,FALSE),"")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Akhir]],15,FALSE),"")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Akhir]],15,FALSE),"")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Akhir]],15,FALSE),"")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Akhir]],15,FALSE),"")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Akhir]],15,FALSE),"")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Akhir]],15,FALSE),"")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Akhir]],15,FALSE),"")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Akhir]],15,FALSE),"")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Akhir]],15,FALSE),"")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Akhir]],15,FALSE),"")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Akhir]],15,FALSE),"")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Akhir]],15,FALSE),"")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Akhir]],15,FALSE),"")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Akhir]],15,FALSE),"")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Akhir]],15,FALSE),"")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Akhir]],15,FALSE),"")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Akhir]],15,FALSE),"")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Akhir]],15,FALSE),"")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Akhir]],15,FALSE),"")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Akhir]],15,FALSE),"")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Akhir]],15,FALSE),"")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Akhir]],15,FALSE),"")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Akhir]],15,FALSE),"")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Akhir]],15,FALSE),"")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Akhir]],15,FALSE),"")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Akhir]],15,FALSE),"")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Akhir]],15,FALSE),"")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Akhir]],15,FALSE),"")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Akhir]],15,FALSE),"")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Akhir]],15,FALSE),"")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Akhir]],15,FALSE),"")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Akhir]],15,FALSE),"")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Akhir]],15,FALSE),"")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Akhir]],15,FALSE),"")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Akhir]],15,FALSE),"")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Akhir]],15,FALSE),"")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Akhir]],15,FALSE),"")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Akhir]],15,FALSE),"")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Akhir]],15,FALSE),"")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Akhir]],15,FALSE),"")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Akhir]],15,FALSE),"")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Akhir]],15,FALSE),"")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Akhir]],15,FALSE),"")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Akhir]],15,FALSE),"")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Akhir]],15,FALSE),"")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Akhir]],15,FALSE),"")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Akhir]],15,FALSE),"")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Akhir]],15,FALSE),"")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Akhir]],15,FALSE),"")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Akhir]],15,FALSE),"")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Akhir]],15,FALSE),"")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Akhir]],15,FALSE),"")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Akhir]],15,FALSE),"")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Akhir]],15,FALSE),"")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Akhir]],15,FALSE),"")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Akhir]],15,FALSE),"")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Akhir]],15,FALSE),"")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Akhir]],15,FALSE),"")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Akhir]],15,FALSE),"")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Akhir]],15,FALSE),"")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Akhir]],15,FALSE),"")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Akhir]],15,FALSE),"")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Akhir]],15,FALSE),"")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Akhir]],15,FALSE),"")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Akhir]],15,FALSE),"")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Akhir]],15,FALSE),"")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Akhir]],15,FALSE),"")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Akhir]],15,FALSE),"")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Akhir]],15,FALSE),"")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Akhir]],15,FALSE),"")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Akhir]],15,FALSE),"")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Akhir]],15,FALSE),"")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Akhir]],15,FALSE),"")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Akhir]],15,FALSE),"")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Akhir]],15,FALSE),"")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Akhir]],15,FALSE),"")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Akhir]],15,FALSE),"")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Akhir]],15,FALSE),"")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Akhir]],15,FALSE),"")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Akhir]],15,FALSE),"")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Akhir]],15,FALSE),"")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Akhir]],15,FALSE),"")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Akhir]],15,FALSE),"")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Akhir]],15,FALSE),"")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Akhir]],15,FALSE),"")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Akhir]],15,FALSE),"")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Akhir]],15,FALSE),"")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Akhir]],15,FALSE),"")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Akhir]],15,FALSE),"")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Akhir]],15,FALSE),"")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Akhir]],15,FALSE),"")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Akhir]],15,FALSE),"")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Akhir]],15,FALSE),"")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Akhir]],15,FALSE),"")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Akhir]],15,FALSE),"")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Akhir]],15,FALSE),"")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Akhir]],15,FALSE),"")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Akhir]],15,FALSE),"")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Akhir]],15,FALSE),"")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Akhir]],15,FALSE),"")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Akhir]],15,FALSE),"")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Akhir]],15,FALSE),"")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Akhir]],15,FALSE),"")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Akhir]],15,FALSE),"")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Akhir]],15,FALSE),"")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Akhir]],15,FALSE),"")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Akhir]],15,FALSE),"")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Akhir]],15,FALSE),"")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Akhir]],15,FALSE),"")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Akhir]],15,FALSE),"")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Akhir]],15,FALSE),"")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Akhir]],15,FALSE),"")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Akhir]],15,FALSE),"")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Akhir]],15,FALSE),"")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Akhir]],15,FALSE),"")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Akhir]],15,FALSE),"")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Akhir]],15,FALSE),"")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Akhir]],15,FALSE),"")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Akhir]],15,FALSE),"")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Akhir]],15,FALSE),"")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Akhir]],15,FALSE),"")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Akhir]],15,FALSE),"")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Akhir]],15,FALSE),"")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Akhir]],15,FALSE),"")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Akhir]],15,FALSE),"")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Akhir]],15,FALSE),"")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Akhir]],15,FALSE),"")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Akhir]],15,FALSE),"")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Akhir]],15,FALSE),"")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Akhir]],15,FALSE),"")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Akhir]],15,FALSE),"")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Akhir]],15,FALSE),"")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Akhir]],15,FALSE),"")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Akhir]],15,FALSE),"")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Akhir]],15,FALSE),"")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Akhir]],15,FALSE),"")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Akhir]],15,FALSE),"")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Akhir]],15,FALSE),"")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Akhir]],15,FALSE),"")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Akhir]],15,FALSE),"")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Akhir]],15,FALSE),"")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Akhir]],15,FALSE),"")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Akhir]],15,FALSE),"")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Akhir]],15,FALSE),"")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Akhir]],15,FALSE),"")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Akhir]],15,FALSE),"")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Akhir]],15,FALSE),"")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Akhir]],15,FALSE),"")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Akhir]],15,FALSE),"")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Akhir]],15,FALSE),"")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Akhir]],15,FALSE),"")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Akhir]],15,FALSE),"")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Akhir]],15,FALSE),"")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Akhir]],15,FALSE),"")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Akhir]],15,FALSE),"")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Akhir]],15,FALSE),"")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Akhir]],15,FALSE),"")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Akhir]],15,FALSE),"")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Akhir]],15,FALSE),"")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Akhir]],15,FALSE),"")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Akhir]],15,FALSE),"")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Akhir]],15,FALSE),"")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Akhir]],15,FALSE),"")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Akhir]],15,FALSE),"")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Akhir]],15,FALSE),"")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Akhir]],15,FALSE),"")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Akhir]],15,FALSE),"")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Akhir]],15,FALSE),"")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Akhir]],15,FALSE),"")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Akhir]],15,FALSE),"")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Akhir]],15,FALSE),"")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Akhir]],15,FALSE),"")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Akhir]],15,FALSE),"")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Akhir]],15,FALSE),"")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Akhir]],15,FALSE),"")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Akhir]],15,FALSE),"")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Akhir]],15,FALSE),"")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Akhir]],15,FALSE),"")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Akhir]],15,FALSE),"")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Akhir]],15,FALSE),"")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Akhir]],15,FALSE),"")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Akhir]],15,FALSE),"")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Akhir]],15,FALSE),"")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Akhir]],15,FALSE),"")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Akhir]],15,FALSE),"")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Akhir]],15,FALSE),"")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Akhir]],15,FALSE),"")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Akhir]],15,FALSE),"")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Akhir]],15,FALSE),"")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Akhir]],15,FALSE),"")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Akhir]],15,FALSE),"")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Q1962"/>
  <sheetViews>
    <sheetView showGridLines="0" tabSelected="1" zoomScale="85" zoomScaleNormal="85" workbookViewId="0">
      <selection activeCell="L21" sqref="L21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60.5703125" customWidth="1"/>
    <col min="13" max="13" width="27.42578125" customWidth="1"/>
    <col min="14" max="14" width="20.7109375" customWidth="1"/>
    <col min="15" max="15" width="41" customWidth="1"/>
    <col min="16" max="16" width="22.7109375" customWidth="1"/>
    <col min="17" max="17" width="17.85546875" bestFit="1" customWidth="1"/>
  </cols>
  <sheetData>
    <row r="1" spans="1:17" ht="35.1" customHeight="1" x14ac:dyDescent="0.25">
      <c r="C1" s="100" t="s">
        <v>3849</v>
      </c>
      <c r="D1" s="100" t="s">
        <v>3852</v>
      </c>
      <c r="E1" s="100" t="s">
        <v>3909</v>
      </c>
      <c r="G1" s="50"/>
      <c r="H1" s="50"/>
      <c r="I1" s="50"/>
      <c r="J1"/>
      <c r="K1"/>
    </row>
    <row r="2" spans="1:17" ht="46.5" customHeight="1" x14ac:dyDescent="0.25">
      <c r="C2" s="101" t="s">
        <v>247</v>
      </c>
      <c r="D2" s="102" t="s">
        <v>3853</v>
      </c>
      <c r="E2" s="102"/>
      <c r="G2" s="50"/>
      <c r="H2" s="50"/>
      <c r="I2" s="50"/>
      <c r="J2"/>
      <c r="K2"/>
    </row>
    <row r="3" spans="1:17" x14ac:dyDescent="0.25">
      <c r="C3" s="1"/>
      <c r="I3"/>
      <c r="L3" s="50"/>
    </row>
    <row r="4" spans="1:17" ht="39.950000000000003" customHeight="1" x14ac:dyDescent="0.25">
      <c r="C4" s="1"/>
      <c r="I4"/>
      <c r="L4" s="143" t="s">
        <v>3932</v>
      </c>
      <c r="M4" s="144" cm="1">
        <f t="array" ref="M4">SUMPRODUCT((DATA!$K:$K=0) * ((DATA!$F:$F="Accessories Mold")+ (DATA!$F:$F="Mur &amp; Baut") + (DATA!$F:$F="Barang Jadi")+ (DATA!$F:$F="Bahan Baku") ),DATA!$Q:$Q)</f>
        <v>146282221.82999998</v>
      </c>
    </row>
    <row r="5" spans="1:17" s="94" customFormat="1" ht="20.100000000000001" customHeight="1" x14ac:dyDescent="0.25">
      <c r="A5" s="118"/>
      <c r="B5" s="121"/>
      <c r="C5" s="158"/>
      <c r="D5" s="159" t="s">
        <v>3904</v>
      </c>
      <c r="E5" s="159"/>
      <c r="F5" s="159" t="s">
        <v>3906</v>
      </c>
      <c r="G5" s="159"/>
      <c r="H5" s="159"/>
      <c r="I5" s="159"/>
      <c r="J5" s="160"/>
      <c r="K5" s="1"/>
      <c r="L5" s="1"/>
    </row>
    <row r="6" spans="1:17" ht="30" customHeight="1" x14ac:dyDescent="0.25">
      <c r="A6" s="119"/>
      <c r="B6" s="123"/>
      <c r="C6" s="158"/>
      <c r="D6" s="166" t="s">
        <v>3905</v>
      </c>
      <c r="E6" s="166"/>
      <c r="F6" s="164" t="s">
        <v>3903</v>
      </c>
      <c r="G6" s="164"/>
      <c r="H6" s="164"/>
      <c r="I6" s="164"/>
      <c r="J6" s="165"/>
      <c r="L6" s="145" t="str">
        <f>IF(ISBLANK($C$2),"Total Seluruh Pengeluaran","Total Pengeluaran Untuk : " &amp; $C$2)</f>
        <v>Total Pengeluaran Untuk : Tools</v>
      </c>
      <c r="M6" s="142">
        <f>IF(ISBLANK(REPORT!$C$2),SUMIFS(DATA!$Q:$Q,DATA!$K:$K,"&gt;=1"),SUMIFS(DATA!$Q:$Q,DATA!$K:$K,"&gt;=1",DATA!$F:$F,REPORT!$C$2))</f>
        <v>89974090</v>
      </c>
    </row>
    <row r="7" spans="1:17" s="94" customFormat="1" ht="30" customHeight="1" x14ac:dyDescent="0.25">
      <c r="A7" s="120"/>
      <c r="B7" s="121"/>
      <c r="C7" s="158"/>
      <c r="D7" s="166"/>
      <c r="E7" s="166"/>
      <c r="F7" s="159" t="s">
        <v>3907</v>
      </c>
      <c r="G7" s="159"/>
      <c r="H7" s="159"/>
      <c r="I7" s="159" t="s">
        <v>3855</v>
      </c>
      <c r="J7" s="160"/>
      <c r="K7" s="1"/>
      <c r="L7" s="145" t="str">
        <f>IF(ISBLANK($C$2),"Total Seluruh Stok di Gudang","Total Stok : " &amp; $C$2)</f>
        <v>Total Stok : Tools</v>
      </c>
      <c r="M7" s="142">
        <f>IF(ISBLANK(REPORT!$C$2),SUMIFS(DATA!$Q:$Q,DATA!$K:$K,"=0"),SUMIFS(DATA!$Q:$Q,DATA!$K:$K,"=0",DATA!$F:$F,REPORT!$C$2))</f>
        <v>520025777.43999994</v>
      </c>
    </row>
    <row r="8" spans="1:17" ht="30" customHeight="1" x14ac:dyDescent="0.25">
      <c r="A8" s="128"/>
      <c r="B8" s="123"/>
      <c r="C8" s="158"/>
      <c r="D8" s="166"/>
      <c r="E8" s="166"/>
      <c r="F8" s="163" t="s">
        <v>3902</v>
      </c>
      <c r="G8" s="163"/>
      <c r="H8" s="163"/>
      <c r="I8" s="161" t="str">
        <f>TEXT(DATA!F1, "MMMM YYYY")</f>
        <v>Maret 2024</v>
      </c>
      <c r="J8" s="162"/>
      <c r="L8" s="145" t="str">
        <f>IF(ISBLANK($C$2),"Jumlah Pengeluaran &amp; Stok","Jumlah Pengeluaran &amp; Stok " &amp; $C$2)</f>
        <v>Jumlah Pengeluaran &amp; Stok Tools</v>
      </c>
      <c r="M8" s="142">
        <f>SUM($M$6:$M$7)</f>
        <v>609999867.43999994</v>
      </c>
      <c r="Q8" s="98"/>
    </row>
    <row r="9" spans="1:17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7" s="3" customFormat="1" ht="54.6" customHeight="1" x14ac:dyDescent="0.25">
      <c r="A10" s="125" t="s">
        <v>3917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 s="97" t="s">
        <v>3931</v>
      </c>
      <c r="M10" s="99">
        <f>SUMIFS(DATA!$T:$T,DATA!$K:$K,"&gt;=1")</f>
        <v>-75760</v>
      </c>
    </row>
    <row r="11" spans="1:17" x14ac:dyDescent="0.25">
      <c r="A11" s="138">
        <v>1</v>
      </c>
      <c r="B11" s="123"/>
      <c r="C11" s="65" t="s">
        <v>3463</v>
      </c>
      <c r="D11" s="66" t="s">
        <v>2022</v>
      </c>
      <c r="E11" s="131" t="s">
        <v>249</v>
      </c>
      <c r="F11" s="65">
        <v>2</v>
      </c>
      <c r="G11" s="74">
        <v>2</v>
      </c>
      <c r="H11" s="74">
        <v>2</v>
      </c>
      <c r="I11" s="74">
        <v>2</v>
      </c>
      <c r="J11" s="65">
        <v>2</v>
      </c>
      <c r="K11" s="2"/>
    </row>
    <row r="12" spans="1:17" ht="15.75" x14ac:dyDescent="0.25">
      <c r="A12" s="138">
        <v>2</v>
      </c>
      <c r="B12" s="123"/>
      <c r="C12" s="65" t="s">
        <v>3464</v>
      </c>
      <c r="D12" s="66" t="s">
        <v>3748</v>
      </c>
      <c r="E12" s="131" t="s">
        <v>249</v>
      </c>
      <c r="F12" s="65">
        <v>2</v>
      </c>
      <c r="G12" s="74">
        <v>0</v>
      </c>
      <c r="H12" s="74">
        <v>2</v>
      </c>
      <c r="I12" s="74">
        <v>0</v>
      </c>
      <c r="J12" s="65">
        <v>0</v>
      </c>
      <c r="K12" s="2"/>
      <c r="L12" s="135"/>
      <c r="M12" s="136"/>
    </row>
    <row r="13" spans="1:17" ht="15.75" x14ac:dyDescent="0.25">
      <c r="A13" s="138">
        <v>3</v>
      </c>
      <c r="B13" s="123"/>
      <c r="C13" s="65" t="s">
        <v>3465</v>
      </c>
      <c r="D13" s="66" t="s">
        <v>2023</v>
      </c>
      <c r="E13" s="131" t="s">
        <v>249</v>
      </c>
      <c r="F13" s="65">
        <v>1</v>
      </c>
      <c r="G13" s="74">
        <v>2</v>
      </c>
      <c r="H13" s="74">
        <v>1</v>
      </c>
      <c r="I13" s="74">
        <v>2</v>
      </c>
      <c r="J13" s="65">
        <v>2</v>
      </c>
      <c r="K13" s="2"/>
      <c r="L13" s="135"/>
      <c r="M13" s="136"/>
    </row>
    <row r="14" spans="1:17" ht="15.75" x14ac:dyDescent="0.25">
      <c r="A14" s="138">
        <v>4</v>
      </c>
      <c r="B14" s="123"/>
      <c r="C14" s="65" t="s">
        <v>3471</v>
      </c>
      <c r="D14" s="66" t="s">
        <v>2030</v>
      </c>
      <c r="E14" s="131" t="s">
        <v>2029</v>
      </c>
      <c r="F14" s="65">
        <v>4</v>
      </c>
      <c r="G14" s="74">
        <v>2</v>
      </c>
      <c r="H14" s="74">
        <v>4</v>
      </c>
      <c r="I14" s="74">
        <v>2</v>
      </c>
      <c r="J14" s="65">
        <v>2</v>
      </c>
      <c r="K14" s="2"/>
      <c r="L14" s="135"/>
      <c r="M14" s="136"/>
    </row>
    <row r="15" spans="1:17" ht="15.75" x14ac:dyDescent="0.25">
      <c r="A15" s="138">
        <v>5</v>
      </c>
      <c r="B15" s="123"/>
      <c r="C15" s="65" t="s">
        <v>3479</v>
      </c>
      <c r="D15" s="66" t="s">
        <v>2038</v>
      </c>
      <c r="E15" s="131" t="s">
        <v>2029</v>
      </c>
      <c r="F15" s="65">
        <v>44</v>
      </c>
      <c r="G15" s="74">
        <v>0</v>
      </c>
      <c r="H15" s="74">
        <v>8</v>
      </c>
      <c r="I15" s="74">
        <v>36</v>
      </c>
      <c r="J15" s="65">
        <v>36</v>
      </c>
      <c r="K15" s="2"/>
      <c r="M15" s="136"/>
    </row>
    <row r="16" spans="1:17" ht="15.75" x14ac:dyDescent="0.25">
      <c r="A16" s="138">
        <v>6</v>
      </c>
      <c r="B16" s="123"/>
      <c r="C16" s="65" t="s">
        <v>3482</v>
      </c>
      <c r="D16" s="66" t="s">
        <v>2041</v>
      </c>
      <c r="E16" s="131" t="s">
        <v>2029</v>
      </c>
      <c r="F16" s="65">
        <v>18</v>
      </c>
      <c r="G16" s="74">
        <v>0</v>
      </c>
      <c r="H16" s="74">
        <v>2</v>
      </c>
      <c r="I16" s="74">
        <v>16</v>
      </c>
      <c r="J16" s="65">
        <v>16</v>
      </c>
      <c r="K16" s="2"/>
      <c r="M16" s="136"/>
    </row>
    <row r="17" spans="1:13" x14ac:dyDescent="0.25">
      <c r="A17" s="138">
        <v>7</v>
      </c>
      <c r="B17" s="123"/>
      <c r="C17" s="65" t="s">
        <v>2055</v>
      </c>
      <c r="D17" s="66" t="s">
        <v>2059</v>
      </c>
      <c r="E17" s="131" t="s">
        <v>1985</v>
      </c>
      <c r="F17" s="65">
        <v>2</v>
      </c>
      <c r="G17" s="74">
        <v>0</v>
      </c>
      <c r="H17" s="74">
        <v>2</v>
      </c>
      <c r="I17" s="74">
        <v>0</v>
      </c>
      <c r="J17" s="65">
        <v>0</v>
      </c>
      <c r="K17" s="2"/>
      <c r="M17" s="141"/>
    </row>
    <row r="18" spans="1:13" x14ac:dyDescent="0.25">
      <c r="A18" s="138">
        <v>8</v>
      </c>
      <c r="B18" s="123"/>
      <c r="C18" s="65" t="s">
        <v>2098</v>
      </c>
      <c r="D18" s="66" t="s">
        <v>2099</v>
      </c>
      <c r="E18" s="131" t="s">
        <v>828</v>
      </c>
      <c r="F18" s="65">
        <v>2</v>
      </c>
      <c r="G18" s="74">
        <v>3</v>
      </c>
      <c r="H18" s="74">
        <v>2</v>
      </c>
      <c r="I18" s="74">
        <v>3</v>
      </c>
      <c r="J18" s="65">
        <v>3</v>
      </c>
      <c r="K18" s="2"/>
    </row>
    <row r="19" spans="1:13" x14ac:dyDescent="0.25">
      <c r="A19" s="138">
        <v>9</v>
      </c>
      <c r="B19" s="123"/>
      <c r="C19" s="65" t="s">
        <v>2114</v>
      </c>
      <c r="D19" s="66" t="s">
        <v>2137</v>
      </c>
      <c r="E19" s="131" t="s">
        <v>2116</v>
      </c>
      <c r="F19" s="65">
        <v>5</v>
      </c>
      <c r="G19" s="74">
        <v>0</v>
      </c>
      <c r="H19" s="74">
        <v>1</v>
      </c>
      <c r="I19" s="74">
        <v>4</v>
      </c>
      <c r="J19" s="65">
        <v>4</v>
      </c>
      <c r="K19" s="2"/>
    </row>
    <row r="20" spans="1:13" x14ac:dyDescent="0.25">
      <c r="A20" s="138">
        <v>10</v>
      </c>
      <c r="B20" s="123"/>
      <c r="C20" s="65" t="s">
        <v>2114</v>
      </c>
      <c r="D20" s="66" t="s">
        <v>2143</v>
      </c>
      <c r="E20" s="131"/>
      <c r="F20" s="65">
        <v>3</v>
      </c>
      <c r="G20" s="74">
        <v>0</v>
      </c>
      <c r="H20" s="74">
        <v>1</v>
      </c>
      <c r="I20" s="74">
        <v>2</v>
      </c>
      <c r="J20" s="65">
        <v>2</v>
      </c>
      <c r="K20" s="2"/>
    </row>
    <row r="21" spans="1:13" x14ac:dyDescent="0.25">
      <c r="A21" s="138">
        <v>11</v>
      </c>
      <c r="B21" s="123"/>
      <c r="C21" s="65" t="s">
        <v>2114</v>
      </c>
      <c r="D21" s="66" t="s">
        <v>2163</v>
      </c>
      <c r="E21" s="131" t="s">
        <v>828</v>
      </c>
      <c r="F21" s="65">
        <v>3</v>
      </c>
      <c r="G21" s="74">
        <v>0</v>
      </c>
      <c r="H21" s="74">
        <v>1</v>
      </c>
      <c r="I21" s="74">
        <v>2</v>
      </c>
      <c r="J21" s="65">
        <v>2</v>
      </c>
      <c r="K21" s="2"/>
    </row>
    <row r="22" spans="1:13" x14ac:dyDescent="0.25">
      <c r="A22" s="138">
        <v>12</v>
      </c>
      <c r="B22" s="123"/>
      <c r="C22" s="65" t="s">
        <v>3497</v>
      </c>
      <c r="D22" s="66" t="s">
        <v>2218</v>
      </c>
      <c r="E22" s="131"/>
      <c r="F22" s="65">
        <v>2</v>
      </c>
      <c r="G22" s="74">
        <v>0</v>
      </c>
      <c r="H22" s="74">
        <v>2</v>
      </c>
      <c r="I22" s="74">
        <v>0</v>
      </c>
      <c r="J22" s="65">
        <v>0</v>
      </c>
      <c r="K22" s="2"/>
    </row>
    <row r="23" spans="1:13" x14ac:dyDescent="0.25">
      <c r="A23" s="138">
        <v>13</v>
      </c>
      <c r="B23" s="123"/>
      <c r="C23" s="65" t="s">
        <v>3538</v>
      </c>
      <c r="D23" s="66" t="s">
        <v>3734</v>
      </c>
      <c r="E23" s="131" t="s">
        <v>2029</v>
      </c>
      <c r="F23" s="65">
        <v>3</v>
      </c>
      <c r="G23" s="74">
        <v>0</v>
      </c>
      <c r="H23" s="74">
        <v>1</v>
      </c>
      <c r="I23" s="74">
        <v>2</v>
      </c>
      <c r="J23" s="65">
        <v>2</v>
      </c>
      <c r="K23" s="2"/>
    </row>
    <row r="24" spans="1:13" x14ac:dyDescent="0.25">
      <c r="A24" s="138">
        <v>14</v>
      </c>
      <c r="B24" s="123"/>
      <c r="C24" s="65" t="s">
        <v>3539</v>
      </c>
      <c r="D24" s="66" t="s">
        <v>3735</v>
      </c>
      <c r="E24" s="131" t="s">
        <v>2029</v>
      </c>
      <c r="F24" s="65">
        <v>0</v>
      </c>
      <c r="G24" s="74">
        <v>2</v>
      </c>
      <c r="H24" s="74">
        <v>0</v>
      </c>
      <c r="I24" s="74">
        <v>2</v>
      </c>
      <c r="J24" s="65">
        <v>2</v>
      </c>
      <c r="K24" s="2"/>
    </row>
    <row r="25" spans="1:13" x14ac:dyDescent="0.25">
      <c r="A25" s="138">
        <v>15</v>
      </c>
      <c r="B25" s="123"/>
      <c r="C25" s="65" t="s">
        <v>3504</v>
      </c>
      <c r="D25" s="66" t="s">
        <v>2241</v>
      </c>
      <c r="E25" s="131" t="s">
        <v>2029</v>
      </c>
      <c r="F25" s="65">
        <v>2</v>
      </c>
      <c r="G25" s="74">
        <v>0</v>
      </c>
      <c r="H25" s="74">
        <v>1</v>
      </c>
      <c r="I25" s="74">
        <v>1</v>
      </c>
      <c r="J25" s="65">
        <v>1</v>
      </c>
      <c r="K25" s="2"/>
    </row>
    <row r="26" spans="1:13" x14ac:dyDescent="0.25">
      <c r="A26" s="138">
        <v>16</v>
      </c>
      <c r="B26" s="123"/>
      <c r="C26" s="65" t="s">
        <v>3505</v>
      </c>
      <c r="D26" s="66" t="s">
        <v>2242</v>
      </c>
      <c r="E26" s="131" t="s">
        <v>2029</v>
      </c>
      <c r="F26" s="65">
        <v>2</v>
      </c>
      <c r="G26" s="74">
        <v>0</v>
      </c>
      <c r="H26" s="74">
        <v>1</v>
      </c>
      <c r="I26" s="74">
        <v>1</v>
      </c>
      <c r="J26" s="65">
        <v>1</v>
      </c>
      <c r="K26" s="2"/>
    </row>
    <row r="27" spans="1:13" x14ac:dyDescent="0.25">
      <c r="A27" s="138">
        <v>17</v>
      </c>
      <c r="B27" s="123"/>
      <c r="C27" s="65" t="s">
        <v>3508</v>
      </c>
      <c r="D27" s="66" t="s">
        <v>2250</v>
      </c>
      <c r="E27" s="131" t="s">
        <v>2029</v>
      </c>
      <c r="F27" s="65">
        <v>0</v>
      </c>
      <c r="G27" s="74">
        <v>2</v>
      </c>
      <c r="H27" s="74">
        <v>0</v>
      </c>
      <c r="I27" s="74">
        <v>2</v>
      </c>
      <c r="J27" s="65">
        <v>2</v>
      </c>
      <c r="K27" s="2"/>
    </row>
    <row r="28" spans="1:13" x14ac:dyDescent="0.25">
      <c r="A28" s="138">
        <v>18</v>
      </c>
      <c r="B28" s="123"/>
      <c r="C28" s="65" t="s">
        <v>3509</v>
      </c>
      <c r="D28" s="66" t="s">
        <v>2251</v>
      </c>
      <c r="E28" s="131" t="s">
        <v>2029</v>
      </c>
      <c r="F28" s="65">
        <v>0</v>
      </c>
      <c r="G28" s="74">
        <v>2</v>
      </c>
      <c r="H28" s="74">
        <v>0</v>
      </c>
      <c r="I28" s="74">
        <v>2</v>
      </c>
      <c r="J28" s="65">
        <v>2</v>
      </c>
      <c r="K28" s="2"/>
    </row>
    <row r="29" spans="1:13" x14ac:dyDescent="0.25">
      <c r="A29" s="138">
        <v>19</v>
      </c>
      <c r="B29" s="123"/>
      <c r="C29" s="65" t="s">
        <v>3505</v>
      </c>
      <c r="D29" s="66" t="s">
        <v>2254</v>
      </c>
      <c r="E29" s="131" t="s">
        <v>2029</v>
      </c>
      <c r="F29" s="65">
        <v>1</v>
      </c>
      <c r="G29" s="74">
        <v>1</v>
      </c>
      <c r="H29" s="74">
        <v>0</v>
      </c>
      <c r="I29" s="74">
        <v>2</v>
      </c>
      <c r="J29" s="65">
        <v>2</v>
      </c>
      <c r="K29" s="2"/>
    </row>
    <row r="30" spans="1:13" x14ac:dyDescent="0.25">
      <c r="A30" s="138">
        <v>20</v>
      </c>
      <c r="B30" s="123"/>
      <c r="C30" s="65" t="s">
        <v>3505</v>
      </c>
      <c r="D30" s="66" t="s">
        <v>2259</v>
      </c>
      <c r="E30" s="131" t="s">
        <v>2029</v>
      </c>
      <c r="F30" s="65">
        <v>1</v>
      </c>
      <c r="G30" s="74">
        <v>2</v>
      </c>
      <c r="H30" s="74">
        <v>1</v>
      </c>
      <c r="I30" s="74">
        <v>2</v>
      </c>
      <c r="J30" s="65">
        <v>2</v>
      </c>
      <c r="K30" s="2"/>
    </row>
    <row r="31" spans="1:13" x14ac:dyDescent="0.25">
      <c r="A31" s="138">
        <v>21</v>
      </c>
      <c r="B31" s="123"/>
      <c r="C31" s="65" t="s">
        <v>3505</v>
      </c>
      <c r="D31" s="66" t="s">
        <v>2263</v>
      </c>
      <c r="E31" s="131" t="s">
        <v>2029</v>
      </c>
      <c r="F31" s="130">
        <v>3</v>
      </c>
      <c r="G31" s="74">
        <v>1</v>
      </c>
      <c r="H31" s="74">
        <v>2</v>
      </c>
      <c r="I31" s="74">
        <v>2</v>
      </c>
      <c r="J31" s="65">
        <v>2</v>
      </c>
      <c r="K31" s="2"/>
    </row>
    <row r="32" spans="1:13" x14ac:dyDescent="0.25">
      <c r="A32" s="138">
        <v>22</v>
      </c>
      <c r="B32" s="123"/>
      <c r="C32" s="65" t="s">
        <v>3505</v>
      </c>
      <c r="D32" s="66" t="s">
        <v>2271</v>
      </c>
      <c r="E32" s="131" t="s">
        <v>2029</v>
      </c>
      <c r="F32" s="65">
        <v>0</v>
      </c>
      <c r="G32" s="74">
        <v>3</v>
      </c>
      <c r="H32" s="74">
        <v>0</v>
      </c>
      <c r="I32" s="74">
        <v>3</v>
      </c>
      <c r="J32" s="65">
        <v>3</v>
      </c>
      <c r="K32" s="2"/>
    </row>
    <row r="33" spans="1:11" x14ac:dyDescent="0.25">
      <c r="A33" s="138">
        <v>23</v>
      </c>
      <c r="B33" s="123"/>
      <c r="C33" s="65" t="s">
        <v>3505</v>
      </c>
      <c r="D33" s="66" t="s">
        <v>2273</v>
      </c>
      <c r="E33" s="131" t="s">
        <v>2029</v>
      </c>
      <c r="F33" s="65">
        <v>2</v>
      </c>
      <c r="G33" s="74">
        <v>0</v>
      </c>
      <c r="H33" s="74">
        <v>1</v>
      </c>
      <c r="I33" s="74">
        <v>1</v>
      </c>
      <c r="J33" s="65">
        <v>1</v>
      </c>
      <c r="K33" s="2"/>
    </row>
    <row r="34" spans="1:11" x14ac:dyDescent="0.25">
      <c r="A34" s="138">
        <v>24</v>
      </c>
      <c r="B34" s="123"/>
      <c r="C34" s="65" t="s">
        <v>3518</v>
      </c>
      <c r="D34" s="66" t="s">
        <v>2290</v>
      </c>
      <c r="E34" s="131" t="s">
        <v>1985</v>
      </c>
      <c r="F34" s="65">
        <v>2</v>
      </c>
      <c r="G34" s="74">
        <v>1</v>
      </c>
      <c r="H34" s="74">
        <v>0</v>
      </c>
      <c r="I34" s="74">
        <v>3</v>
      </c>
      <c r="J34" s="65">
        <v>3</v>
      </c>
      <c r="K34" s="2"/>
    </row>
    <row r="35" spans="1:11" x14ac:dyDescent="0.25">
      <c r="A35" s="138">
        <v>25</v>
      </c>
      <c r="B35" s="123"/>
      <c r="C35" s="65" t="s">
        <v>3518</v>
      </c>
      <c r="D35" s="66" t="s">
        <v>2293</v>
      </c>
      <c r="E35" s="131" t="s">
        <v>1985</v>
      </c>
      <c r="F35" s="65">
        <v>4</v>
      </c>
      <c r="G35" s="74">
        <v>0</v>
      </c>
      <c r="H35" s="74">
        <v>1</v>
      </c>
      <c r="I35" s="74">
        <v>3</v>
      </c>
      <c r="J35" s="65">
        <v>3</v>
      </c>
      <c r="K35" s="2"/>
    </row>
    <row r="36" spans="1:11" x14ac:dyDescent="0.25">
      <c r="A36" s="138">
        <v>26</v>
      </c>
      <c r="B36" s="123"/>
      <c r="C36" s="65" t="s">
        <v>3518</v>
      </c>
      <c r="D36" s="66" t="s">
        <v>2300</v>
      </c>
      <c r="E36" s="131" t="s">
        <v>1985</v>
      </c>
      <c r="F36" s="65">
        <v>1</v>
      </c>
      <c r="G36" s="74">
        <v>0</v>
      </c>
      <c r="H36" s="74">
        <v>1</v>
      </c>
      <c r="I36" s="74">
        <v>0</v>
      </c>
      <c r="J36" s="65">
        <v>0</v>
      </c>
      <c r="K36" s="2"/>
    </row>
    <row r="37" spans="1:11" x14ac:dyDescent="0.25">
      <c r="A37" s="138">
        <v>27</v>
      </c>
      <c r="B37" s="123"/>
      <c r="C37" s="65" t="s">
        <v>3518</v>
      </c>
      <c r="D37" s="66" t="s">
        <v>2307</v>
      </c>
      <c r="E37" s="131" t="s">
        <v>1985</v>
      </c>
      <c r="F37" s="65">
        <v>4</v>
      </c>
      <c r="G37" s="74">
        <v>0</v>
      </c>
      <c r="H37" s="74">
        <v>1</v>
      </c>
      <c r="I37" s="74">
        <v>3</v>
      </c>
      <c r="J37" s="65">
        <v>3</v>
      </c>
      <c r="K37" s="2"/>
    </row>
    <row r="38" spans="1:11" x14ac:dyDescent="0.25">
      <c r="A38" s="138">
        <v>28</v>
      </c>
      <c r="B38" s="123"/>
      <c r="C38" s="65" t="s">
        <v>3518</v>
      </c>
      <c r="D38" s="66" t="s">
        <v>2311</v>
      </c>
      <c r="E38" s="131" t="s">
        <v>1985</v>
      </c>
      <c r="F38" s="65">
        <v>1</v>
      </c>
      <c r="G38" s="74">
        <v>1</v>
      </c>
      <c r="H38" s="74">
        <v>0</v>
      </c>
      <c r="I38" s="74">
        <v>2</v>
      </c>
      <c r="J38" s="65">
        <v>2</v>
      </c>
      <c r="K38" s="2"/>
    </row>
    <row r="39" spans="1:11" x14ac:dyDescent="0.25">
      <c r="A39" s="138">
        <v>29</v>
      </c>
      <c r="B39" s="123"/>
      <c r="C39" s="65" t="s">
        <v>3518</v>
      </c>
      <c r="D39" s="66" t="s">
        <v>2317</v>
      </c>
      <c r="E39" s="131" t="s">
        <v>1985</v>
      </c>
      <c r="F39" s="65">
        <v>3</v>
      </c>
      <c r="G39" s="74">
        <v>0</v>
      </c>
      <c r="H39" s="74">
        <v>1</v>
      </c>
      <c r="I39" s="74">
        <v>2</v>
      </c>
      <c r="J39" s="65">
        <v>2</v>
      </c>
      <c r="K39" s="2"/>
    </row>
    <row r="40" spans="1:11" x14ac:dyDescent="0.25">
      <c r="A40" s="138">
        <v>30</v>
      </c>
      <c r="B40" s="123"/>
      <c r="C40" s="65" t="s">
        <v>3518</v>
      </c>
      <c r="D40" s="66" t="s">
        <v>3728</v>
      </c>
      <c r="E40" s="131" t="s">
        <v>1985</v>
      </c>
      <c r="F40" s="65">
        <v>1</v>
      </c>
      <c r="G40" s="74">
        <v>0</v>
      </c>
      <c r="H40" s="74">
        <v>1</v>
      </c>
      <c r="I40" s="74">
        <v>0</v>
      </c>
      <c r="J40" s="65">
        <v>4</v>
      </c>
      <c r="K40" s="2"/>
    </row>
    <row r="41" spans="1:11" x14ac:dyDescent="0.25">
      <c r="A41" s="138">
        <v>31</v>
      </c>
      <c r="B41" s="123"/>
      <c r="C41" s="65" t="s">
        <v>3518</v>
      </c>
      <c r="D41" s="66" t="s">
        <v>2320</v>
      </c>
      <c r="E41" s="131" t="s">
        <v>1985</v>
      </c>
      <c r="F41" s="65">
        <v>1</v>
      </c>
      <c r="G41" s="74">
        <v>2</v>
      </c>
      <c r="H41" s="74">
        <v>0</v>
      </c>
      <c r="I41" s="74">
        <v>3</v>
      </c>
      <c r="J41" s="65">
        <v>3</v>
      </c>
      <c r="K41" s="2"/>
    </row>
    <row r="42" spans="1:11" x14ac:dyDescent="0.25">
      <c r="A42" s="138">
        <v>32</v>
      </c>
      <c r="B42" s="123"/>
      <c r="C42" s="65" t="s">
        <v>3518</v>
      </c>
      <c r="D42" s="66" t="s">
        <v>2326</v>
      </c>
      <c r="E42" s="131" t="s">
        <v>1985</v>
      </c>
      <c r="F42" s="65">
        <v>2</v>
      </c>
      <c r="G42" s="74">
        <v>0</v>
      </c>
      <c r="H42" s="74">
        <v>1</v>
      </c>
      <c r="I42" s="74">
        <v>1</v>
      </c>
      <c r="J42" s="65">
        <v>1</v>
      </c>
      <c r="K42" s="2"/>
    </row>
    <row r="43" spans="1:11" x14ac:dyDescent="0.25">
      <c r="A43" s="138">
        <v>33</v>
      </c>
      <c r="B43" s="123"/>
      <c r="C43" s="65" t="s">
        <v>3518</v>
      </c>
      <c r="D43" s="66" t="s">
        <v>2329</v>
      </c>
      <c r="E43" s="131" t="s">
        <v>1985</v>
      </c>
      <c r="F43" s="65">
        <v>1</v>
      </c>
      <c r="G43" s="74">
        <v>1</v>
      </c>
      <c r="H43" s="74">
        <v>1</v>
      </c>
      <c r="I43" s="74">
        <v>1</v>
      </c>
      <c r="J43" s="65">
        <v>1</v>
      </c>
      <c r="K43" s="2"/>
    </row>
    <row r="44" spans="1:11" x14ac:dyDescent="0.25">
      <c r="A44" s="138">
        <v>34</v>
      </c>
      <c r="B44" s="123"/>
      <c r="C44" s="65" t="s">
        <v>3518</v>
      </c>
      <c r="D44" s="66" t="s">
        <v>2335</v>
      </c>
      <c r="E44" s="131" t="s">
        <v>1985</v>
      </c>
      <c r="F44" s="65">
        <v>0</v>
      </c>
      <c r="G44" s="74">
        <v>5</v>
      </c>
      <c r="H44" s="74">
        <v>1</v>
      </c>
      <c r="I44" s="74">
        <v>4</v>
      </c>
      <c r="J44" s="65">
        <v>4</v>
      </c>
      <c r="K44" s="2"/>
    </row>
    <row r="45" spans="1:11" x14ac:dyDescent="0.25">
      <c r="A45" s="138">
        <v>35</v>
      </c>
      <c r="B45" s="123"/>
      <c r="C45" s="65" t="s">
        <v>3518</v>
      </c>
      <c r="D45" s="66" t="s">
        <v>2347</v>
      </c>
      <c r="E45" s="131" t="s">
        <v>1985</v>
      </c>
      <c r="F45" s="65">
        <v>2</v>
      </c>
      <c r="G45" s="74">
        <v>3</v>
      </c>
      <c r="H45" s="74">
        <v>1</v>
      </c>
      <c r="I45" s="74">
        <v>4</v>
      </c>
      <c r="J45" s="65">
        <v>4</v>
      </c>
      <c r="K45" s="2"/>
    </row>
    <row r="46" spans="1:11" x14ac:dyDescent="0.25">
      <c r="A46" s="138">
        <v>36</v>
      </c>
      <c r="B46" s="123"/>
      <c r="C46" s="65" t="s">
        <v>3518</v>
      </c>
      <c r="D46" s="66" t="s">
        <v>2348</v>
      </c>
      <c r="E46" s="131" t="s">
        <v>1985</v>
      </c>
      <c r="F46" s="65">
        <v>1</v>
      </c>
      <c r="G46" s="74">
        <v>1</v>
      </c>
      <c r="H46" s="74">
        <v>1</v>
      </c>
      <c r="I46" s="74">
        <v>1</v>
      </c>
      <c r="J46" s="65">
        <v>1</v>
      </c>
      <c r="K46" s="2"/>
    </row>
    <row r="47" spans="1:11" x14ac:dyDescent="0.25">
      <c r="A47" s="138">
        <v>37</v>
      </c>
      <c r="B47" s="123"/>
      <c r="C47" s="65" t="s">
        <v>3548</v>
      </c>
      <c r="D47" s="66" t="s">
        <v>2373</v>
      </c>
      <c r="E47" s="131" t="s">
        <v>2176</v>
      </c>
      <c r="F47" s="65">
        <v>1</v>
      </c>
      <c r="G47" s="74">
        <v>0</v>
      </c>
      <c r="H47" s="74">
        <v>1</v>
      </c>
      <c r="I47" s="74">
        <v>0</v>
      </c>
      <c r="J47" s="65">
        <v>0</v>
      </c>
      <c r="K47" s="2"/>
    </row>
    <row r="48" spans="1:11" x14ac:dyDescent="0.25">
      <c r="A48" s="138">
        <v>38</v>
      </c>
      <c r="B48" s="123"/>
      <c r="C48" s="65" t="s">
        <v>3549</v>
      </c>
      <c r="D48" s="66" t="s">
        <v>2374</v>
      </c>
      <c r="E48" s="131" t="s">
        <v>1989</v>
      </c>
      <c r="F48" s="65">
        <v>1</v>
      </c>
      <c r="G48" s="74">
        <v>1</v>
      </c>
      <c r="H48" s="74">
        <v>1</v>
      </c>
      <c r="I48" s="74">
        <v>1</v>
      </c>
      <c r="J48" s="65">
        <v>1</v>
      </c>
      <c r="K48" s="2"/>
    </row>
    <row r="49" spans="1:14" x14ac:dyDescent="0.25">
      <c r="A49" s="138">
        <v>39</v>
      </c>
      <c r="B49" s="123"/>
      <c r="C49" s="65" t="s">
        <v>3552</v>
      </c>
      <c r="D49" s="66" t="s">
        <v>2383</v>
      </c>
      <c r="E49" s="131" t="s">
        <v>2384</v>
      </c>
      <c r="F49" s="65">
        <v>1</v>
      </c>
      <c r="G49" s="74">
        <v>2</v>
      </c>
      <c r="H49" s="74">
        <v>1</v>
      </c>
      <c r="I49" s="74">
        <v>2</v>
      </c>
      <c r="J49" s="65">
        <v>2</v>
      </c>
      <c r="K49" s="2"/>
    </row>
    <row r="50" spans="1:14" x14ac:dyDescent="0.25">
      <c r="A50" s="138">
        <v>40</v>
      </c>
      <c r="B50" s="123"/>
      <c r="C50" s="65" t="s">
        <v>3550</v>
      </c>
      <c r="D50" s="66" t="s">
        <v>2388</v>
      </c>
      <c r="E50" s="131"/>
      <c r="F50" s="65">
        <v>0</v>
      </c>
      <c r="G50" s="74">
        <v>1</v>
      </c>
      <c r="H50" s="74">
        <v>0</v>
      </c>
      <c r="I50" s="74">
        <v>1</v>
      </c>
      <c r="J50" s="65">
        <v>1</v>
      </c>
      <c r="K50" s="2"/>
    </row>
    <row r="51" spans="1:14" x14ac:dyDescent="0.25">
      <c r="A51" s="138">
        <v>41</v>
      </c>
      <c r="B51" s="123"/>
      <c r="C51" s="65" t="s">
        <v>3557</v>
      </c>
      <c r="D51" s="66" t="s">
        <v>2423</v>
      </c>
      <c r="E51" s="131" t="s">
        <v>1985</v>
      </c>
      <c r="F51" s="65">
        <v>3</v>
      </c>
      <c r="G51" s="74">
        <v>2</v>
      </c>
      <c r="H51" s="74">
        <v>0</v>
      </c>
      <c r="I51" s="74">
        <v>5</v>
      </c>
      <c r="J51" s="65">
        <v>5</v>
      </c>
      <c r="K51" s="2"/>
    </row>
    <row r="52" spans="1:14" x14ac:dyDescent="0.25">
      <c r="A52" s="138">
        <v>42</v>
      </c>
      <c r="B52" s="123"/>
      <c r="C52" s="65" t="s">
        <v>3557</v>
      </c>
      <c r="D52" s="66" t="s">
        <v>2430</v>
      </c>
      <c r="E52" s="131" t="s">
        <v>1985</v>
      </c>
      <c r="F52" s="65">
        <v>1</v>
      </c>
      <c r="G52" s="74">
        <v>2</v>
      </c>
      <c r="H52" s="74">
        <v>0</v>
      </c>
      <c r="I52" s="74">
        <v>3</v>
      </c>
      <c r="J52" s="65">
        <v>3</v>
      </c>
      <c r="K52" s="2"/>
    </row>
    <row r="53" spans="1:14" x14ac:dyDescent="0.25">
      <c r="A53" s="138">
        <v>43</v>
      </c>
      <c r="B53" s="123"/>
      <c r="C53" s="65" t="s">
        <v>3557</v>
      </c>
      <c r="D53" s="66" t="s">
        <v>2431</v>
      </c>
      <c r="E53" s="131" t="s">
        <v>1985</v>
      </c>
      <c r="F53" s="65">
        <v>2</v>
      </c>
      <c r="G53" s="74">
        <v>0</v>
      </c>
      <c r="H53" s="74">
        <v>2</v>
      </c>
      <c r="I53" s="74">
        <v>0</v>
      </c>
      <c r="J53" s="65">
        <v>0</v>
      </c>
      <c r="K53" s="2"/>
    </row>
    <row r="54" spans="1:14" x14ac:dyDescent="0.25">
      <c r="A54" s="138">
        <v>44</v>
      </c>
      <c r="B54" s="123"/>
      <c r="C54" s="65" t="s">
        <v>3575</v>
      </c>
      <c r="D54" s="66" t="s">
        <v>2449</v>
      </c>
      <c r="E54" s="131" t="s">
        <v>2193</v>
      </c>
      <c r="F54" s="65">
        <v>8</v>
      </c>
      <c r="G54" s="74">
        <v>0</v>
      </c>
      <c r="H54" s="74">
        <v>2</v>
      </c>
      <c r="I54" s="74">
        <v>6</v>
      </c>
      <c r="J54" s="65">
        <v>6</v>
      </c>
      <c r="K54" s="2"/>
    </row>
    <row r="55" spans="1:14" x14ac:dyDescent="0.25">
      <c r="A55" s="138">
        <v>45</v>
      </c>
      <c r="B55" s="123"/>
      <c r="C55" s="65" t="s">
        <v>3564</v>
      </c>
      <c r="D55" s="66" t="s">
        <v>2451</v>
      </c>
      <c r="E55" s="131" t="s">
        <v>1979</v>
      </c>
      <c r="F55" s="65">
        <v>7</v>
      </c>
      <c r="G55" s="74">
        <v>0</v>
      </c>
      <c r="H55" s="74">
        <v>3</v>
      </c>
      <c r="I55" s="74">
        <v>4</v>
      </c>
      <c r="J55" s="65">
        <v>14</v>
      </c>
      <c r="K55" s="2"/>
    </row>
    <row r="56" spans="1:14" x14ac:dyDescent="0.25">
      <c r="A56" s="138">
        <v>46</v>
      </c>
      <c r="B56" s="123"/>
      <c r="C56" s="65" t="s">
        <v>3564</v>
      </c>
      <c r="D56" s="66" t="s">
        <v>2454</v>
      </c>
      <c r="E56" s="131" t="s">
        <v>2455</v>
      </c>
      <c r="F56" s="65">
        <v>10</v>
      </c>
      <c r="G56" s="74">
        <v>0</v>
      </c>
      <c r="H56" s="74">
        <v>2</v>
      </c>
      <c r="I56" s="74">
        <v>8</v>
      </c>
      <c r="J56" s="65">
        <v>8</v>
      </c>
      <c r="K56" s="2"/>
    </row>
    <row r="57" spans="1:14" x14ac:dyDescent="0.25">
      <c r="A57" s="138">
        <v>47</v>
      </c>
      <c r="B57" s="123"/>
      <c r="C57" s="65" t="s">
        <v>3564</v>
      </c>
      <c r="D57" s="66" t="s">
        <v>2464</v>
      </c>
      <c r="E57" s="131" t="s">
        <v>1979</v>
      </c>
      <c r="F57" s="65">
        <v>14</v>
      </c>
      <c r="G57" s="74">
        <v>0</v>
      </c>
      <c r="H57" s="74">
        <v>4</v>
      </c>
      <c r="I57" s="74">
        <v>10</v>
      </c>
      <c r="J57" s="65">
        <v>10</v>
      </c>
      <c r="K57" s="2"/>
    </row>
    <row r="58" spans="1:14" x14ac:dyDescent="0.25">
      <c r="A58" s="138">
        <v>48</v>
      </c>
      <c r="B58" s="123"/>
      <c r="C58" s="65" t="s">
        <v>3565</v>
      </c>
      <c r="D58" s="66" t="s">
        <v>2467</v>
      </c>
      <c r="E58" s="131" t="s">
        <v>249</v>
      </c>
      <c r="F58" s="65">
        <v>20</v>
      </c>
      <c r="G58" s="74">
        <v>0</v>
      </c>
      <c r="H58" s="74">
        <v>10</v>
      </c>
      <c r="I58" s="74">
        <v>10</v>
      </c>
      <c r="J58" s="65">
        <v>10</v>
      </c>
      <c r="K58" s="2"/>
      <c r="L58" s="2"/>
      <c r="M58" s="137"/>
    </row>
    <row r="59" spans="1:14" x14ac:dyDescent="0.25">
      <c r="A59" s="138">
        <v>49</v>
      </c>
      <c r="B59" s="123"/>
      <c r="C59" s="65" t="s">
        <v>3565</v>
      </c>
      <c r="D59" s="66" t="s">
        <v>2468</v>
      </c>
      <c r="E59" s="131" t="s">
        <v>249</v>
      </c>
      <c r="F59" s="65">
        <v>20</v>
      </c>
      <c r="G59" s="74">
        <v>0</v>
      </c>
      <c r="H59" s="74">
        <v>20</v>
      </c>
      <c r="I59" s="74">
        <v>0</v>
      </c>
      <c r="J59" s="65">
        <v>0</v>
      </c>
      <c r="K59" s="2"/>
      <c r="L59" s="2"/>
      <c r="M59" s="137"/>
      <c r="N59" s="2"/>
    </row>
    <row r="60" spans="1:14" x14ac:dyDescent="0.25">
      <c r="A60" s="138">
        <v>50</v>
      </c>
      <c r="B60" s="123"/>
      <c r="C60" s="65" t="s">
        <v>3566</v>
      </c>
      <c r="D60" s="66" t="s">
        <v>2477</v>
      </c>
      <c r="E60" s="131"/>
      <c r="F60" s="65">
        <v>10</v>
      </c>
      <c r="G60" s="74">
        <v>10</v>
      </c>
      <c r="H60" s="74">
        <v>0</v>
      </c>
      <c r="I60" s="74">
        <v>20</v>
      </c>
      <c r="J60" s="65">
        <v>20</v>
      </c>
      <c r="K60" s="2"/>
      <c r="L60" s="2"/>
      <c r="M60" s="137"/>
      <c r="N60" s="2"/>
    </row>
    <row r="61" spans="1:14" x14ac:dyDescent="0.25">
      <c r="A61" s="138">
        <v>51</v>
      </c>
      <c r="B61" s="123"/>
      <c r="C61" s="65" t="s">
        <v>2486</v>
      </c>
      <c r="D61" s="66" t="s">
        <v>2491</v>
      </c>
      <c r="E61" s="131" t="s">
        <v>1991</v>
      </c>
      <c r="F61" s="65">
        <v>40</v>
      </c>
      <c r="G61" s="74">
        <v>0</v>
      </c>
      <c r="H61" s="74">
        <v>10</v>
      </c>
      <c r="I61" s="74">
        <v>30</v>
      </c>
      <c r="J61" s="65">
        <v>30</v>
      </c>
      <c r="K61" s="2"/>
      <c r="L61" s="2"/>
      <c r="M61" s="137"/>
      <c r="N61" s="2"/>
    </row>
    <row r="62" spans="1:14" x14ac:dyDescent="0.25">
      <c r="A62" s="138">
        <v>52</v>
      </c>
      <c r="B62" s="123"/>
      <c r="C62" s="65" t="s">
        <v>2531</v>
      </c>
      <c r="D62" s="66" t="s">
        <v>2532</v>
      </c>
      <c r="E62" s="131" t="s">
        <v>2533</v>
      </c>
      <c r="F62" s="65">
        <v>4</v>
      </c>
      <c r="G62" s="74">
        <v>0</v>
      </c>
      <c r="H62" s="74">
        <v>1</v>
      </c>
      <c r="I62" s="74">
        <v>3</v>
      </c>
      <c r="J62" s="65">
        <v>3</v>
      </c>
      <c r="K62" s="2"/>
      <c r="L62" s="2"/>
      <c r="M62" s="137"/>
      <c r="N62" s="2"/>
    </row>
    <row r="63" spans="1:14" x14ac:dyDescent="0.25">
      <c r="A63" s="138">
        <v>53</v>
      </c>
      <c r="B63" s="123"/>
      <c r="C63" s="65" t="s">
        <v>3585</v>
      </c>
      <c r="D63" s="66" t="s">
        <v>2539</v>
      </c>
      <c r="E63" s="131" t="s">
        <v>2111</v>
      </c>
      <c r="F63" s="65">
        <v>0</v>
      </c>
      <c r="G63" s="74">
        <v>4</v>
      </c>
      <c r="H63" s="74">
        <v>0</v>
      </c>
      <c r="I63" s="74">
        <v>4</v>
      </c>
      <c r="J63" s="65">
        <v>4</v>
      </c>
      <c r="K63" s="2"/>
      <c r="L63" s="2"/>
      <c r="M63" s="137"/>
      <c r="N63" s="2"/>
    </row>
    <row r="64" spans="1:14" x14ac:dyDescent="0.25">
      <c r="A64" s="138">
        <v>54</v>
      </c>
      <c r="B64" s="123"/>
      <c r="C64" s="65" t="s">
        <v>3592</v>
      </c>
      <c r="D64" s="66" t="s">
        <v>2366</v>
      </c>
      <c r="E64" s="131" t="s">
        <v>2176</v>
      </c>
      <c r="F64" s="65">
        <v>4</v>
      </c>
      <c r="G64" s="74">
        <v>0</v>
      </c>
      <c r="H64" s="74">
        <v>1</v>
      </c>
      <c r="I64" s="74">
        <v>3</v>
      </c>
      <c r="J64" s="65">
        <v>3</v>
      </c>
      <c r="K64" s="2"/>
      <c r="L64" s="2"/>
      <c r="M64" s="137"/>
      <c r="N64" s="2"/>
    </row>
    <row r="65" spans="1:14" x14ac:dyDescent="0.25">
      <c r="A65" s="138">
        <v>55</v>
      </c>
      <c r="B65" s="123"/>
      <c r="C65" s="65" t="s">
        <v>3598</v>
      </c>
      <c r="D65" s="66" t="s">
        <v>2551</v>
      </c>
      <c r="E65" s="131" t="s">
        <v>2552</v>
      </c>
      <c r="F65" s="65">
        <v>1</v>
      </c>
      <c r="G65" s="74">
        <v>3</v>
      </c>
      <c r="H65" s="74">
        <v>1</v>
      </c>
      <c r="I65" s="74">
        <v>3</v>
      </c>
      <c r="J65" s="65">
        <v>3</v>
      </c>
      <c r="K65" s="2"/>
      <c r="L65" s="2"/>
      <c r="M65" s="137"/>
      <c r="N65" s="2"/>
    </row>
    <row r="66" spans="1:14" x14ac:dyDescent="0.25">
      <c r="A66" s="138">
        <v>56</v>
      </c>
      <c r="B66" s="123"/>
      <c r="C66" s="65" t="s">
        <v>2055</v>
      </c>
      <c r="D66" s="66" t="s">
        <v>3822</v>
      </c>
      <c r="E66" s="65"/>
      <c r="F66" s="65">
        <v>0</v>
      </c>
      <c r="G66" s="74">
        <v>4</v>
      </c>
      <c r="H66" s="74">
        <v>1</v>
      </c>
      <c r="I66" s="74">
        <v>3</v>
      </c>
      <c r="J66" s="65">
        <v>3</v>
      </c>
      <c r="K66" s="2"/>
      <c r="L66" s="2"/>
      <c r="M66" s="137"/>
      <c r="N66" s="2"/>
    </row>
    <row r="67" spans="1:14" x14ac:dyDescent="0.25">
      <c r="A67" s="50"/>
      <c r="C67" s="2"/>
      <c r="D67" s="134"/>
      <c r="E67" s="2"/>
      <c r="F67" s="2"/>
      <c r="G67" s="67"/>
      <c r="H67" s="67"/>
      <c r="I67" s="67"/>
      <c r="J67" s="2"/>
      <c r="K67" s="2"/>
      <c r="L67" s="2"/>
      <c r="M67" s="137"/>
      <c r="N67" s="2"/>
    </row>
    <row r="68" spans="1:14" x14ac:dyDescent="0.25">
      <c r="A68" s="50"/>
      <c r="C68" s="2"/>
      <c r="D68" s="134"/>
      <c r="E68" s="2"/>
      <c r="F68" s="2"/>
      <c r="G68" s="67"/>
      <c r="H68" s="67"/>
      <c r="I68" s="67"/>
      <c r="J68" s="2"/>
      <c r="K68" s="2"/>
      <c r="L68" s="2"/>
      <c r="M68" s="137"/>
      <c r="N68" s="2"/>
    </row>
    <row r="69" spans="1:14" x14ac:dyDescent="0.25">
      <c r="A69" s="50"/>
      <c r="C69" s="2"/>
      <c r="D69" s="134"/>
      <c r="E69" s="2"/>
      <c r="F69" s="2"/>
      <c r="G69" s="67"/>
      <c r="H69" s="67"/>
      <c r="I69" s="67"/>
      <c r="J69" s="2"/>
      <c r="K69" s="2"/>
      <c r="L69" s="2"/>
      <c r="M69" s="137"/>
      <c r="N69" s="2"/>
    </row>
    <row r="70" spans="1:14" x14ac:dyDescent="0.25">
      <c r="A70" s="50"/>
      <c r="C70" s="2"/>
      <c r="D70" s="134"/>
      <c r="E70" s="2"/>
      <c r="F70" s="2"/>
      <c r="G70" s="67"/>
      <c r="H70" s="67"/>
      <c r="I70" s="67"/>
      <c r="J70" s="2"/>
      <c r="K70" s="2"/>
      <c r="L70" s="2"/>
      <c r="M70" s="137"/>
      <c r="N70" s="2"/>
    </row>
    <row r="71" spans="1:14" x14ac:dyDescent="0.25">
      <c r="A71" s="50"/>
      <c r="C71" s="2"/>
      <c r="D71" s="134"/>
      <c r="E71" s="2"/>
      <c r="F71" s="2"/>
      <c r="G71" s="67"/>
      <c r="H71" s="67"/>
      <c r="I71" s="67"/>
      <c r="J71" s="2"/>
      <c r="K71" s="2"/>
      <c r="L71" s="2"/>
      <c r="M71" s="137"/>
      <c r="N71" s="2"/>
    </row>
    <row r="72" spans="1:14" x14ac:dyDescent="0.25">
      <c r="A72" s="50"/>
      <c r="C72" s="2"/>
      <c r="D72" s="134"/>
      <c r="E72" s="2"/>
      <c r="F72" s="2"/>
      <c r="G72" s="67"/>
      <c r="H72" s="67"/>
      <c r="I72" s="67"/>
      <c r="J72" s="2"/>
      <c r="K72" s="2"/>
      <c r="L72" s="2"/>
      <c r="M72" s="137"/>
      <c r="N72" s="2"/>
    </row>
    <row r="73" spans="1:14" x14ac:dyDescent="0.25">
      <c r="A73" s="50"/>
      <c r="C73" s="2"/>
      <c r="D73" s="134"/>
      <c r="E73" s="2"/>
      <c r="F73" s="2"/>
      <c r="G73" s="67"/>
      <c r="H73" s="67"/>
      <c r="I73" s="67"/>
      <c r="J73" s="2"/>
      <c r="K73" s="2"/>
      <c r="L73" s="2"/>
      <c r="M73" s="137"/>
      <c r="N73" s="2"/>
    </row>
    <row r="74" spans="1:14" x14ac:dyDescent="0.25">
      <c r="A74" s="50"/>
      <c r="C74" s="2"/>
      <c r="D74" s="134"/>
      <c r="E74" s="2"/>
      <c r="F74" s="2"/>
      <c r="G74" s="67"/>
      <c r="H74" s="67"/>
      <c r="I74" s="67"/>
      <c r="J74" s="2"/>
      <c r="K74" s="2"/>
      <c r="L74" s="2"/>
      <c r="M74" s="137"/>
      <c r="N74" s="2"/>
    </row>
    <row r="75" spans="1:14" x14ac:dyDescent="0.25">
      <c r="A75" s="50"/>
      <c r="C75" s="2"/>
      <c r="D75" s="134"/>
      <c r="E75" s="2"/>
      <c r="F75" s="2"/>
      <c r="G75" s="67"/>
      <c r="H75" s="67"/>
      <c r="I75" s="67"/>
      <c r="J75" s="2"/>
      <c r="K75" s="2"/>
      <c r="L75" s="2"/>
      <c r="M75" s="137"/>
      <c r="N75" s="2"/>
    </row>
    <row r="76" spans="1:14" x14ac:dyDescent="0.25">
      <c r="A76" s="50"/>
      <c r="C76" s="2"/>
      <c r="D76" s="134"/>
      <c r="E76" s="2"/>
      <c r="F76" s="2"/>
      <c r="G76" s="67"/>
      <c r="H76" s="67"/>
      <c r="I76" s="67"/>
      <c r="J76" s="2"/>
      <c r="K76" s="2"/>
      <c r="L76" s="2"/>
      <c r="M76" s="137"/>
      <c r="N76" s="2"/>
    </row>
    <row r="77" spans="1:14" x14ac:dyDescent="0.25">
      <c r="A77" s="50"/>
      <c r="C77" s="2"/>
      <c r="D77" s="134"/>
      <c r="E77" s="2"/>
      <c r="F77" s="2"/>
      <c r="G77" s="67"/>
      <c r="H77" s="67"/>
      <c r="I77" s="67"/>
      <c r="J77" s="2"/>
      <c r="K77" s="2"/>
      <c r="L77" s="2"/>
      <c r="M77" s="137"/>
      <c r="N77" s="2"/>
    </row>
    <row r="78" spans="1:14" ht="20.100000000000001" customHeight="1" x14ac:dyDescent="0.25">
      <c r="A78" s="50"/>
      <c r="C78" s="2"/>
      <c r="D78" s="134"/>
      <c r="E78" s="3"/>
      <c r="F78" s="2"/>
      <c r="G78" s="67"/>
      <c r="H78" s="67"/>
      <c r="I78" s="67"/>
      <c r="J78" s="2"/>
      <c r="K78" s="2"/>
      <c r="L78" s="2"/>
      <c r="M78" s="137"/>
      <c r="N78" s="2"/>
    </row>
    <row r="79" spans="1:14" ht="20.100000000000001" customHeight="1" x14ac:dyDescent="0.25">
      <c r="A79" s="50"/>
      <c r="C79" s="2"/>
      <c r="D79" s="134"/>
      <c r="E79" s="3"/>
      <c r="F79" s="2"/>
      <c r="G79" s="67"/>
      <c r="H79" s="67"/>
      <c r="I79" s="67"/>
      <c r="J79" s="2"/>
      <c r="K79" s="2"/>
      <c r="L79" s="2"/>
      <c r="M79" s="137"/>
      <c r="N79" s="2"/>
    </row>
    <row r="80" spans="1:14" ht="20.100000000000001" customHeight="1" x14ac:dyDescent="0.25">
      <c r="A80" s="50"/>
      <c r="C80" s="2"/>
      <c r="D80" s="134"/>
      <c r="E80" s="2"/>
      <c r="F80" s="2"/>
      <c r="G80" s="67"/>
      <c r="H80" s="67"/>
      <c r="I80" s="67"/>
      <c r="J80" s="2"/>
      <c r="K80" s="2"/>
      <c r="L80" s="2"/>
      <c r="M80" s="137"/>
      <c r="N80" s="2"/>
    </row>
    <row r="81" spans="1:14" ht="20.100000000000001" customHeight="1" x14ac:dyDescent="0.25">
      <c r="A81" s="50"/>
      <c r="C81" s="2"/>
      <c r="D81" s="134"/>
      <c r="E81" s="2"/>
      <c r="F81" s="2"/>
      <c r="G81" s="67"/>
      <c r="H81" s="67"/>
      <c r="I81" s="67"/>
      <c r="J81" s="2"/>
      <c r="K81" s="2"/>
      <c r="L81" s="2"/>
      <c r="M81" s="137"/>
      <c r="N81" s="2"/>
    </row>
    <row r="82" spans="1:14" ht="20.100000000000001" customHeight="1" x14ac:dyDescent="0.25">
      <c r="A82" s="50"/>
      <c r="C82" s="2"/>
      <c r="D82" s="134"/>
      <c r="E82" s="2"/>
      <c r="F82" s="2"/>
      <c r="G82" s="67"/>
      <c r="H82" s="67"/>
      <c r="I82" s="67"/>
      <c r="J82" s="2"/>
      <c r="K82" s="2"/>
      <c r="L82" s="2"/>
      <c r="M82" s="137"/>
      <c r="N82" s="2"/>
    </row>
    <row r="83" spans="1:14" ht="20.100000000000001" customHeight="1" x14ac:dyDescent="0.25">
      <c r="A83" s="50"/>
      <c r="C83" s="2"/>
      <c r="D83" s="134"/>
      <c r="E83" s="2"/>
      <c r="F83" s="2"/>
      <c r="G83" s="67"/>
      <c r="H83" s="67"/>
      <c r="I83" s="67"/>
      <c r="J83" s="2"/>
      <c r="K83" s="2"/>
      <c r="L83" s="2"/>
      <c r="M83" s="137"/>
      <c r="N83" s="2"/>
    </row>
    <row r="84" spans="1:14" ht="20.100000000000001" customHeight="1" x14ac:dyDescent="0.25">
      <c r="A84" s="50"/>
      <c r="C84" s="2"/>
      <c r="D84" s="134"/>
      <c r="E84" s="2"/>
      <c r="F84" s="2"/>
      <c r="G84" s="67"/>
      <c r="H84" s="67"/>
      <c r="I84" s="67"/>
      <c r="J84" s="2"/>
      <c r="K84" s="2"/>
      <c r="L84" s="2"/>
      <c r="M84" s="137"/>
      <c r="N84" s="2"/>
    </row>
    <row r="85" spans="1:14" ht="20.100000000000001" customHeight="1" x14ac:dyDescent="0.25">
      <c r="A85" s="50"/>
      <c r="C85" s="2"/>
      <c r="D85" s="134"/>
      <c r="E85" s="2"/>
      <c r="F85" s="2"/>
      <c r="G85" s="67"/>
      <c r="H85" s="67"/>
      <c r="I85" s="67"/>
      <c r="J85" s="2"/>
      <c r="K85" s="2"/>
      <c r="L85" s="2"/>
      <c r="M85" s="137"/>
      <c r="N85" s="2"/>
    </row>
    <row r="86" spans="1:14" x14ac:dyDescent="0.25">
      <c r="A86" s="50"/>
      <c r="C86" s="2"/>
      <c r="D86" s="134"/>
      <c r="E86" s="2"/>
      <c r="F86" s="2"/>
      <c r="G86" s="67"/>
      <c r="H86" s="67"/>
      <c r="I86" s="67"/>
      <c r="J86" s="2"/>
      <c r="K86" s="2"/>
      <c r="L86" s="2"/>
      <c r="M86" s="137"/>
      <c r="N86" s="2"/>
    </row>
    <row r="87" spans="1:14" x14ac:dyDescent="0.25">
      <c r="A87" s="50"/>
      <c r="C87" s="2"/>
      <c r="D87" s="134"/>
      <c r="E87" s="2"/>
      <c r="F87" s="2"/>
      <c r="G87" s="67"/>
      <c r="H87" s="67"/>
      <c r="I87" s="67"/>
      <c r="J87" s="2"/>
      <c r="K87" s="2"/>
      <c r="L87" s="2"/>
      <c r="M87" s="137"/>
      <c r="N87" s="2"/>
    </row>
    <row r="88" spans="1:14" x14ac:dyDescent="0.25">
      <c r="A88" s="50"/>
      <c r="C88" s="2"/>
      <c r="D88" s="134"/>
      <c r="E88" s="2"/>
      <c r="F88" s="2"/>
      <c r="G88" s="67"/>
      <c r="H88" s="67"/>
      <c r="I88" s="67"/>
      <c r="J88" s="2"/>
      <c r="K88" s="2"/>
      <c r="L88" s="2"/>
      <c r="M88" s="137"/>
      <c r="N88" s="2"/>
    </row>
    <row r="89" spans="1:14" x14ac:dyDescent="0.25">
      <c r="A89" s="50"/>
      <c r="C89" s="2"/>
      <c r="D89" s="134"/>
      <c r="E89" s="2"/>
      <c r="F89" s="2"/>
      <c r="G89" s="67"/>
      <c r="H89" s="67"/>
      <c r="I89" s="67"/>
      <c r="J89" s="2"/>
      <c r="K89" s="2"/>
      <c r="L89" s="2"/>
      <c r="M89" s="137"/>
      <c r="N89" s="2"/>
    </row>
    <row r="90" spans="1:14" x14ac:dyDescent="0.25">
      <c r="A90" s="50"/>
      <c r="C90" s="2"/>
      <c r="D90" s="134"/>
      <c r="E90" s="2"/>
      <c r="F90" s="2"/>
      <c r="G90" s="67"/>
      <c r="H90" s="67"/>
      <c r="I90" s="67"/>
      <c r="J90" s="2"/>
      <c r="K90" s="2"/>
      <c r="L90" s="2"/>
      <c r="M90" s="137"/>
      <c r="N90" s="2"/>
    </row>
    <row r="91" spans="1:14" x14ac:dyDescent="0.25">
      <c r="A91" s="50"/>
      <c r="C91" s="2"/>
      <c r="D91" s="134"/>
      <c r="E91" s="2"/>
      <c r="F91" s="2"/>
      <c r="G91" s="67"/>
      <c r="H91" s="67"/>
      <c r="I91" s="67"/>
      <c r="J91" s="2"/>
      <c r="K91" s="2"/>
      <c r="L91" s="2"/>
      <c r="M91" s="137"/>
      <c r="N91" s="2"/>
    </row>
    <row r="92" spans="1:14" x14ac:dyDescent="0.25">
      <c r="A92" s="50"/>
      <c r="C92" s="2"/>
      <c r="D92" s="134"/>
      <c r="E92" s="2"/>
      <c r="F92" s="2"/>
      <c r="G92" s="67"/>
      <c r="H92" s="67"/>
      <c r="I92" s="67"/>
      <c r="J92" s="2"/>
      <c r="K92" s="2"/>
      <c r="L92" s="2"/>
      <c r="M92" s="137"/>
      <c r="N92" s="2"/>
    </row>
    <row r="93" spans="1:14" x14ac:dyDescent="0.25">
      <c r="A93" s="50"/>
      <c r="C93" s="2"/>
      <c r="D93" s="134"/>
      <c r="E93" s="2"/>
      <c r="F93" s="2"/>
      <c r="G93" s="67"/>
      <c r="H93" s="67"/>
      <c r="I93" s="67"/>
      <c r="J93" s="2"/>
      <c r="K93" s="2"/>
      <c r="L93" s="2"/>
      <c r="M93" s="137"/>
      <c r="N93" s="2"/>
    </row>
    <row r="94" spans="1:14" x14ac:dyDescent="0.25">
      <c r="A94" s="50"/>
      <c r="C94" s="2"/>
      <c r="D94" s="134"/>
      <c r="E94" s="2"/>
      <c r="F94" s="2"/>
      <c r="G94" s="67"/>
      <c r="H94" s="67"/>
      <c r="I94" s="67"/>
      <c r="J94" s="2"/>
      <c r="K94" s="2"/>
      <c r="L94" s="2"/>
      <c r="M94" s="137"/>
      <c r="N94" s="2"/>
    </row>
    <row r="95" spans="1:14" x14ac:dyDescent="0.25">
      <c r="A95" s="50"/>
      <c r="C95" s="2"/>
      <c r="D95" s="134"/>
      <c r="E95" s="2"/>
      <c r="F95" s="2"/>
      <c r="G95" s="67"/>
      <c r="H95" s="67"/>
      <c r="I95" s="67"/>
      <c r="J95" s="2"/>
      <c r="K95" s="2"/>
      <c r="L95" s="2"/>
      <c r="M95" s="137"/>
      <c r="N95" s="2"/>
    </row>
    <row r="96" spans="1:14" x14ac:dyDescent="0.25">
      <c r="A96" s="50"/>
      <c r="C96" s="2"/>
      <c r="D96" s="134"/>
      <c r="E96" s="2"/>
      <c r="F96" s="2"/>
      <c r="G96" s="67"/>
      <c r="H96" s="67"/>
      <c r="I96" s="67"/>
      <c r="J96" s="2"/>
      <c r="K96" s="2"/>
      <c r="L96" s="2"/>
      <c r="M96" s="137"/>
      <c r="N96" s="2"/>
    </row>
    <row r="97" spans="1:14" x14ac:dyDescent="0.25">
      <c r="A97" s="50"/>
      <c r="C97" s="2"/>
      <c r="D97" s="134"/>
      <c r="E97" s="2"/>
      <c r="F97" s="2"/>
      <c r="G97" s="67"/>
      <c r="H97" s="67"/>
      <c r="I97" s="67"/>
      <c r="J97" s="2"/>
      <c r="K97" s="2"/>
      <c r="L97" s="2"/>
      <c r="M97" s="137"/>
      <c r="N97" s="2"/>
    </row>
    <row r="98" spans="1:14" x14ac:dyDescent="0.25">
      <c r="A98" s="50"/>
      <c r="C98" s="2"/>
      <c r="D98" s="134"/>
      <c r="E98" s="2"/>
      <c r="F98" s="2"/>
      <c r="G98" s="67"/>
      <c r="H98" s="67"/>
      <c r="I98" s="67"/>
      <c r="J98" s="2"/>
      <c r="K98" s="2"/>
      <c r="L98" s="2"/>
      <c r="M98" s="137"/>
      <c r="N98" s="2"/>
    </row>
    <row r="99" spans="1:14" x14ac:dyDescent="0.25">
      <c r="A99" s="50"/>
      <c r="C99" s="2"/>
      <c r="D99" s="134"/>
      <c r="E99" s="2"/>
      <c r="F99" s="2"/>
      <c r="G99" s="67"/>
      <c r="H99" s="67"/>
      <c r="I99" s="67"/>
      <c r="J99" s="2"/>
      <c r="K99" s="2"/>
      <c r="L99" s="2"/>
      <c r="M99" s="137"/>
      <c r="N99" s="2"/>
    </row>
    <row r="100" spans="1:14" x14ac:dyDescent="0.25">
      <c r="A100" s="50"/>
      <c r="C100" s="2"/>
      <c r="D100" s="134"/>
      <c r="E100" s="2"/>
      <c r="F100" s="2"/>
      <c r="G100" s="67"/>
      <c r="H100" s="67"/>
      <c r="I100" s="67"/>
      <c r="J100" s="2"/>
      <c r="K100" s="2"/>
      <c r="L100" s="2"/>
      <c r="M100" s="137"/>
      <c r="N100" s="2"/>
    </row>
    <row r="101" spans="1:14" x14ac:dyDescent="0.25">
      <c r="A101" s="50"/>
      <c r="C101" s="2"/>
      <c r="D101" s="134"/>
      <c r="E101" s="2"/>
      <c r="F101" s="2"/>
      <c r="G101" s="67"/>
      <c r="H101" s="67"/>
      <c r="I101" s="67"/>
      <c r="J101" s="2"/>
      <c r="K101" s="2"/>
      <c r="L101" s="2"/>
      <c r="M101" s="137"/>
      <c r="N101" s="2"/>
    </row>
    <row r="102" spans="1:14" x14ac:dyDescent="0.25">
      <c r="A102" s="50"/>
      <c r="C102" s="2"/>
      <c r="D102" s="134"/>
      <c r="E102" s="2"/>
      <c r="F102" s="2"/>
      <c r="G102" s="67"/>
      <c r="H102" s="67"/>
      <c r="I102" s="67"/>
      <c r="J102" s="2"/>
      <c r="K102" s="2"/>
      <c r="L102" s="2"/>
      <c r="M102" s="137"/>
      <c r="N102" s="2"/>
    </row>
    <row r="103" spans="1:14" x14ac:dyDescent="0.25">
      <c r="A103" s="50"/>
      <c r="C103" s="2"/>
      <c r="D103" s="134"/>
      <c r="E103" s="2"/>
      <c r="F103" s="2"/>
      <c r="G103" s="67"/>
      <c r="H103" s="67"/>
      <c r="I103" s="67"/>
      <c r="J103" s="2"/>
      <c r="K103" s="2"/>
      <c r="L103" s="2"/>
      <c r="M103" s="137"/>
      <c r="N103" s="2"/>
    </row>
    <row r="104" spans="1:14" x14ac:dyDescent="0.25">
      <c r="A104" s="50"/>
      <c r="C104" s="2"/>
      <c r="D104" s="134"/>
      <c r="E104" s="2"/>
      <c r="F104" s="2"/>
      <c r="G104" s="67"/>
      <c r="H104" s="67"/>
      <c r="I104" s="67"/>
      <c r="J104" s="2"/>
      <c r="K104" s="2"/>
      <c r="L104" s="2"/>
      <c r="M104" s="137"/>
      <c r="N104" s="2"/>
    </row>
    <row r="105" spans="1:14" x14ac:dyDescent="0.25">
      <c r="A105" s="50"/>
      <c r="C105" s="2"/>
      <c r="D105" s="134"/>
      <c r="E105" s="2"/>
      <c r="F105" s="2"/>
      <c r="G105" s="67"/>
      <c r="H105" s="67"/>
      <c r="I105" s="67"/>
      <c r="J105" s="2"/>
      <c r="K105" s="2"/>
      <c r="L105" s="2"/>
      <c r="M105" s="137"/>
      <c r="N105" s="2"/>
    </row>
    <row r="106" spans="1:14" x14ac:dyDescent="0.25">
      <c r="A106" s="50"/>
      <c r="C106" s="2"/>
      <c r="D106" s="134"/>
      <c r="E106" s="2"/>
      <c r="F106" s="2"/>
      <c r="G106" s="67"/>
      <c r="H106" s="67"/>
      <c r="I106" s="67"/>
      <c r="J106" s="2"/>
      <c r="K106" s="2"/>
      <c r="L106" s="2"/>
      <c r="M106" s="137"/>
      <c r="N106" s="2"/>
    </row>
    <row r="107" spans="1:14" x14ac:dyDescent="0.25">
      <c r="A107" s="50"/>
      <c r="C107" s="2"/>
      <c r="D107" s="134"/>
      <c r="E107" s="2"/>
      <c r="F107" s="2"/>
      <c r="G107" s="67"/>
      <c r="H107" s="67"/>
      <c r="I107" s="67"/>
      <c r="J107" s="2"/>
      <c r="K107" s="2"/>
      <c r="L107" s="2"/>
      <c r="M107" s="137"/>
      <c r="N107" s="2"/>
    </row>
    <row r="108" spans="1:14" x14ac:dyDescent="0.25">
      <c r="C108" s="2"/>
      <c r="D108" s="134"/>
      <c r="E108" s="2"/>
      <c r="F108" s="2"/>
      <c r="G108" s="67"/>
      <c r="H108" s="67"/>
      <c r="I108" s="67"/>
      <c r="J108" s="2"/>
      <c r="K108" s="2"/>
      <c r="L108" s="2"/>
      <c r="M108" s="137"/>
      <c r="N108" s="2"/>
    </row>
    <row r="109" spans="1:14" x14ac:dyDescent="0.25">
      <c r="C109" s="2"/>
      <c r="D109" s="134"/>
      <c r="E109" s="2"/>
      <c r="F109" s="2"/>
      <c r="G109" s="67"/>
      <c r="H109" s="67"/>
      <c r="I109" s="67"/>
      <c r="J109" s="2"/>
      <c r="K109" s="2"/>
      <c r="L109" s="2"/>
      <c r="M109" s="137"/>
      <c r="N109" s="2"/>
    </row>
    <row r="110" spans="1:14" x14ac:dyDescent="0.25">
      <c r="C110" s="2"/>
      <c r="D110" s="134"/>
      <c r="E110" s="2"/>
      <c r="F110" s="2"/>
      <c r="G110" s="67"/>
      <c r="H110" s="67"/>
      <c r="I110" s="67"/>
      <c r="J110" s="2"/>
      <c r="K110" s="2"/>
      <c r="L110" s="2"/>
      <c r="M110" s="137"/>
      <c r="N110" s="2"/>
    </row>
    <row r="111" spans="1:14" x14ac:dyDescent="0.25">
      <c r="C111" s="2"/>
      <c r="D111" s="134"/>
      <c r="E111" s="2"/>
      <c r="F111" s="2"/>
      <c r="G111" s="67"/>
      <c r="H111" s="67"/>
      <c r="I111" s="67"/>
      <c r="J111" s="2"/>
      <c r="K111" s="2"/>
      <c r="L111" s="2"/>
      <c r="M111" s="137"/>
      <c r="N111" s="2"/>
    </row>
    <row r="112" spans="1:14" x14ac:dyDescent="0.25">
      <c r="C112" s="2"/>
      <c r="D112" s="134"/>
      <c r="E112" s="2"/>
      <c r="F112" s="2"/>
      <c r="G112" s="67"/>
      <c r="H112" s="67"/>
      <c r="I112" s="67"/>
      <c r="J112" s="2"/>
      <c r="K112" s="2"/>
      <c r="L112" s="2"/>
      <c r="M112" s="137"/>
      <c r="N112" s="2"/>
    </row>
    <row r="113" spans="3:14" x14ac:dyDescent="0.25">
      <c r="C113" s="2"/>
      <c r="D113" s="134"/>
      <c r="E113" s="2"/>
      <c r="F113" s="2"/>
      <c r="G113" s="67"/>
      <c r="H113" s="67"/>
      <c r="I113" s="67"/>
      <c r="J113" s="2"/>
      <c r="K113" s="2"/>
      <c r="L113" s="2"/>
      <c r="M113" s="137"/>
      <c r="N113" s="2"/>
    </row>
    <row r="114" spans="3:14" x14ac:dyDescent="0.25">
      <c r="C114" s="2"/>
      <c r="D114" s="134"/>
      <c r="E114" s="2"/>
      <c r="F114" s="2"/>
      <c r="G114" s="67"/>
      <c r="H114" s="67"/>
      <c r="I114" s="67"/>
      <c r="J114" s="2"/>
      <c r="K114" s="2"/>
      <c r="L114" s="2"/>
      <c r="M114" s="137"/>
      <c r="N114" s="2"/>
    </row>
    <row r="115" spans="3:14" x14ac:dyDescent="0.25">
      <c r="C115" s="2"/>
      <c r="D115" s="134"/>
      <c r="E115" s="2"/>
      <c r="F115" s="2"/>
      <c r="G115" s="67"/>
      <c r="H115" s="67"/>
      <c r="I115" s="67"/>
      <c r="J115" s="2"/>
      <c r="K115" s="2"/>
      <c r="L115" s="2"/>
      <c r="M115" s="137"/>
      <c r="N115" s="2"/>
    </row>
    <row r="116" spans="3:14" x14ac:dyDescent="0.25">
      <c r="C116" s="2"/>
      <c r="D116" s="134"/>
      <c r="E116" s="2"/>
      <c r="F116" s="2"/>
      <c r="G116" s="67"/>
      <c r="H116" s="67"/>
      <c r="I116" s="67"/>
      <c r="J116" s="2"/>
      <c r="K116" s="2"/>
      <c r="L116" s="2"/>
      <c r="M116" s="137"/>
      <c r="N116" s="2"/>
    </row>
    <row r="117" spans="3:14" x14ac:dyDescent="0.25">
      <c r="C117" s="2"/>
      <c r="D117" s="134"/>
      <c r="E117" s="2"/>
      <c r="F117" s="2"/>
      <c r="G117" s="67"/>
      <c r="H117" s="67"/>
      <c r="I117" s="67"/>
      <c r="J117" s="2"/>
      <c r="K117" s="2"/>
      <c r="L117" s="2"/>
      <c r="M117" s="137"/>
      <c r="N117" s="2"/>
    </row>
    <row r="118" spans="3:14" x14ac:dyDescent="0.25">
      <c r="C118" s="2"/>
      <c r="D118" s="134"/>
      <c r="E118" s="2"/>
      <c r="F118" s="2"/>
      <c r="G118" s="67"/>
      <c r="H118" s="67"/>
      <c r="I118" s="67"/>
      <c r="J118" s="2"/>
      <c r="K118" s="2"/>
      <c r="L118" s="2"/>
      <c r="M118" s="137"/>
      <c r="N118" s="2"/>
    </row>
    <row r="119" spans="3:14" x14ac:dyDescent="0.25">
      <c r="C119" s="2"/>
      <c r="D119" s="134"/>
      <c r="E119" s="2"/>
      <c r="F119" s="2"/>
      <c r="G119" s="67"/>
      <c r="H119" s="67"/>
      <c r="I119" s="67"/>
      <c r="J119" s="2"/>
      <c r="K119" s="2"/>
      <c r="L119" s="2"/>
      <c r="M119" s="137"/>
      <c r="N119" s="2"/>
    </row>
    <row r="120" spans="3:14" x14ac:dyDescent="0.25">
      <c r="C120" s="2"/>
      <c r="D120" s="134"/>
      <c r="E120" s="2"/>
      <c r="F120" s="2"/>
      <c r="G120" s="67"/>
      <c r="H120" s="67"/>
      <c r="I120" s="67"/>
      <c r="J120" s="2"/>
      <c r="K120" s="2"/>
      <c r="L120" s="2"/>
      <c r="M120" s="137"/>
      <c r="N120" s="2"/>
    </row>
    <row r="121" spans="3:14" x14ac:dyDescent="0.25">
      <c r="C121" s="2"/>
      <c r="D121" s="134"/>
      <c r="E121" s="2"/>
      <c r="F121" s="2"/>
      <c r="G121" s="67"/>
      <c r="H121" s="67"/>
      <c r="I121" s="67"/>
      <c r="J121" s="2"/>
      <c r="K121" s="2"/>
      <c r="L121" s="2"/>
      <c r="M121" s="137"/>
      <c r="N121" s="2"/>
    </row>
    <row r="122" spans="3:14" x14ac:dyDescent="0.25">
      <c r="C122" s="2"/>
      <c r="D122" s="134"/>
      <c r="E122" s="2"/>
      <c r="F122" s="2"/>
      <c r="G122" s="67"/>
      <c r="H122" s="67"/>
      <c r="I122" s="67"/>
      <c r="J122" s="2"/>
      <c r="K122" s="2"/>
      <c r="L122" s="2"/>
      <c r="M122" s="137"/>
      <c r="N122" s="2"/>
    </row>
    <row r="123" spans="3:14" x14ac:dyDescent="0.25">
      <c r="C123" s="2"/>
      <c r="D123" s="134"/>
      <c r="E123" s="2"/>
      <c r="F123" s="2"/>
      <c r="G123" s="67"/>
      <c r="H123" s="67"/>
      <c r="I123" s="67"/>
      <c r="J123" s="2"/>
      <c r="K123" s="2"/>
      <c r="L123" s="2"/>
      <c r="M123" s="137"/>
      <c r="N123" s="2"/>
    </row>
    <row r="124" spans="3:14" x14ac:dyDescent="0.25">
      <c r="C124" s="2"/>
      <c r="D124" s="134"/>
      <c r="E124" s="2"/>
      <c r="F124" s="2"/>
      <c r="G124" s="67"/>
      <c r="H124" s="67"/>
      <c r="I124" s="67"/>
      <c r="J124" s="2"/>
      <c r="K124" s="2"/>
      <c r="L124" s="2"/>
      <c r="M124" s="137"/>
      <c r="N124" s="2"/>
    </row>
    <row r="125" spans="3:14" x14ac:dyDescent="0.25">
      <c r="C125" s="2"/>
      <c r="D125" s="134"/>
      <c r="E125" s="2"/>
      <c r="F125" s="2"/>
      <c r="G125" s="67"/>
      <c r="H125" s="67"/>
      <c r="I125" s="67"/>
      <c r="J125" s="2"/>
      <c r="K125" s="2"/>
      <c r="L125" s="2"/>
      <c r="M125" s="137"/>
      <c r="N125" s="2"/>
    </row>
    <row r="126" spans="3:14" x14ac:dyDescent="0.25">
      <c r="C126" s="2"/>
      <c r="D126" s="134"/>
      <c r="E126" s="2"/>
      <c r="F126" s="2"/>
      <c r="G126" s="67"/>
      <c r="H126" s="67"/>
      <c r="I126" s="67"/>
      <c r="J126" s="2"/>
      <c r="K126" s="2"/>
      <c r="L126" s="2"/>
      <c r="M126" s="137"/>
      <c r="N126" s="2"/>
    </row>
    <row r="127" spans="3:14" x14ac:dyDescent="0.25">
      <c r="C127" s="2"/>
      <c r="D127" s="134"/>
      <c r="E127" s="2"/>
      <c r="F127" s="2"/>
      <c r="G127" s="67"/>
      <c r="H127" s="67"/>
      <c r="I127" s="67"/>
      <c r="J127" s="2"/>
      <c r="K127" s="2"/>
      <c r="L127" s="2"/>
      <c r="M127" s="137"/>
      <c r="N127" s="2"/>
    </row>
    <row r="128" spans="3:14" x14ac:dyDescent="0.25">
      <c r="C128" s="2"/>
      <c r="D128" s="134"/>
      <c r="E128" s="2"/>
      <c r="F128" s="2"/>
      <c r="G128" s="67"/>
      <c r="H128" s="67"/>
      <c r="I128" s="67"/>
      <c r="J128" s="2"/>
      <c r="K128" s="2"/>
      <c r="L128" s="2"/>
      <c r="M128" s="137"/>
      <c r="N128" s="2"/>
    </row>
    <row r="129" spans="3:14" x14ac:dyDescent="0.25">
      <c r="C129" s="2"/>
      <c r="D129" s="134"/>
      <c r="E129" s="2"/>
      <c r="F129" s="2"/>
      <c r="G129" s="67"/>
      <c r="H129" s="67"/>
      <c r="I129" s="67"/>
      <c r="J129" s="2"/>
      <c r="K129" s="2"/>
      <c r="L129" s="2"/>
      <c r="M129" s="137"/>
      <c r="N129" s="2"/>
    </row>
    <row r="130" spans="3:14" x14ac:dyDescent="0.25">
      <c r="C130" s="2"/>
      <c r="D130" s="134"/>
      <c r="E130" s="2"/>
      <c r="F130" s="2"/>
      <c r="G130" s="67"/>
      <c r="H130" s="67"/>
      <c r="I130" s="67"/>
      <c r="J130" s="2"/>
      <c r="K130" s="2"/>
      <c r="L130" s="2"/>
      <c r="M130" s="137"/>
      <c r="N130" s="2"/>
    </row>
    <row r="131" spans="3:14" x14ac:dyDescent="0.25">
      <c r="C131" s="2"/>
      <c r="D131" s="134"/>
      <c r="E131" s="2"/>
      <c r="F131" s="2"/>
      <c r="G131" s="67"/>
      <c r="H131" s="67"/>
      <c r="I131" s="67"/>
      <c r="J131" s="2"/>
      <c r="K131" s="2"/>
      <c r="L131" s="2"/>
      <c r="M131" s="137"/>
      <c r="N131" s="2"/>
    </row>
    <row r="132" spans="3:14" x14ac:dyDescent="0.25">
      <c r="C132" s="2"/>
      <c r="D132" s="134"/>
      <c r="E132" s="2"/>
      <c r="F132" s="2"/>
      <c r="G132" s="67"/>
      <c r="H132" s="67"/>
      <c r="I132" s="67"/>
      <c r="J132" s="2"/>
      <c r="K132" s="2"/>
      <c r="L132" s="2"/>
      <c r="M132" s="137"/>
      <c r="N132" s="2"/>
    </row>
    <row r="133" spans="3:14" x14ac:dyDescent="0.25">
      <c r="C133" s="2"/>
      <c r="D133" s="134"/>
      <c r="E133" s="2"/>
      <c r="F133" s="2"/>
      <c r="G133" s="67"/>
      <c r="H133" s="67"/>
      <c r="I133" s="67"/>
      <c r="J133" s="2"/>
      <c r="K133" s="2"/>
      <c r="L133" s="2"/>
      <c r="M133" s="137"/>
      <c r="N133" s="2"/>
    </row>
    <row r="134" spans="3:14" x14ac:dyDescent="0.25">
      <c r="C134" s="2"/>
      <c r="D134" s="134"/>
      <c r="E134" s="2"/>
      <c r="F134" s="2"/>
      <c r="G134" s="67"/>
      <c r="H134" s="67"/>
      <c r="I134" s="67"/>
      <c r="J134" s="2"/>
      <c r="K134" s="2"/>
      <c r="L134" s="2"/>
      <c r="M134" s="137"/>
      <c r="N134" s="2"/>
    </row>
    <row r="135" spans="3:14" x14ac:dyDescent="0.25">
      <c r="C135" s="2"/>
      <c r="D135" s="134"/>
      <c r="E135" s="2"/>
      <c r="F135" s="2"/>
      <c r="G135" s="67"/>
      <c r="H135" s="67"/>
      <c r="I135" s="67"/>
      <c r="J135" s="2"/>
      <c r="K135" s="2"/>
      <c r="L135" s="2"/>
      <c r="M135" s="137"/>
      <c r="N135" s="2"/>
    </row>
    <row r="136" spans="3:14" x14ac:dyDescent="0.25">
      <c r="C136" s="2"/>
      <c r="D136" s="134"/>
      <c r="E136" s="2"/>
      <c r="F136" s="2"/>
      <c r="G136" s="67"/>
      <c r="H136" s="67"/>
      <c r="I136" s="67"/>
      <c r="J136" s="2"/>
      <c r="K136" s="2"/>
      <c r="L136" s="2"/>
      <c r="M136" s="137"/>
      <c r="N136" s="2"/>
    </row>
    <row r="137" spans="3:14" x14ac:dyDescent="0.25">
      <c r="C137" s="2"/>
      <c r="D137" s="134"/>
      <c r="E137" s="2"/>
      <c r="F137" s="2"/>
      <c r="G137" s="67"/>
      <c r="H137" s="67"/>
      <c r="I137" s="67"/>
      <c r="J137" s="2"/>
      <c r="K137" s="2"/>
      <c r="L137" s="2"/>
      <c r="M137" s="137"/>
      <c r="N137" s="2"/>
    </row>
    <row r="138" spans="3:14" x14ac:dyDescent="0.25">
      <c r="C138" s="2"/>
      <c r="D138" s="134"/>
      <c r="E138" s="2"/>
      <c r="F138" s="2"/>
      <c r="G138" s="67"/>
      <c r="H138" s="67"/>
      <c r="I138" s="67"/>
      <c r="J138" s="2"/>
      <c r="K138" s="2"/>
      <c r="L138" s="2"/>
      <c r="M138" s="137"/>
      <c r="N138" s="2"/>
    </row>
    <row r="139" spans="3:14" x14ac:dyDescent="0.25">
      <c r="C139" s="2"/>
      <c r="D139" s="134"/>
      <c r="E139" s="2"/>
      <c r="F139" s="2"/>
      <c r="G139" s="67"/>
      <c r="H139" s="67"/>
      <c r="I139" s="67"/>
      <c r="J139" s="2"/>
      <c r="K139" s="2"/>
      <c r="L139" s="2"/>
      <c r="M139" s="137"/>
      <c r="N139" s="2"/>
    </row>
    <row r="140" spans="3:14" x14ac:dyDescent="0.25">
      <c r="C140" s="2"/>
      <c r="D140" s="134"/>
      <c r="E140" s="2"/>
      <c r="F140" s="2"/>
      <c r="G140" s="67"/>
      <c r="H140" s="67"/>
      <c r="I140" s="67"/>
      <c r="J140" s="2"/>
      <c r="K140" s="2"/>
      <c r="L140" s="2"/>
      <c r="M140" s="137"/>
      <c r="N140" s="2"/>
    </row>
    <row r="141" spans="3:14" x14ac:dyDescent="0.25">
      <c r="C141" s="2"/>
      <c r="D141" s="134"/>
      <c r="E141" s="2"/>
      <c r="F141" s="2"/>
      <c r="G141" s="67"/>
      <c r="H141" s="67"/>
      <c r="I141" s="67"/>
      <c r="J141" s="2"/>
      <c r="K141" s="2"/>
      <c r="L141" s="2"/>
      <c r="M141" s="137"/>
      <c r="N141" s="2"/>
    </row>
    <row r="142" spans="3:14" x14ac:dyDescent="0.25">
      <c r="C142" s="2"/>
      <c r="D142" s="134"/>
      <c r="E142" s="2"/>
      <c r="F142" s="2"/>
      <c r="G142" s="67"/>
      <c r="H142" s="67"/>
      <c r="I142" s="67"/>
      <c r="J142" s="2"/>
      <c r="K142" s="2"/>
      <c r="L142" s="2"/>
      <c r="M142" s="137"/>
      <c r="N142" s="2"/>
    </row>
    <row r="143" spans="3:14" x14ac:dyDescent="0.25">
      <c r="C143" s="2"/>
      <c r="D143" s="134"/>
      <c r="E143" s="2"/>
      <c r="F143" s="2"/>
      <c r="G143" s="67"/>
      <c r="H143" s="67"/>
      <c r="I143" s="67"/>
      <c r="J143" s="2"/>
      <c r="K143" s="2"/>
      <c r="L143" s="2"/>
      <c r="M143" s="137"/>
      <c r="N143" s="2"/>
    </row>
    <row r="144" spans="3:14" x14ac:dyDescent="0.25">
      <c r="C144" s="2"/>
      <c r="D144" s="134"/>
      <c r="E144" s="2"/>
      <c r="F144" s="2"/>
      <c r="G144" s="67"/>
      <c r="H144" s="67"/>
      <c r="I144" s="67"/>
      <c r="J144" s="2"/>
      <c r="K144" s="2"/>
      <c r="L144" s="2"/>
      <c r="M144" s="137"/>
      <c r="N144" s="2"/>
    </row>
    <row r="145" spans="3:14" x14ac:dyDescent="0.25">
      <c r="C145" s="2"/>
      <c r="D145" s="134"/>
      <c r="E145" s="2"/>
      <c r="F145" s="2"/>
      <c r="G145" s="67"/>
      <c r="H145" s="67"/>
      <c r="I145" s="67"/>
      <c r="J145" s="2"/>
      <c r="K145" s="2"/>
      <c r="L145" s="2"/>
      <c r="M145" s="137"/>
      <c r="N145" s="2"/>
    </row>
    <row r="146" spans="3:14" x14ac:dyDescent="0.25">
      <c r="C146" s="2"/>
      <c r="D146" s="134"/>
      <c r="E146" s="2"/>
      <c r="F146" s="2"/>
      <c r="G146" s="67"/>
      <c r="H146" s="67"/>
      <c r="I146" s="67"/>
      <c r="J146" s="2"/>
      <c r="K146" s="2"/>
      <c r="L146" s="2"/>
      <c r="M146" s="137"/>
      <c r="N146" s="2"/>
    </row>
    <row r="147" spans="3:14" x14ac:dyDescent="0.25">
      <c r="C147" s="2"/>
      <c r="D147" s="134"/>
      <c r="E147" s="2"/>
      <c r="F147" s="2"/>
      <c r="G147" s="67"/>
      <c r="H147" s="67"/>
      <c r="I147" s="67"/>
      <c r="J147" s="2"/>
      <c r="K147" s="2"/>
      <c r="L147" s="2"/>
      <c r="M147" s="137"/>
      <c r="N147" s="2"/>
    </row>
    <row r="148" spans="3:14" x14ac:dyDescent="0.25">
      <c r="C148" s="2"/>
      <c r="D148" s="134"/>
      <c r="E148" s="2"/>
      <c r="F148" s="2"/>
      <c r="G148" s="67"/>
      <c r="H148" s="67"/>
      <c r="I148" s="67"/>
      <c r="J148" s="2"/>
      <c r="K148" s="2"/>
      <c r="L148" s="2"/>
      <c r="M148" s="137"/>
      <c r="N148" s="2"/>
    </row>
    <row r="149" spans="3:14" x14ac:dyDescent="0.25">
      <c r="C149" s="2"/>
      <c r="D149" s="134"/>
      <c r="E149" s="2"/>
      <c r="F149" s="2"/>
      <c r="G149" s="67"/>
      <c r="H149" s="67"/>
      <c r="I149" s="67"/>
      <c r="J149" s="2"/>
      <c r="K149" s="2"/>
      <c r="L149" s="2"/>
      <c r="M149" s="137"/>
      <c r="N149" s="2"/>
    </row>
    <row r="150" spans="3:14" x14ac:dyDescent="0.25">
      <c r="C150" s="2"/>
      <c r="D150" s="134"/>
      <c r="E150" s="2"/>
      <c r="F150" s="2"/>
      <c r="G150" s="67"/>
      <c r="H150" s="67"/>
      <c r="I150" s="67"/>
      <c r="J150" s="2"/>
      <c r="K150" s="2"/>
      <c r="L150" s="2"/>
      <c r="M150" s="137"/>
      <c r="N150" s="2"/>
    </row>
    <row r="151" spans="3:14" x14ac:dyDescent="0.25">
      <c r="C151" s="2"/>
      <c r="D151" s="134"/>
      <c r="E151" s="2"/>
      <c r="F151" s="2"/>
      <c r="G151" s="67"/>
      <c r="H151" s="67"/>
      <c r="I151" s="67"/>
      <c r="J151" s="2"/>
      <c r="K151" s="2"/>
      <c r="L151" s="2"/>
      <c r="M151" s="137"/>
      <c r="N151" s="2"/>
    </row>
    <row r="152" spans="3:14" x14ac:dyDescent="0.25">
      <c r="C152" s="2"/>
      <c r="D152" s="134"/>
      <c r="E152" s="2"/>
      <c r="F152" s="2"/>
      <c r="G152" s="67"/>
      <c r="H152" s="67"/>
      <c r="I152" s="67"/>
      <c r="J152" s="2"/>
      <c r="K152" s="2"/>
      <c r="L152" s="2"/>
      <c r="M152" s="137"/>
      <c r="N152" s="2"/>
    </row>
    <row r="153" spans="3:14" x14ac:dyDescent="0.25">
      <c r="C153" s="2"/>
      <c r="D153" s="134"/>
      <c r="E153" s="2"/>
      <c r="F153" s="2"/>
      <c r="G153" s="67"/>
      <c r="H153" s="67"/>
      <c r="I153" s="67"/>
      <c r="J153" s="2"/>
      <c r="K153" s="2"/>
      <c r="L153" s="2"/>
      <c r="M153" s="137"/>
      <c r="N153" s="2"/>
    </row>
    <row r="154" spans="3:14" x14ac:dyDescent="0.25">
      <c r="C154" s="2"/>
      <c r="D154" s="134"/>
      <c r="E154" s="2"/>
      <c r="F154" s="2"/>
      <c r="G154" s="67"/>
      <c r="H154" s="67"/>
      <c r="I154" s="67"/>
      <c r="J154" s="2"/>
      <c r="K154" s="2"/>
      <c r="L154" s="2"/>
      <c r="M154" s="137"/>
      <c r="N154" s="2"/>
    </row>
    <row r="155" spans="3:14" x14ac:dyDescent="0.25">
      <c r="C155" s="2"/>
      <c r="D155" s="134"/>
      <c r="E155" s="2"/>
      <c r="F155" s="2"/>
      <c r="G155" s="67"/>
      <c r="H155" s="67"/>
      <c r="I155" s="67"/>
      <c r="J155" s="2"/>
      <c r="K155" s="2"/>
      <c r="L155" s="2"/>
      <c r="M155" s="137"/>
      <c r="N155" s="2"/>
    </row>
    <row r="156" spans="3:14" x14ac:dyDescent="0.25">
      <c r="C156" s="2"/>
      <c r="D156" s="134"/>
      <c r="E156" s="2"/>
      <c r="F156" s="2"/>
      <c r="G156" s="67"/>
      <c r="H156" s="67"/>
      <c r="I156" s="67"/>
      <c r="J156" s="2"/>
      <c r="K156" s="2"/>
      <c r="L156" s="2"/>
      <c r="M156" s="137"/>
      <c r="N156" s="2"/>
    </row>
    <row r="157" spans="3:14" x14ac:dyDescent="0.25">
      <c r="C157" s="2"/>
      <c r="D157" s="134"/>
      <c r="E157" s="2"/>
      <c r="F157" s="2"/>
      <c r="G157" s="67"/>
      <c r="H157" s="67"/>
      <c r="I157" s="67"/>
      <c r="J157" s="2"/>
      <c r="K157" s="2"/>
      <c r="L157" s="2"/>
      <c r="M157" s="137"/>
      <c r="N157" s="2"/>
    </row>
    <row r="158" spans="3:14" x14ac:dyDescent="0.25">
      <c r="C158" s="2"/>
      <c r="D158" s="134"/>
      <c r="E158" s="2"/>
      <c r="F158" s="2"/>
      <c r="G158" s="67"/>
      <c r="H158" s="67"/>
      <c r="I158" s="67"/>
      <c r="J158" s="2"/>
      <c r="K158" s="2"/>
      <c r="L158" s="2"/>
      <c r="M158" s="137"/>
      <c r="N158" s="2"/>
    </row>
    <row r="159" spans="3:14" x14ac:dyDescent="0.25">
      <c r="C159" s="2"/>
      <c r="D159" s="134"/>
      <c r="E159" s="2"/>
      <c r="F159" s="2"/>
      <c r="G159" s="67"/>
      <c r="H159" s="67"/>
      <c r="I159" s="67"/>
      <c r="J159" s="2"/>
      <c r="K159" s="2"/>
      <c r="L159" s="2"/>
      <c r="M159" s="137"/>
      <c r="N159" s="2"/>
    </row>
    <row r="160" spans="3:14" x14ac:dyDescent="0.25">
      <c r="C160" s="2"/>
      <c r="D160" s="134"/>
      <c r="E160" s="2"/>
      <c r="F160" s="2"/>
      <c r="G160" s="67"/>
      <c r="H160" s="67"/>
      <c r="I160" s="67"/>
      <c r="J160" s="2"/>
      <c r="K160" s="2"/>
      <c r="L160" s="2"/>
      <c r="M160" s="137"/>
      <c r="N160" s="2"/>
    </row>
    <row r="161" spans="3:14" x14ac:dyDescent="0.25">
      <c r="C161" s="2"/>
      <c r="D161" s="134"/>
      <c r="E161" s="2"/>
      <c r="F161" s="2"/>
      <c r="G161" s="67"/>
      <c r="H161" s="67"/>
      <c r="I161" s="67"/>
      <c r="J161" s="2"/>
      <c r="K161" s="2"/>
      <c r="L161" s="2"/>
      <c r="M161" s="137"/>
      <c r="N161" s="2"/>
    </row>
    <row r="162" spans="3:14" x14ac:dyDescent="0.25">
      <c r="C162" s="2"/>
      <c r="D162" s="134"/>
      <c r="E162" s="2"/>
      <c r="F162" s="2"/>
      <c r="G162" s="67"/>
      <c r="H162" s="67"/>
      <c r="I162" s="67"/>
      <c r="J162" s="2"/>
      <c r="K162" s="2"/>
      <c r="L162" s="2"/>
      <c r="M162" s="137"/>
      <c r="N162" s="2"/>
    </row>
    <row r="163" spans="3:14" x14ac:dyDescent="0.25">
      <c r="C163" s="2"/>
      <c r="D163" s="134"/>
      <c r="E163" s="2"/>
      <c r="F163" s="2"/>
      <c r="G163" s="67"/>
      <c r="H163" s="67"/>
      <c r="I163" s="67"/>
      <c r="J163" s="2"/>
      <c r="K163" s="2"/>
      <c r="L163" s="2"/>
      <c r="M163" s="137"/>
      <c r="N163" s="2"/>
    </row>
    <row r="164" spans="3:14" x14ac:dyDescent="0.25">
      <c r="C164" s="2"/>
      <c r="D164" s="134"/>
      <c r="E164" s="2"/>
      <c r="F164" s="2"/>
      <c r="G164" s="67"/>
      <c r="H164" s="67"/>
      <c r="I164" s="67"/>
      <c r="J164" s="2"/>
      <c r="K164" s="2"/>
      <c r="L164" s="2"/>
      <c r="M164" s="137"/>
      <c r="N164" s="2"/>
    </row>
    <row r="165" spans="3:14" x14ac:dyDescent="0.25">
      <c r="C165" s="2"/>
      <c r="D165" s="134"/>
      <c r="E165" s="2"/>
      <c r="F165" s="2"/>
      <c r="G165" s="67"/>
      <c r="H165" s="67"/>
      <c r="I165" s="67"/>
      <c r="J165" s="2"/>
      <c r="K165" s="2"/>
      <c r="L165" s="2"/>
      <c r="M165" s="137"/>
      <c r="N165" s="2"/>
    </row>
    <row r="166" spans="3:14" x14ac:dyDescent="0.25">
      <c r="C166" s="2"/>
      <c r="D166" s="134"/>
      <c r="E166" s="2"/>
      <c r="F166" s="2"/>
      <c r="G166" s="67"/>
      <c r="H166" s="67"/>
      <c r="I166" s="67"/>
      <c r="J166" s="2"/>
      <c r="K166" s="2"/>
      <c r="L166" s="2"/>
      <c r="M166" s="137"/>
      <c r="N166" s="2"/>
    </row>
    <row r="167" spans="3:14" x14ac:dyDescent="0.25">
      <c r="C167" s="2"/>
      <c r="D167" s="134"/>
      <c r="E167" s="2"/>
      <c r="F167" s="2"/>
      <c r="G167" s="67"/>
      <c r="H167" s="67"/>
      <c r="I167" s="67"/>
      <c r="J167" s="2"/>
      <c r="K167" s="2"/>
      <c r="L167" s="2"/>
      <c r="M167" s="137"/>
      <c r="N167" s="2"/>
    </row>
    <row r="168" spans="3:14" x14ac:dyDescent="0.25">
      <c r="C168" s="2"/>
      <c r="D168" s="134"/>
      <c r="E168" s="2"/>
      <c r="F168" s="2"/>
      <c r="G168" s="67"/>
      <c r="H168" s="67"/>
      <c r="I168" s="67"/>
      <c r="J168" s="2"/>
      <c r="K168" s="2"/>
      <c r="L168" s="2"/>
      <c r="M168" s="137"/>
      <c r="N168" s="2"/>
    </row>
    <row r="169" spans="3:14" x14ac:dyDescent="0.25">
      <c r="C169" s="2"/>
      <c r="D169" s="134"/>
      <c r="E169" s="2"/>
      <c r="F169" s="2"/>
      <c r="G169" s="67"/>
      <c r="H169" s="67"/>
      <c r="I169" s="67"/>
      <c r="J169" s="2"/>
      <c r="K169" s="2"/>
      <c r="L169" s="2"/>
      <c r="M169" s="137"/>
      <c r="N169" s="2"/>
    </row>
    <row r="170" spans="3:14" x14ac:dyDescent="0.25">
      <c r="C170" s="2"/>
      <c r="D170" s="134"/>
      <c r="E170" s="2"/>
      <c r="F170" s="2"/>
      <c r="G170" s="67"/>
      <c r="H170" s="67"/>
      <c r="I170" s="67"/>
      <c r="J170" s="2"/>
      <c r="K170" s="2"/>
      <c r="L170" s="2"/>
      <c r="M170" s="137"/>
      <c r="N170" s="2"/>
    </row>
    <row r="171" spans="3:14" x14ac:dyDescent="0.25">
      <c r="C171" s="2"/>
      <c r="D171" s="134"/>
      <c r="E171" s="2"/>
      <c r="F171" s="2"/>
      <c r="G171" s="67"/>
      <c r="H171" s="67"/>
      <c r="I171" s="67"/>
      <c r="J171" s="2"/>
      <c r="K171" s="2"/>
      <c r="L171" s="2"/>
      <c r="M171" s="137"/>
      <c r="N171" s="2"/>
    </row>
    <row r="172" spans="3:14" x14ac:dyDescent="0.25">
      <c r="C172" s="2"/>
      <c r="D172" s="134"/>
      <c r="E172" s="2"/>
      <c r="F172" s="2"/>
      <c r="G172" s="67"/>
      <c r="H172" s="67"/>
      <c r="I172" s="67"/>
      <c r="J172" s="2"/>
      <c r="K172" s="2"/>
      <c r="L172" s="2"/>
      <c r="M172" s="137"/>
      <c r="N172" s="2"/>
    </row>
    <row r="173" spans="3:14" x14ac:dyDescent="0.25">
      <c r="C173" s="2"/>
      <c r="D173" s="134"/>
      <c r="E173" s="2"/>
      <c r="F173" s="2"/>
      <c r="G173" s="67"/>
      <c r="H173" s="67"/>
      <c r="I173" s="67"/>
      <c r="J173" s="2"/>
      <c r="K173" s="2"/>
      <c r="L173" s="2"/>
      <c r="M173" s="137"/>
      <c r="N173" s="2"/>
    </row>
    <row r="174" spans="3:14" x14ac:dyDescent="0.25">
      <c r="C174" s="2"/>
      <c r="D174" s="134"/>
      <c r="E174" s="2"/>
      <c r="F174" s="2"/>
      <c r="G174" s="67"/>
      <c r="H174" s="67"/>
      <c r="I174" s="67"/>
      <c r="J174" s="2"/>
      <c r="K174" s="2"/>
      <c r="L174" s="2"/>
      <c r="M174" s="137"/>
      <c r="N174" s="2"/>
    </row>
    <row r="175" spans="3:14" x14ac:dyDescent="0.25">
      <c r="C175" s="2"/>
      <c r="D175" s="134"/>
      <c r="E175" s="2"/>
      <c r="F175" s="2"/>
      <c r="G175" s="67"/>
      <c r="H175" s="67"/>
      <c r="I175" s="67"/>
      <c r="J175" s="2"/>
      <c r="K175" s="2"/>
      <c r="L175" s="2"/>
      <c r="M175" s="137"/>
      <c r="N175" s="2"/>
    </row>
    <row r="176" spans="3:14" x14ac:dyDescent="0.25">
      <c r="C176" s="2"/>
      <c r="D176" s="134"/>
      <c r="E176" s="2"/>
      <c r="F176" s="2"/>
      <c r="G176" s="67"/>
      <c r="H176" s="67"/>
      <c r="I176" s="67"/>
      <c r="J176" s="2"/>
      <c r="K176" s="2"/>
      <c r="L176" s="2"/>
      <c r="M176" s="137"/>
      <c r="N176" s="2"/>
    </row>
    <row r="177" spans="3:14" x14ac:dyDescent="0.25">
      <c r="C177" s="2"/>
      <c r="D177" s="134"/>
      <c r="E177" s="2"/>
      <c r="F177" s="2"/>
      <c r="G177" s="67"/>
      <c r="H177" s="67"/>
      <c r="I177" s="67"/>
      <c r="J177" s="2"/>
      <c r="K177" s="2"/>
      <c r="L177" s="2"/>
      <c r="M177" s="137"/>
      <c r="N177" s="2"/>
    </row>
    <row r="178" spans="3:14" x14ac:dyDescent="0.25">
      <c r="C178" s="2"/>
      <c r="D178" s="134"/>
      <c r="E178" s="2"/>
      <c r="F178" s="2"/>
      <c r="G178" s="67"/>
      <c r="H178" s="67"/>
      <c r="I178" s="67"/>
      <c r="J178" s="2"/>
      <c r="K178" s="2"/>
      <c r="L178" s="2"/>
      <c r="M178" s="137"/>
      <c r="N178" s="2"/>
    </row>
    <row r="179" spans="3:14" x14ac:dyDescent="0.25">
      <c r="C179" s="2"/>
      <c r="D179" s="134"/>
      <c r="E179" s="2"/>
      <c r="F179" s="2"/>
      <c r="G179" s="67"/>
      <c r="H179" s="67"/>
      <c r="I179" s="67"/>
      <c r="J179" s="2"/>
      <c r="K179" s="2"/>
      <c r="L179" s="2"/>
      <c r="M179" s="137"/>
      <c r="N179" s="2"/>
    </row>
    <row r="180" spans="3:14" x14ac:dyDescent="0.25">
      <c r="C180" s="2"/>
      <c r="D180" s="134"/>
      <c r="E180" s="2"/>
      <c r="F180" s="2"/>
      <c r="G180" s="67"/>
      <c r="H180" s="67"/>
      <c r="I180" s="67"/>
      <c r="J180" s="2"/>
      <c r="K180" s="2"/>
      <c r="L180" s="2"/>
      <c r="M180" s="137"/>
      <c r="N180" s="2"/>
    </row>
    <row r="181" spans="3:14" x14ac:dyDescent="0.25">
      <c r="C181" s="2"/>
      <c r="D181" s="134"/>
      <c r="E181" s="2"/>
      <c r="F181" s="2"/>
      <c r="G181" s="67"/>
      <c r="H181" s="67"/>
      <c r="I181" s="67"/>
      <c r="J181" s="2"/>
      <c r="K181" s="2"/>
      <c r="L181" s="2"/>
      <c r="M181" s="137"/>
      <c r="N181" s="2"/>
    </row>
    <row r="182" spans="3:14" x14ac:dyDescent="0.25">
      <c r="C182" s="2"/>
      <c r="D182" s="134"/>
      <c r="E182" s="2"/>
      <c r="F182" s="2"/>
      <c r="G182" s="67"/>
      <c r="H182" s="67"/>
      <c r="I182" s="67"/>
      <c r="J182" s="2"/>
      <c r="K182" s="2"/>
      <c r="L182" s="2"/>
      <c r="M182" s="137"/>
      <c r="N182" s="2"/>
    </row>
    <row r="183" spans="3:14" x14ac:dyDescent="0.25">
      <c r="C183" s="2"/>
      <c r="D183" s="134"/>
      <c r="E183" s="2"/>
      <c r="F183" s="2"/>
      <c r="G183" s="67"/>
      <c r="H183" s="67"/>
      <c r="I183" s="67"/>
      <c r="J183" s="2"/>
      <c r="K183" s="2"/>
      <c r="L183" s="2"/>
      <c r="M183" s="137"/>
      <c r="N183" s="2"/>
    </row>
    <row r="184" spans="3:14" x14ac:dyDescent="0.25">
      <c r="C184" s="2"/>
      <c r="D184" s="134"/>
      <c r="E184" s="2"/>
      <c r="F184" s="2"/>
      <c r="G184" s="67"/>
      <c r="H184" s="67"/>
      <c r="I184" s="67"/>
      <c r="J184" s="2"/>
      <c r="K184" s="2"/>
      <c r="L184" s="2"/>
      <c r="M184" s="137"/>
      <c r="N184" s="2"/>
    </row>
    <row r="185" spans="3:14" x14ac:dyDescent="0.25">
      <c r="C185" s="2"/>
      <c r="D185" s="134"/>
      <c r="E185" s="2"/>
      <c r="F185" s="2"/>
      <c r="G185" s="67"/>
      <c r="H185" s="67"/>
      <c r="I185" s="67"/>
      <c r="J185" s="2"/>
      <c r="K185" s="2"/>
      <c r="L185" s="2"/>
      <c r="M185" s="137"/>
      <c r="N185" s="2"/>
    </row>
    <row r="186" spans="3:14" x14ac:dyDescent="0.25">
      <c r="C186" s="2"/>
      <c r="D186" s="134"/>
      <c r="E186" s="2"/>
      <c r="F186" s="2"/>
      <c r="G186" s="67"/>
      <c r="H186" s="67"/>
      <c r="I186" s="67"/>
      <c r="J186" s="2"/>
      <c r="K186" s="2"/>
      <c r="L186" s="2"/>
      <c r="M186" s="137"/>
      <c r="N186" s="2"/>
    </row>
    <row r="187" spans="3:14" x14ac:dyDescent="0.25">
      <c r="C187" s="2"/>
      <c r="D187" s="134"/>
      <c r="E187" s="2"/>
      <c r="F187" s="2"/>
      <c r="G187" s="67"/>
      <c r="H187" s="67"/>
      <c r="I187" s="67"/>
      <c r="J187" s="2"/>
      <c r="K187" s="2"/>
      <c r="L187" s="2"/>
      <c r="M187" s="137"/>
      <c r="N187" s="2"/>
    </row>
    <row r="188" spans="3:14" x14ac:dyDescent="0.25">
      <c r="C188" s="2"/>
      <c r="D188" s="134"/>
      <c r="E188" s="2"/>
      <c r="F188" s="2"/>
      <c r="G188" s="67"/>
      <c r="H188" s="67"/>
      <c r="I188" s="67"/>
      <c r="J188" s="2"/>
      <c r="K188" s="2"/>
      <c r="L188" s="2"/>
      <c r="M188" s="137"/>
      <c r="N188" s="2"/>
    </row>
    <row r="189" spans="3:14" x14ac:dyDescent="0.25">
      <c r="C189" s="2"/>
      <c r="D189" s="134"/>
      <c r="E189" s="2"/>
      <c r="F189" s="2"/>
      <c r="G189" s="67"/>
      <c r="H189" s="67"/>
      <c r="I189" s="67"/>
      <c r="J189" s="2"/>
      <c r="K189" s="2"/>
      <c r="L189" s="2"/>
      <c r="M189" s="137"/>
      <c r="N189" s="2"/>
    </row>
    <row r="190" spans="3:14" x14ac:dyDescent="0.25">
      <c r="C190" s="2"/>
      <c r="D190" s="134"/>
      <c r="E190" s="2"/>
      <c r="F190" s="2"/>
      <c r="G190" s="67"/>
      <c r="H190" s="67"/>
      <c r="I190" s="67"/>
      <c r="J190" s="2"/>
      <c r="K190" s="2"/>
      <c r="L190" s="2"/>
      <c r="M190" s="137"/>
      <c r="N190" s="2"/>
    </row>
    <row r="191" spans="3:14" x14ac:dyDescent="0.25">
      <c r="C191" s="2"/>
      <c r="D191" s="134"/>
      <c r="E191" s="2"/>
      <c r="F191" s="2"/>
      <c r="G191" s="67"/>
      <c r="H191" s="67"/>
      <c r="I191" s="67"/>
      <c r="J191" s="2"/>
      <c r="K191" s="2"/>
      <c r="L191" s="2"/>
      <c r="M191" s="137"/>
      <c r="N191" s="2"/>
    </row>
    <row r="192" spans="3:14" x14ac:dyDescent="0.25">
      <c r="C192" s="2"/>
      <c r="D192" s="134"/>
      <c r="E192" s="2"/>
      <c r="F192" s="2"/>
      <c r="G192" s="67"/>
      <c r="H192" s="67"/>
      <c r="I192" s="67"/>
      <c r="J192" s="2"/>
      <c r="K192" s="2"/>
      <c r="L192" s="2"/>
      <c r="M192" s="137"/>
      <c r="N192" s="2"/>
    </row>
    <row r="193" spans="3:14" x14ac:dyDescent="0.25">
      <c r="C193" s="2"/>
      <c r="D193" s="134"/>
      <c r="E193" s="2"/>
      <c r="F193" s="2"/>
      <c r="G193" s="67"/>
      <c r="H193" s="67"/>
      <c r="I193" s="67"/>
      <c r="J193" s="2"/>
      <c r="K193" s="2"/>
      <c r="L193" s="2"/>
      <c r="M193" s="137"/>
      <c r="N193" s="2"/>
    </row>
    <row r="194" spans="3:14" x14ac:dyDescent="0.25">
      <c r="C194" s="2"/>
      <c r="D194" s="134"/>
      <c r="E194" s="2"/>
      <c r="F194" s="2"/>
      <c r="G194" s="67"/>
      <c r="H194" s="67"/>
      <c r="I194" s="67"/>
      <c r="J194" s="2"/>
      <c r="K194" s="2"/>
      <c r="L194" s="2"/>
      <c r="M194" s="137"/>
      <c r="N194" s="2"/>
    </row>
    <row r="195" spans="3:14" x14ac:dyDescent="0.25">
      <c r="C195" s="2"/>
      <c r="D195" s="134"/>
      <c r="E195" s="2"/>
      <c r="F195" s="2"/>
      <c r="G195" s="67"/>
      <c r="H195" s="67"/>
      <c r="I195" s="67"/>
      <c r="J195" s="2"/>
      <c r="K195" s="2"/>
      <c r="L195" s="2"/>
      <c r="M195" s="137"/>
      <c r="N195" s="2"/>
    </row>
    <row r="196" spans="3:14" x14ac:dyDescent="0.25">
      <c r="C196" s="2"/>
      <c r="D196" s="134"/>
      <c r="E196" s="2"/>
      <c r="F196" s="2"/>
      <c r="G196" s="67"/>
      <c r="H196" s="67"/>
      <c r="I196" s="67"/>
      <c r="J196" s="2"/>
      <c r="K196" s="2"/>
      <c r="L196" s="2"/>
      <c r="M196" s="137"/>
      <c r="N196" s="2"/>
    </row>
    <row r="197" spans="3:14" x14ac:dyDescent="0.25">
      <c r="C197" s="2"/>
      <c r="D197" s="134"/>
      <c r="E197" s="2"/>
      <c r="F197" s="2"/>
      <c r="G197" s="67"/>
      <c r="H197" s="67"/>
      <c r="I197" s="67"/>
      <c r="J197" s="2"/>
      <c r="K197" s="2"/>
      <c r="L197" s="2"/>
      <c r="M197" s="137"/>
      <c r="N197" s="2"/>
    </row>
    <row r="198" spans="3:14" x14ac:dyDescent="0.25">
      <c r="C198" s="2"/>
      <c r="D198" s="134"/>
      <c r="E198" s="2"/>
      <c r="F198" s="2"/>
      <c r="G198" s="67"/>
      <c r="H198" s="67"/>
      <c r="I198" s="67"/>
      <c r="J198" s="2"/>
      <c r="K198" s="2"/>
      <c r="L198" s="2"/>
      <c r="M198" s="137"/>
      <c r="N198" s="2"/>
    </row>
    <row r="199" spans="3:14" x14ac:dyDescent="0.25">
      <c r="C199" s="2"/>
      <c r="D199" s="134"/>
      <c r="E199" s="2"/>
      <c r="F199" s="2"/>
      <c r="G199" s="67"/>
      <c r="H199" s="67"/>
      <c r="I199" s="67"/>
      <c r="J199" s="2"/>
      <c r="K199" s="2"/>
      <c r="L199" s="2"/>
      <c r="M199" s="137"/>
      <c r="N199" s="2"/>
    </row>
    <row r="200" spans="3:14" x14ac:dyDescent="0.25">
      <c r="C200" s="2"/>
      <c r="D200" s="134"/>
      <c r="E200" s="2"/>
      <c r="F200" s="2"/>
      <c r="G200" s="67"/>
      <c r="H200" s="67"/>
      <c r="I200" s="67"/>
      <c r="J200" s="2"/>
      <c r="K200" s="2"/>
      <c r="L200" s="2"/>
      <c r="M200" s="137"/>
      <c r="N200" s="2"/>
    </row>
    <row r="201" spans="3:14" x14ac:dyDescent="0.25">
      <c r="C201" s="2"/>
      <c r="D201" s="134"/>
      <c r="E201" s="2"/>
      <c r="F201" s="2"/>
      <c r="G201" s="67"/>
      <c r="H201" s="67"/>
      <c r="I201" s="67"/>
      <c r="J201" s="2"/>
      <c r="K201" s="2"/>
      <c r="L201" s="2"/>
      <c r="M201" s="137"/>
      <c r="N201" s="2"/>
    </row>
    <row r="202" spans="3:14" x14ac:dyDescent="0.25">
      <c r="C202" s="2"/>
      <c r="D202" s="134"/>
      <c r="E202" s="2"/>
      <c r="F202" s="2"/>
      <c r="G202" s="67"/>
      <c r="H202" s="67"/>
      <c r="I202" s="67"/>
      <c r="J202" s="2"/>
      <c r="K202" s="2"/>
      <c r="L202" s="2"/>
      <c r="M202" s="137"/>
      <c r="N202" s="2"/>
    </row>
    <row r="203" spans="3:14" x14ac:dyDescent="0.25">
      <c r="C203" s="2"/>
      <c r="D203" s="134"/>
      <c r="E203" s="2"/>
      <c r="F203" s="2"/>
      <c r="G203" s="67"/>
      <c r="H203" s="67"/>
      <c r="I203" s="67"/>
      <c r="J203" s="2"/>
      <c r="K203" s="2"/>
      <c r="L203" s="2"/>
      <c r="M203" s="137"/>
      <c r="N203" s="2"/>
    </row>
    <row r="204" spans="3:14" x14ac:dyDescent="0.25">
      <c r="C204" s="2"/>
      <c r="D204" s="134"/>
      <c r="E204" s="2"/>
      <c r="F204" s="2"/>
      <c r="G204" s="67"/>
      <c r="H204" s="67"/>
      <c r="I204" s="67"/>
      <c r="J204" s="2"/>
      <c r="K204" s="2"/>
      <c r="L204" s="2"/>
      <c r="M204" s="137"/>
      <c r="N204" s="2"/>
    </row>
    <row r="205" spans="3:14" x14ac:dyDescent="0.25">
      <c r="C205" s="2"/>
      <c r="D205" s="134"/>
      <c r="E205" s="2"/>
      <c r="F205" s="2"/>
      <c r="G205" s="67"/>
      <c r="H205" s="67"/>
      <c r="I205" s="67"/>
      <c r="J205" s="2"/>
      <c r="K205" s="2"/>
      <c r="L205" s="2"/>
      <c r="M205" s="137"/>
      <c r="N205" s="2"/>
    </row>
    <row r="206" spans="3:14" x14ac:dyDescent="0.25">
      <c r="C206" s="2"/>
      <c r="D206" s="134"/>
      <c r="E206" s="2"/>
      <c r="F206" s="2"/>
      <c r="G206" s="67"/>
      <c r="H206" s="67"/>
      <c r="I206" s="67"/>
      <c r="J206" s="2"/>
      <c r="K206" s="2"/>
      <c r="L206" s="2"/>
      <c r="M206" s="137"/>
      <c r="N206" s="2"/>
    </row>
    <row r="207" spans="3:14" x14ac:dyDescent="0.25">
      <c r="C207" s="2"/>
      <c r="D207" s="134"/>
      <c r="E207" s="2"/>
      <c r="F207" s="2"/>
      <c r="G207" s="67"/>
      <c r="H207" s="67"/>
      <c r="I207" s="67"/>
      <c r="J207" s="2"/>
      <c r="K207" s="2"/>
      <c r="L207" s="2"/>
      <c r="M207" s="137"/>
      <c r="N207" s="2"/>
    </row>
    <row r="208" spans="3:14" x14ac:dyDescent="0.25">
      <c r="C208" s="2"/>
      <c r="D208" s="134"/>
      <c r="E208" s="2"/>
      <c r="F208" s="2"/>
      <c r="G208" s="67"/>
      <c r="H208" s="67"/>
      <c r="I208" s="67"/>
      <c r="J208" s="2"/>
      <c r="K208" s="2"/>
      <c r="L208" s="2"/>
      <c r="M208" s="137"/>
      <c r="N208" s="2"/>
    </row>
    <row r="209" spans="3:14" x14ac:dyDescent="0.25">
      <c r="C209" s="2"/>
      <c r="D209" s="134"/>
      <c r="E209" s="2"/>
      <c r="F209" s="2"/>
      <c r="G209" s="67"/>
      <c r="H209" s="67"/>
      <c r="I209" s="67"/>
      <c r="J209" s="2"/>
      <c r="K209" s="2"/>
      <c r="L209" s="2"/>
      <c r="M209" s="137"/>
      <c r="N209" s="2"/>
    </row>
    <row r="210" spans="3:14" x14ac:dyDescent="0.25">
      <c r="C210" s="2"/>
      <c r="D210" s="134"/>
      <c r="E210" s="2"/>
      <c r="F210" s="2"/>
      <c r="G210" s="67"/>
      <c r="H210" s="67"/>
      <c r="I210" s="67"/>
      <c r="J210" s="2"/>
      <c r="K210" s="2"/>
      <c r="L210" s="2"/>
      <c r="M210" s="137"/>
      <c r="N210" s="2"/>
    </row>
    <row r="211" spans="3:14" x14ac:dyDescent="0.25">
      <c r="C211" s="2"/>
      <c r="D211" s="134"/>
      <c r="E211" s="2"/>
      <c r="F211" s="2"/>
      <c r="G211" s="67"/>
      <c r="H211" s="67"/>
      <c r="I211" s="67"/>
      <c r="J211" s="2"/>
      <c r="K211" s="2"/>
      <c r="L211" s="2"/>
      <c r="M211" s="137"/>
      <c r="N211" s="2"/>
    </row>
    <row r="212" spans="3:14" x14ac:dyDescent="0.25">
      <c r="C212" s="2"/>
      <c r="D212" s="134"/>
      <c r="E212" s="2"/>
      <c r="F212" s="2"/>
      <c r="G212" s="67"/>
      <c r="H212" s="67"/>
      <c r="I212" s="67"/>
      <c r="J212" s="2"/>
      <c r="K212" s="2"/>
      <c r="L212" s="2"/>
      <c r="M212" s="137"/>
      <c r="N212" s="2"/>
    </row>
    <row r="213" spans="3:14" x14ac:dyDescent="0.25">
      <c r="C213" s="2"/>
      <c r="D213" s="134"/>
      <c r="E213" s="2"/>
      <c r="F213" s="2"/>
      <c r="G213" s="67"/>
      <c r="H213" s="67"/>
      <c r="I213" s="67"/>
      <c r="J213" s="2"/>
      <c r="K213" s="2"/>
      <c r="L213" s="2"/>
      <c r="M213" s="137"/>
      <c r="N213" s="2"/>
    </row>
    <row r="214" spans="3:14" x14ac:dyDescent="0.25">
      <c r="C214" s="2"/>
      <c r="D214" s="134"/>
      <c r="E214" s="2"/>
      <c r="F214" s="2"/>
      <c r="G214" s="67"/>
      <c r="H214" s="67"/>
      <c r="I214" s="67"/>
      <c r="J214" s="2"/>
      <c r="K214" s="2"/>
      <c r="L214" s="2"/>
      <c r="M214" s="137"/>
      <c r="N214" s="2"/>
    </row>
    <row r="215" spans="3:14" x14ac:dyDescent="0.25">
      <c r="C215" s="2"/>
      <c r="D215" s="134"/>
      <c r="E215" s="2"/>
      <c r="F215" s="2"/>
      <c r="G215" s="67"/>
      <c r="H215" s="67"/>
      <c r="I215" s="67"/>
      <c r="J215" s="2"/>
      <c r="K215" s="2"/>
      <c r="L215" s="2"/>
      <c r="M215" s="137"/>
      <c r="N215" s="2"/>
    </row>
    <row r="216" spans="3:14" x14ac:dyDescent="0.25">
      <c r="C216" s="2"/>
      <c r="D216" s="134"/>
      <c r="E216" s="2"/>
      <c r="F216" s="2"/>
      <c r="G216" s="67"/>
      <c r="H216" s="67"/>
      <c r="I216" s="67"/>
      <c r="J216" s="2"/>
      <c r="K216" s="2"/>
      <c r="L216" s="2"/>
      <c r="M216" s="137"/>
      <c r="N216" s="2"/>
    </row>
    <row r="217" spans="3:14" x14ac:dyDescent="0.25">
      <c r="C217" s="2"/>
      <c r="D217" s="134"/>
      <c r="E217" s="2"/>
      <c r="F217" s="2"/>
      <c r="G217" s="67"/>
      <c r="H217" s="67"/>
      <c r="I217" s="67"/>
      <c r="J217" s="2"/>
      <c r="K217" s="2"/>
      <c r="L217" s="2"/>
      <c r="M217" s="137"/>
      <c r="N217" s="2"/>
    </row>
    <row r="218" spans="3:14" x14ac:dyDescent="0.25">
      <c r="C218" s="2"/>
      <c r="D218" s="134"/>
      <c r="E218" s="2"/>
      <c r="F218" s="2"/>
      <c r="G218" s="67"/>
      <c r="H218" s="67"/>
      <c r="I218" s="67"/>
      <c r="J218" s="2"/>
      <c r="K218" s="2"/>
      <c r="L218" s="2"/>
      <c r="M218" s="137"/>
      <c r="N218" s="2"/>
    </row>
    <row r="219" spans="3:14" x14ac:dyDescent="0.25">
      <c r="C219" s="2"/>
      <c r="D219" s="134"/>
      <c r="E219" s="2"/>
      <c r="F219" s="2"/>
      <c r="G219" s="67"/>
      <c r="H219" s="67"/>
      <c r="I219" s="67"/>
      <c r="J219" s="2"/>
      <c r="K219" s="2"/>
      <c r="L219" s="2"/>
      <c r="M219" s="137"/>
      <c r="N219" s="2"/>
    </row>
    <row r="220" spans="3:14" x14ac:dyDescent="0.25">
      <c r="C220" s="2"/>
      <c r="D220" s="134"/>
      <c r="E220" s="2"/>
      <c r="F220" s="2"/>
      <c r="G220" s="67"/>
      <c r="H220" s="67"/>
      <c r="I220" s="67"/>
      <c r="J220" s="2"/>
      <c r="K220" s="2"/>
      <c r="L220" s="2"/>
      <c r="M220" s="137"/>
      <c r="N220" s="2"/>
    </row>
    <row r="221" spans="3:14" x14ac:dyDescent="0.25">
      <c r="C221" s="2"/>
      <c r="D221" s="134"/>
      <c r="E221" s="2"/>
      <c r="F221" s="2"/>
      <c r="G221" s="67"/>
      <c r="H221" s="67"/>
      <c r="I221" s="67"/>
      <c r="J221" s="2"/>
      <c r="K221" s="2"/>
      <c r="L221" s="2"/>
      <c r="M221" s="137"/>
      <c r="N221" s="2"/>
    </row>
    <row r="222" spans="3:14" x14ac:dyDescent="0.25">
      <c r="C222" s="2"/>
      <c r="D222" s="134"/>
      <c r="E222" s="2"/>
      <c r="F222" s="2"/>
      <c r="G222" s="67"/>
      <c r="H222" s="67"/>
      <c r="I222" s="67"/>
      <c r="J222" s="2"/>
      <c r="K222" s="2"/>
      <c r="L222" s="2"/>
      <c r="M222" s="137"/>
      <c r="N222" s="2"/>
    </row>
    <row r="223" spans="3:14" x14ac:dyDescent="0.25">
      <c r="C223" s="2"/>
      <c r="D223" s="134"/>
      <c r="E223" s="2"/>
      <c r="F223" s="2"/>
      <c r="G223" s="67"/>
      <c r="H223" s="67"/>
      <c r="I223" s="67"/>
      <c r="J223" s="2"/>
      <c r="K223" s="2"/>
      <c r="L223" s="2"/>
      <c r="M223" s="137"/>
      <c r="N223" s="2"/>
    </row>
    <row r="224" spans="3:14" x14ac:dyDescent="0.25">
      <c r="C224" s="2"/>
      <c r="D224" s="134"/>
      <c r="E224" s="2"/>
      <c r="F224" s="2"/>
      <c r="G224" s="67"/>
      <c r="H224" s="67"/>
      <c r="I224" s="67"/>
      <c r="J224" s="2"/>
      <c r="K224" s="2"/>
      <c r="L224" s="2"/>
      <c r="M224" s="137"/>
      <c r="N224" s="2"/>
    </row>
    <row r="225" spans="3:14" x14ac:dyDescent="0.25">
      <c r="C225" s="2"/>
      <c r="D225" s="134"/>
      <c r="E225" s="2"/>
      <c r="F225" s="2"/>
      <c r="G225" s="67"/>
      <c r="H225" s="67"/>
      <c r="I225" s="67"/>
      <c r="J225" s="2"/>
      <c r="K225" s="2"/>
      <c r="L225" s="2"/>
      <c r="M225" s="137"/>
      <c r="N225" s="2"/>
    </row>
    <row r="226" spans="3:14" x14ac:dyDescent="0.25">
      <c r="C226" s="2"/>
      <c r="D226" s="134"/>
      <c r="E226" s="2"/>
      <c r="F226" s="2"/>
      <c r="G226" s="67"/>
      <c r="H226" s="67"/>
      <c r="I226" s="67"/>
      <c r="J226" s="2"/>
      <c r="K226" s="2"/>
      <c r="L226" s="2"/>
      <c r="M226" s="137"/>
      <c r="N226" s="2"/>
    </row>
    <row r="227" spans="3:14" x14ac:dyDescent="0.25">
      <c r="C227" s="2"/>
      <c r="D227" s="134"/>
      <c r="E227" s="2"/>
      <c r="F227" s="2"/>
      <c r="G227" s="67"/>
      <c r="H227" s="67"/>
      <c r="I227" s="67"/>
      <c r="J227" s="2"/>
      <c r="K227" s="2"/>
      <c r="L227" s="2"/>
      <c r="M227" s="137"/>
      <c r="N227" s="2"/>
    </row>
    <row r="228" spans="3:14" x14ac:dyDescent="0.25">
      <c r="C228" s="2"/>
      <c r="D228" s="134"/>
      <c r="E228" s="2"/>
      <c r="F228" s="2"/>
      <c r="G228" s="67"/>
      <c r="H228" s="67"/>
      <c r="I228" s="67"/>
      <c r="J228" s="2"/>
      <c r="K228" s="2"/>
      <c r="L228" s="2"/>
      <c r="M228" s="137"/>
      <c r="N228" s="2"/>
    </row>
    <row r="229" spans="3:14" x14ac:dyDescent="0.25">
      <c r="C229" s="2"/>
      <c r="D229" s="134"/>
      <c r="E229" s="2"/>
      <c r="F229" s="2"/>
      <c r="G229" s="67"/>
      <c r="H229" s="67"/>
      <c r="I229" s="67"/>
      <c r="J229" s="2"/>
      <c r="K229" s="2"/>
      <c r="L229" s="2"/>
      <c r="M229" s="137"/>
      <c r="N229" s="2"/>
    </row>
    <row r="230" spans="3:14" x14ac:dyDescent="0.25">
      <c r="C230" s="2"/>
      <c r="D230" s="134"/>
      <c r="E230" s="2"/>
      <c r="F230" s="2"/>
      <c r="G230" s="67"/>
      <c r="H230" s="67"/>
      <c r="I230" s="67"/>
      <c r="J230" s="2"/>
      <c r="K230" s="2"/>
      <c r="L230" s="2"/>
      <c r="M230" s="137"/>
      <c r="N230" s="2"/>
    </row>
    <row r="231" spans="3:14" x14ac:dyDescent="0.25">
      <c r="C231" s="2"/>
      <c r="D231" s="134"/>
      <c r="E231" s="2"/>
      <c r="F231" s="2"/>
      <c r="G231" s="67"/>
      <c r="H231" s="67"/>
      <c r="I231" s="67"/>
      <c r="J231" s="2"/>
      <c r="K231" s="2"/>
      <c r="L231" s="2"/>
      <c r="M231" s="137"/>
      <c r="N231" s="2"/>
    </row>
    <row r="232" spans="3:14" x14ac:dyDescent="0.25">
      <c r="C232" s="2"/>
      <c r="D232" s="134"/>
      <c r="E232" s="2"/>
      <c r="F232" s="2"/>
      <c r="G232" s="67"/>
      <c r="H232" s="67"/>
      <c r="I232" s="67"/>
      <c r="J232" s="2"/>
      <c r="K232" s="2"/>
      <c r="L232" s="2"/>
      <c r="M232" s="137"/>
      <c r="N232" s="2"/>
    </row>
    <row r="233" spans="3:14" x14ac:dyDescent="0.25">
      <c r="C233" s="2"/>
      <c r="D233" s="134"/>
      <c r="E233" s="2"/>
      <c r="F233" s="2"/>
      <c r="G233" s="67"/>
      <c r="H233" s="67"/>
      <c r="I233" s="67"/>
      <c r="J233" s="2"/>
      <c r="K233" s="2"/>
      <c r="L233" s="2"/>
      <c r="M233" s="137"/>
      <c r="N233" s="2"/>
    </row>
    <row r="234" spans="3:14" x14ac:dyDescent="0.25">
      <c r="C234" s="2"/>
      <c r="D234" s="134"/>
      <c r="E234" s="2"/>
      <c r="F234" s="2"/>
      <c r="G234" s="67"/>
      <c r="H234" s="67"/>
      <c r="I234" s="67"/>
      <c r="J234" s="2"/>
      <c r="K234" s="2"/>
      <c r="L234" s="2"/>
      <c r="M234" s="137"/>
      <c r="N234" s="2"/>
    </row>
    <row r="235" spans="3:14" x14ac:dyDescent="0.25">
      <c r="C235" s="2"/>
      <c r="D235" s="134"/>
      <c r="E235" s="2"/>
      <c r="F235" s="2"/>
      <c r="G235" s="67"/>
      <c r="H235" s="67"/>
      <c r="I235" s="67"/>
      <c r="J235" s="2"/>
      <c r="K235" s="2"/>
      <c r="L235" s="2"/>
      <c r="M235" s="137"/>
      <c r="N235" s="2"/>
    </row>
    <row r="236" spans="3:14" x14ac:dyDescent="0.25">
      <c r="C236" s="2"/>
      <c r="D236" s="134"/>
      <c r="E236" s="2"/>
      <c r="F236" s="2"/>
      <c r="G236" s="67"/>
      <c r="H236" s="67"/>
      <c r="I236" s="67"/>
      <c r="J236" s="2"/>
      <c r="K236" s="2"/>
      <c r="L236" s="2"/>
      <c r="M236" s="137"/>
      <c r="N236" s="2"/>
    </row>
    <row r="237" spans="3:14" x14ac:dyDescent="0.25">
      <c r="C237" s="2"/>
      <c r="D237" s="134"/>
      <c r="E237" s="2"/>
      <c r="F237" s="2"/>
      <c r="G237" s="67"/>
      <c r="H237" s="67"/>
      <c r="I237" s="67"/>
      <c r="J237" s="2"/>
      <c r="K237" s="2"/>
      <c r="L237" s="2"/>
      <c r="M237" s="137"/>
      <c r="N237" s="2"/>
    </row>
    <row r="238" spans="3:14" x14ac:dyDescent="0.25">
      <c r="C238" s="2"/>
      <c r="D238" s="134"/>
      <c r="E238" s="2"/>
      <c r="F238" s="2"/>
      <c r="G238" s="67"/>
      <c r="H238" s="67"/>
      <c r="I238" s="67"/>
      <c r="J238" s="2"/>
      <c r="K238" s="2"/>
      <c r="L238" s="2"/>
      <c r="M238" s="137"/>
      <c r="N238" s="2"/>
    </row>
    <row r="239" spans="3:14" x14ac:dyDescent="0.25">
      <c r="C239" s="2"/>
      <c r="D239" s="134"/>
      <c r="E239" s="2"/>
      <c r="F239" s="2"/>
      <c r="G239" s="67"/>
      <c r="H239" s="67"/>
      <c r="I239" s="67"/>
      <c r="J239" s="2"/>
      <c r="K239" s="2"/>
      <c r="L239" s="2"/>
      <c r="M239" s="137"/>
      <c r="N239" s="2"/>
    </row>
    <row r="240" spans="3:14" x14ac:dyDescent="0.25">
      <c r="C240" s="2"/>
      <c r="D240" s="134"/>
      <c r="E240" s="2"/>
      <c r="F240" s="2"/>
      <c r="G240" s="67"/>
      <c r="H240" s="67"/>
      <c r="I240" s="67"/>
      <c r="J240" s="2"/>
      <c r="K240" s="2"/>
      <c r="L240" s="2"/>
      <c r="M240" s="137"/>
      <c r="N240" s="2"/>
    </row>
    <row r="241" spans="3:14" x14ac:dyDescent="0.25">
      <c r="C241" s="2"/>
      <c r="D241" s="134"/>
      <c r="E241" s="2"/>
      <c r="F241" s="2"/>
      <c r="G241" s="67"/>
      <c r="H241" s="67"/>
      <c r="I241" s="67"/>
      <c r="J241" s="2"/>
      <c r="K241" s="2"/>
      <c r="L241" s="2"/>
      <c r="M241" s="137"/>
      <c r="N241" s="2"/>
    </row>
    <row r="242" spans="3:14" x14ac:dyDescent="0.25">
      <c r="C242" s="2"/>
      <c r="D242" s="134"/>
      <c r="E242" s="2"/>
      <c r="F242" s="2"/>
      <c r="G242" s="67"/>
      <c r="H242" s="67"/>
      <c r="I242" s="67"/>
      <c r="J242" s="2"/>
      <c r="K242" s="2"/>
      <c r="L242" s="2"/>
      <c r="M242" s="137"/>
      <c r="N242" s="2"/>
    </row>
    <row r="243" spans="3:14" x14ac:dyDescent="0.25">
      <c r="C243" s="2"/>
      <c r="D243" s="134"/>
      <c r="E243" s="2"/>
      <c r="F243" s="2"/>
      <c r="G243" s="67"/>
      <c r="H243" s="67"/>
      <c r="I243" s="67"/>
      <c r="J243" s="2"/>
      <c r="K243" s="2"/>
      <c r="L243" s="2"/>
      <c r="M243" s="137"/>
      <c r="N243" s="2"/>
    </row>
    <row r="244" spans="3:14" x14ac:dyDescent="0.25">
      <c r="C244" s="2"/>
      <c r="D244" s="134"/>
      <c r="E244" s="2"/>
      <c r="F244" s="2"/>
      <c r="G244" s="67"/>
      <c r="H244" s="67"/>
      <c r="I244" s="67"/>
      <c r="J244" s="2"/>
      <c r="K244" s="2"/>
      <c r="L244" s="2"/>
      <c r="M244" s="137"/>
      <c r="N244" s="2"/>
    </row>
    <row r="245" spans="3:14" x14ac:dyDescent="0.25">
      <c r="C245" s="2"/>
      <c r="D245" s="134"/>
      <c r="E245" s="2"/>
      <c r="F245" s="2"/>
      <c r="G245" s="67"/>
      <c r="H245" s="67"/>
      <c r="I245" s="67"/>
      <c r="J245" s="2"/>
      <c r="K245" s="2"/>
      <c r="L245" s="2"/>
      <c r="M245" s="137"/>
      <c r="N245" s="2"/>
    </row>
    <row r="246" spans="3:14" x14ac:dyDescent="0.25">
      <c r="C246" s="2"/>
      <c r="D246" s="134"/>
      <c r="E246" s="2"/>
      <c r="F246" s="2"/>
      <c r="G246" s="67"/>
      <c r="H246" s="67"/>
      <c r="I246" s="67"/>
      <c r="J246" s="2"/>
      <c r="K246" s="2"/>
      <c r="L246" s="2"/>
      <c r="M246" s="137"/>
      <c r="N246" s="2"/>
    </row>
    <row r="247" spans="3:14" x14ac:dyDescent="0.25">
      <c r="C247" s="2"/>
      <c r="D247" s="134"/>
      <c r="E247" s="2"/>
      <c r="F247" s="2"/>
      <c r="G247" s="67"/>
      <c r="H247" s="67"/>
      <c r="I247" s="67"/>
      <c r="J247" s="2"/>
      <c r="K247" s="2"/>
      <c r="L247" s="2"/>
      <c r="M247" s="137"/>
      <c r="N247" s="2"/>
    </row>
    <row r="248" spans="3:14" x14ac:dyDescent="0.25">
      <c r="C248" s="2"/>
      <c r="D248" s="134"/>
      <c r="E248" s="2"/>
      <c r="F248" s="2"/>
      <c r="G248" s="67"/>
      <c r="H248" s="67"/>
      <c r="I248" s="67"/>
      <c r="J248" s="2"/>
      <c r="K248" s="2"/>
      <c r="L248" s="2"/>
      <c r="M248" s="137"/>
      <c r="N248" s="2"/>
    </row>
    <row r="249" spans="3:14" x14ac:dyDescent="0.25">
      <c r="C249" s="2"/>
      <c r="D249" s="134"/>
      <c r="E249" s="2"/>
      <c r="F249" s="2"/>
      <c r="G249" s="67"/>
      <c r="H249" s="67"/>
      <c r="I249" s="67"/>
      <c r="J249" s="2"/>
      <c r="K249" s="2"/>
      <c r="L249" s="2"/>
      <c r="M249" s="137"/>
      <c r="N249" s="2"/>
    </row>
    <row r="250" spans="3:14" x14ac:dyDescent="0.25">
      <c r="C250" s="2"/>
      <c r="D250" s="134"/>
      <c r="E250" s="2"/>
      <c r="F250" s="2"/>
      <c r="G250" s="67"/>
      <c r="H250" s="67"/>
      <c r="I250" s="67"/>
      <c r="J250" s="2"/>
      <c r="K250" s="2"/>
      <c r="L250" s="2"/>
      <c r="M250" s="137"/>
      <c r="N250" s="2"/>
    </row>
    <row r="251" spans="3:14" x14ac:dyDescent="0.25">
      <c r="C251" s="2"/>
      <c r="D251" s="134"/>
      <c r="E251" s="2"/>
      <c r="F251" s="2"/>
      <c r="G251" s="67"/>
      <c r="H251" s="67"/>
      <c r="I251" s="67"/>
      <c r="J251" s="2"/>
      <c r="K251" s="2"/>
      <c r="L251" s="2"/>
      <c r="M251" s="137"/>
      <c r="N251" s="2"/>
    </row>
    <row r="252" spans="3:14" x14ac:dyDescent="0.25">
      <c r="C252" s="2"/>
      <c r="D252" s="134"/>
      <c r="E252" s="2"/>
      <c r="F252" s="2"/>
      <c r="G252" s="67"/>
      <c r="H252" s="67"/>
      <c r="I252" s="67"/>
      <c r="J252" s="2"/>
      <c r="K252" s="2"/>
      <c r="L252" s="2"/>
      <c r="M252" s="137"/>
      <c r="N252" s="2"/>
    </row>
    <row r="253" spans="3:14" x14ac:dyDescent="0.25">
      <c r="C253" s="2"/>
      <c r="D253" s="134"/>
      <c r="E253" s="2"/>
      <c r="F253" s="2"/>
      <c r="G253" s="67"/>
      <c r="H253" s="67"/>
      <c r="I253" s="67"/>
      <c r="J253" s="2"/>
      <c r="K253" s="2"/>
      <c r="L253" s="2"/>
      <c r="M253" s="137"/>
      <c r="N253" s="2"/>
    </row>
    <row r="254" spans="3:14" x14ac:dyDescent="0.25">
      <c r="C254" s="2"/>
      <c r="D254" s="134"/>
      <c r="E254" s="2"/>
      <c r="F254" s="2"/>
      <c r="G254" s="67"/>
      <c r="H254" s="67"/>
      <c r="I254" s="67"/>
      <c r="J254" s="2"/>
      <c r="K254" s="2"/>
      <c r="L254" s="2"/>
      <c r="M254" s="137"/>
      <c r="N254" s="2"/>
    </row>
    <row r="255" spans="3:14" x14ac:dyDescent="0.25">
      <c r="C255" s="2"/>
      <c r="D255" s="134"/>
      <c r="E255" s="2"/>
      <c r="F255" s="2"/>
      <c r="G255" s="67"/>
      <c r="H255" s="67"/>
      <c r="I255" s="67"/>
      <c r="J255" s="2"/>
      <c r="K255" s="2"/>
      <c r="L255" s="2"/>
      <c r="M255" s="137"/>
      <c r="N255" s="2"/>
    </row>
    <row r="256" spans="3:14" x14ac:dyDescent="0.25">
      <c r="C256" s="2"/>
      <c r="D256" s="134"/>
      <c r="E256" s="2"/>
      <c r="F256" s="2"/>
      <c r="G256" s="67"/>
      <c r="H256" s="67"/>
      <c r="I256" s="67"/>
      <c r="J256" s="2"/>
      <c r="K256" s="2"/>
      <c r="L256" s="2"/>
      <c r="M256" s="137"/>
      <c r="N256" s="2"/>
    </row>
    <row r="257" spans="3:14" x14ac:dyDescent="0.25">
      <c r="C257" s="2"/>
      <c r="D257" s="134"/>
      <c r="E257" s="2"/>
      <c r="F257" s="2"/>
      <c r="G257" s="67"/>
      <c r="H257" s="67"/>
      <c r="I257" s="67"/>
      <c r="J257" s="2"/>
      <c r="K257" s="2"/>
      <c r="L257" s="2"/>
      <c r="M257" s="137"/>
      <c r="N257" s="2"/>
    </row>
    <row r="258" spans="3:14" x14ac:dyDescent="0.25">
      <c r="C258" s="2"/>
      <c r="D258" s="134"/>
      <c r="E258" s="2"/>
      <c r="F258" s="2"/>
      <c r="G258" s="67"/>
      <c r="H258" s="67"/>
      <c r="I258" s="67"/>
      <c r="J258" s="2"/>
      <c r="K258" s="2"/>
      <c r="L258" s="2"/>
      <c r="M258" s="137"/>
      <c r="N258" s="2"/>
    </row>
    <row r="259" spans="3:14" x14ac:dyDescent="0.25">
      <c r="C259" s="2"/>
      <c r="D259" s="134"/>
      <c r="E259" s="2"/>
      <c r="F259" s="2"/>
      <c r="G259" s="67"/>
      <c r="H259" s="67"/>
      <c r="I259" s="67"/>
      <c r="J259" s="2"/>
      <c r="K259" s="2"/>
      <c r="L259" s="2"/>
      <c r="M259" s="137"/>
      <c r="N259" s="2"/>
    </row>
    <row r="260" spans="3:14" x14ac:dyDescent="0.25">
      <c r="C260" s="2"/>
      <c r="D260" s="134"/>
      <c r="E260" s="2"/>
      <c r="F260" s="2"/>
      <c r="G260" s="67"/>
      <c r="H260" s="67"/>
      <c r="I260" s="67"/>
      <c r="J260" s="2"/>
      <c r="K260" s="2"/>
      <c r="L260" s="2"/>
      <c r="M260" s="137"/>
      <c r="N260" s="2"/>
    </row>
    <row r="261" spans="3:14" x14ac:dyDescent="0.25">
      <c r="C261" s="2"/>
      <c r="D261" s="134"/>
      <c r="E261" s="2"/>
      <c r="F261" s="2"/>
      <c r="G261" s="67"/>
      <c r="H261" s="67"/>
      <c r="I261" s="67"/>
      <c r="J261" s="2"/>
      <c r="K261" s="2"/>
      <c r="L261" s="2"/>
      <c r="M261" s="137"/>
      <c r="N261" s="2"/>
    </row>
    <row r="262" spans="3:14" x14ac:dyDescent="0.25">
      <c r="C262" s="2"/>
      <c r="D262" s="134"/>
      <c r="E262" s="2"/>
      <c r="F262" s="2"/>
      <c r="G262" s="67"/>
      <c r="H262" s="67"/>
      <c r="I262" s="67"/>
      <c r="J262" s="2"/>
      <c r="K262" s="2"/>
      <c r="L262" s="2"/>
      <c r="M262" s="137"/>
      <c r="N262" s="2"/>
    </row>
    <row r="263" spans="3:14" x14ac:dyDescent="0.25">
      <c r="C263" s="2"/>
      <c r="D263" s="134"/>
      <c r="E263" s="2"/>
      <c r="F263" s="2"/>
      <c r="G263" s="67"/>
      <c r="H263" s="67"/>
      <c r="I263" s="67"/>
      <c r="J263" s="2"/>
      <c r="K263" s="2"/>
      <c r="L263" s="2"/>
      <c r="M263" s="137"/>
      <c r="N263" s="2"/>
    </row>
    <row r="264" spans="3:14" x14ac:dyDescent="0.25">
      <c r="C264" s="2"/>
      <c r="D264" s="134"/>
      <c r="E264" s="2"/>
      <c r="F264" s="2"/>
      <c r="G264" s="67"/>
      <c r="H264" s="67"/>
      <c r="I264" s="67"/>
      <c r="J264" s="2"/>
      <c r="K264" s="2"/>
      <c r="L264" s="2"/>
      <c r="M264" s="137"/>
      <c r="N264" s="2"/>
    </row>
    <row r="265" spans="3:14" x14ac:dyDescent="0.25">
      <c r="C265" s="2"/>
      <c r="D265" s="134"/>
      <c r="E265" s="2"/>
      <c r="F265" s="2"/>
      <c r="G265" s="67"/>
      <c r="H265" s="67"/>
      <c r="I265" s="67"/>
      <c r="J265" s="2"/>
      <c r="K265" s="2"/>
      <c r="L265" s="2"/>
      <c r="M265" s="137"/>
      <c r="N265" s="2"/>
    </row>
    <row r="266" spans="3:14" x14ac:dyDescent="0.25">
      <c r="C266" s="2"/>
      <c r="D266" s="134"/>
      <c r="E266" s="2"/>
      <c r="F266" s="2"/>
      <c r="G266" s="67"/>
      <c r="H266" s="67"/>
      <c r="I266" s="67"/>
      <c r="J266" s="2"/>
      <c r="K266" s="2"/>
      <c r="L266" s="2"/>
      <c r="M266" s="137"/>
      <c r="N266" s="2"/>
    </row>
    <row r="267" spans="3:14" x14ac:dyDescent="0.25">
      <c r="C267" s="2"/>
      <c r="D267" s="134"/>
      <c r="E267" s="2"/>
      <c r="F267" s="2"/>
      <c r="G267" s="67"/>
      <c r="H267" s="67"/>
      <c r="I267" s="67"/>
      <c r="J267" s="2"/>
      <c r="K267" s="2"/>
      <c r="L267" s="2"/>
      <c r="M267" s="137"/>
      <c r="N267" s="2"/>
    </row>
    <row r="268" spans="3:14" x14ac:dyDescent="0.25">
      <c r="C268" s="2"/>
      <c r="D268" s="134"/>
      <c r="E268" s="2"/>
      <c r="F268" s="2"/>
      <c r="G268" s="67"/>
      <c r="H268" s="67"/>
      <c r="I268" s="67"/>
      <c r="J268" s="2"/>
      <c r="K268" s="2"/>
      <c r="L268" s="2"/>
      <c r="M268" s="137"/>
      <c r="N268" s="2"/>
    </row>
    <row r="269" spans="3:14" x14ac:dyDescent="0.25">
      <c r="C269" s="2"/>
      <c r="D269" s="134"/>
      <c r="E269" s="2"/>
      <c r="F269" s="2"/>
      <c r="G269" s="67"/>
      <c r="H269" s="67"/>
      <c r="I269" s="67"/>
      <c r="J269" s="2"/>
      <c r="K269" s="2"/>
      <c r="L269" s="2"/>
      <c r="M269" s="137"/>
      <c r="N269" s="2"/>
    </row>
    <row r="270" spans="3:14" x14ac:dyDescent="0.25">
      <c r="C270" s="2"/>
      <c r="D270" s="134"/>
      <c r="E270" s="2"/>
      <c r="F270" s="2"/>
      <c r="G270" s="67"/>
      <c r="H270" s="67"/>
      <c r="I270" s="67"/>
      <c r="J270" s="2"/>
      <c r="K270" s="2"/>
      <c r="L270" s="2"/>
      <c r="M270" s="137"/>
      <c r="N270" s="2"/>
    </row>
    <row r="271" spans="3:14" x14ac:dyDescent="0.25">
      <c r="C271" s="2"/>
      <c r="D271" s="134"/>
      <c r="E271" s="2"/>
      <c r="F271" s="2"/>
      <c r="G271" s="67"/>
      <c r="H271" s="67"/>
      <c r="I271" s="67"/>
      <c r="J271" s="2"/>
      <c r="K271" s="2"/>
      <c r="L271" s="2"/>
      <c r="M271" s="137"/>
      <c r="N271" s="2"/>
    </row>
    <row r="272" spans="3:14" x14ac:dyDescent="0.25">
      <c r="C272" s="2"/>
      <c r="D272" s="134"/>
      <c r="E272" s="2"/>
      <c r="F272" s="2"/>
      <c r="G272" s="67"/>
      <c r="H272" s="67"/>
      <c r="I272" s="67"/>
      <c r="J272" s="2"/>
      <c r="K272" s="67"/>
      <c r="L272" s="2"/>
      <c r="M272" s="137"/>
      <c r="N272" s="2"/>
    </row>
    <row r="273" spans="3:14" x14ac:dyDescent="0.25">
      <c r="C273" s="2"/>
      <c r="D273" s="134"/>
      <c r="E273" s="2"/>
      <c r="F273" s="2"/>
      <c r="G273" s="67"/>
      <c r="H273" s="67"/>
      <c r="I273" s="67"/>
      <c r="J273" s="2"/>
      <c r="K273" s="67"/>
      <c r="L273" s="2"/>
      <c r="M273" s="137"/>
      <c r="N273" s="2"/>
    </row>
    <row r="274" spans="3:14" x14ac:dyDescent="0.25">
      <c r="C274" s="2"/>
      <c r="D274" s="134"/>
      <c r="E274" s="2"/>
      <c r="F274" s="2"/>
      <c r="G274" s="67"/>
      <c r="H274" s="67"/>
      <c r="I274" s="67"/>
      <c r="J274" s="2"/>
      <c r="K274" s="67"/>
      <c r="L274" s="2"/>
      <c r="M274" s="137"/>
      <c r="N274" s="2"/>
    </row>
    <row r="275" spans="3:14" x14ac:dyDescent="0.25">
      <c r="C275" s="2"/>
      <c r="D275" s="134"/>
      <c r="E275" s="2"/>
      <c r="F275" s="2"/>
      <c r="G275" s="67"/>
      <c r="H275" s="67"/>
      <c r="I275" s="67"/>
      <c r="J275" s="2"/>
      <c r="K275" s="67"/>
      <c r="L275" s="2"/>
      <c r="M275" s="137"/>
      <c r="N275" s="2"/>
    </row>
    <row r="276" spans="3:14" x14ac:dyDescent="0.25">
      <c r="C276" s="2"/>
      <c r="D276" s="134"/>
      <c r="E276" s="2"/>
      <c r="F276" s="2"/>
      <c r="G276" s="67"/>
      <c r="H276" s="67"/>
      <c r="I276" s="67"/>
      <c r="J276" s="2"/>
      <c r="K276" s="67"/>
      <c r="L276" s="2"/>
      <c r="M276" s="137"/>
      <c r="N276" s="2"/>
    </row>
    <row r="277" spans="3:14" x14ac:dyDescent="0.25">
      <c r="C277" s="2"/>
      <c r="D277" s="134"/>
      <c r="E277" s="2"/>
      <c r="F277" s="2"/>
      <c r="G277" s="67"/>
      <c r="H277" s="67"/>
      <c r="I277" s="67"/>
      <c r="J277" s="2"/>
      <c r="K277" s="67"/>
      <c r="L277" s="2"/>
      <c r="M277" s="137"/>
      <c r="N277" s="2"/>
    </row>
    <row r="278" spans="3:14" x14ac:dyDescent="0.25">
      <c r="C278" s="2"/>
      <c r="D278" s="134"/>
      <c r="E278" s="2"/>
      <c r="F278" s="2"/>
      <c r="G278" s="67"/>
      <c r="H278" s="67"/>
      <c r="I278" s="67"/>
      <c r="J278" s="2"/>
      <c r="K278" s="67"/>
      <c r="L278" s="2"/>
      <c r="M278" s="137"/>
      <c r="N278" s="2"/>
    </row>
    <row r="279" spans="3:14" x14ac:dyDescent="0.25">
      <c r="C279" s="2"/>
      <c r="D279" s="134"/>
      <c r="E279" s="2"/>
      <c r="F279" s="2"/>
      <c r="G279" s="67"/>
      <c r="H279" s="67"/>
      <c r="I279" s="67"/>
      <c r="J279" s="2"/>
      <c r="K279" s="67"/>
      <c r="L279" s="2"/>
      <c r="M279" s="137"/>
      <c r="N279" s="2"/>
    </row>
    <row r="280" spans="3:14" x14ac:dyDescent="0.25">
      <c r="C280" s="2"/>
      <c r="D280" s="134"/>
      <c r="E280" s="2"/>
      <c r="F280" s="2"/>
      <c r="G280" s="67"/>
      <c r="H280" s="67"/>
      <c r="I280" s="67"/>
      <c r="J280" s="2"/>
      <c r="K280" s="67"/>
      <c r="L280" s="2"/>
      <c r="M280" s="137"/>
      <c r="N280" s="2"/>
    </row>
    <row r="281" spans="3:14" x14ac:dyDescent="0.25">
      <c r="C281" s="2"/>
      <c r="D281" s="134"/>
      <c r="E281" s="2"/>
      <c r="F281" s="2"/>
      <c r="G281" s="67"/>
      <c r="H281" s="67"/>
      <c r="I281" s="67"/>
      <c r="J281" s="2"/>
      <c r="K281" s="67"/>
      <c r="L281" s="2"/>
      <c r="M281" s="137"/>
      <c r="N281" s="2"/>
    </row>
    <row r="282" spans="3:14" x14ac:dyDescent="0.25">
      <c r="C282" s="2"/>
      <c r="D282" s="134"/>
      <c r="E282" s="2"/>
      <c r="F282" s="2"/>
      <c r="G282" s="67"/>
      <c r="H282" s="67"/>
      <c r="I282" s="67"/>
      <c r="J282" s="2"/>
      <c r="K282" s="67"/>
      <c r="N282" s="2"/>
    </row>
    <row r="283" spans="3:14" x14ac:dyDescent="0.25">
      <c r="C283" s="2"/>
      <c r="D283" s="134"/>
      <c r="E283" s="2"/>
      <c r="F283" s="2"/>
      <c r="G283" s="67"/>
      <c r="H283" s="67"/>
      <c r="I283" s="67"/>
      <c r="J283" s="2"/>
    </row>
    <row r="284" spans="3:14" x14ac:dyDescent="0.25">
      <c r="C284" s="2"/>
      <c r="D284" s="134"/>
      <c r="E284" s="2"/>
      <c r="F284" s="2"/>
      <c r="G284" s="67"/>
      <c r="H284" s="67"/>
      <c r="I284" s="67"/>
      <c r="J284" s="2"/>
    </row>
    <row r="285" spans="3:14" x14ac:dyDescent="0.25">
      <c r="C285" s="2"/>
      <c r="D285" s="134"/>
      <c r="E285" s="2"/>
      <c r="F285" s="2"/>
      <c r="G285" s="67"/>
      <c r="H285" s="67"/>
      <c r="I285" s="67"/>
      <c r="J285" s="2"/>
    </row>
    <row r="286" spans="3:14" x14ac:dyDescent="0.25">
      <c r="C286" s="2"/>
      <c r="D286" s="134"/>
      <c r="E286" s="2"/>
      <c r="F286" s="2"/>
      <c r="G286" s="67"/>
      <c r="H286" s="67"/>
      <c r="I286" s="67"/>
      <c r="J286" s="2"/>
    </row>
    <row r="287" spans="3:14" x14ac:dyDescent="0.25">
      <c r="C287" s="2"/>
      <c r="D287" s="134"/>
      <c r="E287" s="2"/>
      <c r="F287" s="2"/>
      <c r="G287" s="67"/>
      <c r="H287" s="67"/>
      <c r="I287" s="67"/>
      <c r="J287" s="2"/>
    </row>
    <row r="288" spans="3:14" x14ac:dyDescent="0.25">
      <c r="C288" s="2"/>
      <c r="D288" s="134"/>
      <c r="E288" s="2"/>
      <c r="F288" s="2"/>
      <c r="G288" s="67"/>
      <c r="H288" s="67"/>
      <c r="I288" s="67"/>
      <c r="J288" s="2"/>
    </row>
    <row r="289" spans="3:10" x14ac:dyDescent="0.25">
      <c r="C289" s="2"/>
      <c r="D289" s="134"/>
      <c r="E289" s="2"/>
      <c r="F289" s="2"/>
      <c r="G289" s="67"/>
      <c r="H289" s="67"/>
      <c r="I289" s="67"/>
      <c r="J289" s="2"/>
    </row>
    <row r="290" spans="3:10" x14ac:dyDescent="0.25">
      <c r="C290" s="2"/>
      <c r="D290" s="134"/>
      <c r="E290" s="2"/>
      <c r="F290" s="2"/>
      <c r="G290" s="67"/>
      <c r="H290" s="67"/>
      <c r="I290" s="67"/>
      <c r="J290" s="2"/>
    </row>
    <row r="291" spans="3:10" x14ac:dyDescent="0.25">
      <c r="C291" s="2"/>
      <c r="D291" s="134"/>
      <c r="E291" s="2"/>
      <c r="F291" s="2"/>
      <c r="G291" s="67"/>
      <c r="H291" s="67"/>
      <c r="I291" s="67"/>
      <c r="J291" s="2"/>
    </row>
    <row r="292" spans="3:10" x14ac:dyDescent="0.25">
      <c r="C292" s="2"/>
      <c r="D292" s="134"/>
      <c r="E292" s="2"/>
      <c r="F292" s="2"/>
      <c r="G292" s="67"/>
      <c r="H292" s="67"/>
      <c r="I292" s="67"/>
      <c r="J292" s="2"/>
    </row>
    <row r="293" spans="3:10" x14ac:dyDescent="0.25">
      <c r="C293" s="2"/>
      <c r="D293" s="134"/>
      <c r="E293" s="2"/>
      <c r="F293" s="2"/>
      <c r="G293" s="67"/>
      <c r="H293" s="67"/>
      <c r="I293" s="67"/>
      <c r="J293" s="2"/>
    </row>
    <row r="294" spans="3:10" x14ac:dyDescent="0.25">
      <c r="C294" s="2"/>
      <c r="D294" s="134"/>
      <c r="E294" s="2"/>
      <c r="F294" s="2"/>
      <c r="G294" s="67"/>
      <c r="H294" s="67"/>
      <c r="I294" s="67"/>
      <c r="J294" s="2"/>
    </row>
    <row r="295" spans="3:10" x14ac:dyDescent="0.25">
      <c r="C295" s="2"/>
      <c r="D295" s="134"/>
      <c r="E295" s="2"/>
      <c r="F295" s="2"/>
      <c r="G295" s="67"/>
      <c r="H295" s="67"/>
      <c r="I295" s="67"/>
      <c r="J295" s="2"/>
    </row>
    <row r="296" spans="3:10" x14ac:dyDescent="0.25">
      <c r="C296" s="2"/>
      <c r="D296" s="134"/>
      <c r="E296" s="2"/>
      <c r="F296" s="2"/>
      <c r="G296" s="67"/>
      <c r="H296" s="67"/>
      <c r="I296" s="67"/>
      <c r="J296" s="2"/>
    </row>
    <row r="297" spans="3:10" x14ac:dyDescent="0.25">
      <c r="C297" s="2"/>
      <c r="D297" s="134"/>
      <c r="E297" s="2"/>
      <c r="F297" s="2"/>
      <c r="G297" s="67"/>
      <c r="H297" s="67"/>
      <c r="I297" s="67"/>
      <c r="J297" s="2"/>
    </row>
    <row r="298" spans="3:10" x14ac:dyDescent="0.25">
      <c r="C298" s="2"/>
      <c r="D298" s="134"/>
      <c r="E298" s="2"/>
      <c r="F298" s="2"/>
      <c r="G298" s="67"/>
      <c r="H298" s="67"/>
      <c r="I298" s="67"/>
      <c r="J298" s="2"/>
    </row>
    <row r="299" spans="3:10" x14ac:dyDescent="0.25">
      <c r="C299" s="2"/>
      <c r="D299" s="134"/>
      <c r="E299" s="2"/>
      <c r="F299" s="2"/>
      <c r="G299" s="67"/>
      <c r="H299" s="67"/>
      <c r="I299" s="67"/>
      <c r="J299" s="2"/>
    </row>
    <row r="300" spans="3:10" x14ac:dyDescent="0.25">
      <c r="C300" s="2"/>
      <c r="D300" s="134"/>
      <c r="E300" s="2"/>
      <c r="F300" s="2"/>
      <c r="G300" s="67"/>
      <c r="H300" s="67"/>
      <c r="I300" s="67"/>
      <c r="J300" s="2"/>
    </row>
    <row r="301" spans="3:10" x14ac:dyDescent="0.25">
      <c r="C301" s="2"/>
      <c r="D301" s="134"/>
      <c r="E301" s="2"/>
      <c r="F301" s="2"/>
      <c r="G301" s="67"/>
      <c r="H301" s="67"/>
      <c r="I301" s="67"/>
      <c r="J301" s="2"/>
    </row>
    <row r="302" spans="3:10" x14ac:dyDescent="0.25">
      <c r="C302" s="2"/>
      <c r="D302" s="134"/>
      <c r="E302" s="2"/>
      <c r="F302" s="2"/>
      <c r="G302" s="67"/>
      <c r="H302" s="67"/>
      <c r="I302" s="67"/>
      <c r="J302" s="2"/>
    </row>
    <row r="303" spans="3:10" x14ac:dyDescent="0.25">
      <c r="C303" s="2"/>
      <c r="D303" s="134"/>
      <c r="E303" s="2"/>
      <c r="F303" s="2"/>
      <c r="G303" s="67"/>
      <c r="H303" s="67"/>
      <c r="I303" s="67"/>
      <c r="J303" s="2"/>
    </row>
    <row r="304" spans="3:10" x14ac:dyDescent="0.25">
      <c r="C304" s="2"/>
      <c r="D304" s="134"/>
      <c r="E304" s="2"/>
      <c r="F304" s="2"/>
      <c r="G304" s="67"/>
      <c r="H304" s="67"/>
      <c r="I304" s="67"/>
      <c r="J304" s="2"/>
    </row>
    <row r="305" spans="3:10" x14ac:dyDescent="0.25">
      <c r="C305" s="2"/>
      <c r="D305" s="134"/>
      <c r="E305" s="2"/>
      <c r="F305" s="2"/>
      <c r="G305" s="67"/>
      <c r="H305" s="67"/>
      <c r="I305" s="67"/>
      <c r="J305" s="2"/>
    </row>
    <row r="306" spans="3:10" x14ac:dyDescent="0.25">
      <c r="C306" s="2"/>
      <c r="D306" s="134"/>
      <c r="E306" s="2"/>
      <c r="F306" s="2"/>
      <c r="G306" s="67"/>
      <c r="H306" s="67"/>
      <c r="I306" s="67"/>
      <c r="J306" s="2"/>
    </row>
    <row r="307" spans="3:10" x14ac:dyDescent="0.25">
      <c r="C307" s="2"/>
      <c r="D307" s="134"/>
      <c r="E307" s="2"/>
      <c r="F307" s="2"/>
      <c r="G307" s="67"/>
      <c r="H307" s="67"/>
      <c r="I307" s="67"/>
      <c r="J307" s="2"/>
    </row>
    <row r="308" spans="3:10" x14ac:dyDescent="0.25">
      <c r="C308" s="2"/>
      <c r="D308" s="134"/>
      <c r="E308" s="2"/>
      <c r="F308" s="2"/>
      <c r="G308" s="67"/>
      <c r="H308" s="67"/>
      <c r="I308" s="67"/>
      <c r="J308" s="2"/>
    </row>
    <row r="309" spans="3:10" x14ac:dyDescent="0.25">
      <c r="C309" s="2"/>
      <c r="D309" s="134"/>
      <c r="E309" s="2"/>
      <c r="F309" s="2"/>
      <c r="G309" s="67"/>
      <c r="H309" s="67"/>
      <c r="I309" s="67"/>
      <c r="J309" s="2"/>
    </row>
    <row r="310" spans="3:10" x14ac:dyDescent="0.25">
      <c r="C310" s="2"/>
      <c r="D310" s="134"/>
      <c r="E310" s="2"/>
      <c r="F310" s="2"/>
      <c r="G310" s="67"/>
      <c r="H310" s="67"/>
      <c r="I310" s="67"/>
      <c r="J310" s="2"/>
    </row>
    <row r="311" spans="3:10" x14ac:dyDescent="0.25">
      <c r="C311" s="2"/>
      <c r="D311" s="134"/>
      <c r="E311" s="2"/>
      <c r="F311" s="2"/>
      <c r="G311" s="67"/>
      <c r="H311" s="67"/>
      <c r="I311" s="67"/>
      <c r="J311" s="2"/>
    </row>
    <row r="312" spans="3:10" x14ac:dyDescent="0.25">
      <c r="C312" s="2"/>
      <c r="D312" s="134"/>
      <c r="E312" s="2"/>
      <c r="F312" s="2"/>
      <c r="G312" s="67"/>
      <c r="H312" s="67"/>
      <c r="I312" s="67"/>
      <c r="J312" s="2"/>
    </row>
    <row r="313" spans="3:10" x14ac:dyDescent="0.25">
      <c r="C313" s="2"/>
      <c r="D313" s="134"/>
      <c r="E313" s="2"/>
      <c r="F313" s="2"/>
      <c r="G313" s="67"/>
      <c r="H313" s="67"/>
      <c r="I313" s="67"/>
      <c r="J313" s="2"/>
    </row>
    <row r="314" spans="3:10" x14ac:dyDescent="0.25">
      <c r="C314" s="2"/>
      <c r="D314" s="134"/>
      <c r="E314" s="2"/>
      <c r="F314" s="2"/>
      <c r="G314" s="67"/>
      <c r="H314" s="67"/>
      <c r="I314" s="67"/>
      <c r="J314" s="2"/>
    </row>
    <row r="315" spans="3:10" x14ac:dyDescent="0.25">
      <c r="C315" s="2"/>
      <c r="D315" s="134"/>
      <c r="E315" s="2"/>
      <c r="F315" s="2"/>
      <c r="G315" s="67"/>
      <c r="H315" s="67"/>
      <c r="I315" s="67"/>
      <c r="J315" s="2"/>
    </row>
    <row r="316" spans="3:10" x14ac:dyDescent="0.25">
      <c r="C316" s="2"/>
      <c r="D316" s="134"/>
      <c r="E316" s="2"/>
      <c r="F316" s="2"/>
      <c r="G316" s="67"/>
      <c r="H316" s="67"/>
      <c r="I316" s="67"/>
      <c r="J316" s="2"/>
    </row>
    <row r="317" spans="3:10" x14ac:dyDescent="0.25">
      <c r="C317" s="2"/>
      <c r="D317" s="134"/>
      <c r="E317" s="2"/>
      <c r="F317" s="2"/>
      <c r="G317" s="67"/>
      <c r="H317" s="67"/>
      <c r="I317" s="67"/>
      <c r="J317" s="2"/>
    </row>
    <row r="318" spans="3:10" x14ac:dyDescent="0.25">
      <c r="C318" s="2"/>
      <c r="D318" s="134"/>
      <c r="E318" s="2"/>
      <c r="F318" s="2"/>
      <c r="G318" s="67"/>
      <c r="H318" s="67"/>
      <c r="I318" s="67"/>
      <c r="J318" s="2"/>
    </row>
    <row r="319" spans="3:10" x14ac:dyDescent="0.25">
      <c r="C319" s="2"/>
      <c r="D319" s="134"/>
      <c r="E319" s="2"/>
      <c r="F319" s="2"/>
      <c r="G319" s="67"/>
      <c r="H319" s="67"/>
      <c r="I319" s="67"/>
      <c r="J319" s="2"/>
    </row>
    <row r="320" spans="3:10" x14ac:dyDescent="0.25">
      <c r="C320" s="2"/>
      <c r="D320" s="134"/>
      <c r="E320" s="2"/>
      <c r="F320" s="2"/>
      <c r="G320" s="67"/>
      <c r="H320" s="67"/>
      <c r="I320" s="67"/>
      <c r="J320" s="2"/>
    </row>
    <row r="321" spans="3:10" x14ac:dyDescent="0.25">
      <c r="C321" s="2"/>
      <c r="D321" s="134"/>
      <c r="E321" s="2"/>
      <c r="F321" s="2"/>
      <c r="G321" s="67"/>
      <c r="H321" s="67"/>
      <c r="I321" s="67"/>
      <c r="J321" s="2"/>
    </row>
    <row r="322" spans="3:10" x14ac:dyDescent="0.25">
      <c r="C322" s="2"/>
      <c r="D322" s="134"/>
      <c r="E322" s="2"/>
      <c r="F322" s="2"/>
      <c r="G322" s="67"/>
      <c r="H322" s="67"/>
      <c r="I322" s="67"/>
      <c r="J322" s="2"/>
    </row>
    <row r="323" spans="3:10" x14ac:dyDescent="0.25">
      <c r="C323" s="2"/>
      <c r="D323" s="134"/>
      <c r="E323" s="2"/>
      <c r="F323" s="2"/>
      <c r="G323" s="67"/>
      <c r="H323" s="67"/>
      <c r="I323" s="67"/>
      <c r="J323" s="2"/>
    </row>
    <row r="324" spans="3:10" x14ac:dyDescent="0.25">
      <c r="C324" s="2"/>
      <c r="D324" s="134"/>
      <c r="E324" s="2"/>
      <c r="F324" s="2"/>
      <c r="G324" s="67"/>
      <c r="H324" s="67"/>
      <c r="I324" s="67"/>
      <c r="J324" s="2"/>
    </row>
    <row r="325" spans="3:10" x14ac:dyDescent="0.25">
      <c r="C325" s="2"/>
      <c r="D325" s="134"/>
      <c r="E325" s="2"/>
      <c r="F325" s="2"/>
      <c r="G325" s="67"/>
      <c r="H325" s="67"/>
      <c r="I325" s="67"/>
      <c r="J325" s="2"/>
    </row>
    <row r="326" spans="3:10" x14ac:dyDescent="0.25">
      <c r="C326" s="2"/>
      <c r="D326" s="134"/>
      <c r="E326" s="2"/>
      <c r="F326" s="2"/>
      <c r="G326" s="67"/>
      <c r="H326" s="67"/>
      <c r="I326" s="67"/>
      <c r="J326" s="2"/>
    </row>
    <row r="327" spans="3:10" x14ac:dyDescent="0.25">
      <c r="C327" s="2"/>
      <c r="D327" s="134"/>
      <c r="E327" s="2"/>
      <c r="F327" s="2"/>
      <c r="G327" s="67"/>
      <c r="H327" s="67"/>
      <c r="I327" s="67"/>
      <c r="J327" s="2"/>
    </row>
    <row r="328" spans="3:10" x14ac:dyDescent="0.25">
      <c r="C328" s="2"/>
      <c r="D328" s="134"/>
      <c r="E328" s="2"/>
      <c r="F328" s="2"/>
      <c r="G328" s="67"/>
      <c r="H328" s="67"/>
      <c r="I328" s="67"/>
      <c r="J328" s="2"/>
    </row>
    <row r="329" spans="3:10" x14ac:dyDescent="0.25">
      <c r="C329" s="2"/>
      <c r="D329" s="134"/>
      <c r="E329" s="2"/>
      <c r="F329" s="2"/>
      <c r="G329" s="67"/>
      <c r="H329" s="67"/>
      <c r="I329" s="67"/>
      <c r="J329" s="2"/>
    </row>
    <row r="330" spans="3:10" x14ac:dyDescent="0.25">
      <c r="C330" s="2"/>
      <c r="D330" s="134"/>
      <c r="E330" s="2"/>
      <c r="F330" s="2"/>
      <c r="G330" s="67"/>
      <c r="H330" s="67"/>
      <c r="I330" s="67"/>
      <c r="J330" s="2"/>
    </row>
    <row r="331" spans="3:10" x14ac:dyDescent="0.25">
      <c r="C331" s="2"/>
      <c r="D331" s="134"/>
      <c r="E331" s="2"/>
      <c r="F331" s="2"/>
      <c r="G331" s="67"/>
      <c r="H331" s="67"/>
      <c r="I331" s="67"/>
      <c r="J331" s="2"/>
    </row>
    <row r="332" spans="3:10" x14ac:dyDescent="0.25">
      <c r="C332" s="2"/>
      <c r="D332" s="134"/>
      <c r="E332" s="2"/>
      <c r="F332" s="2"/>
      <c r="G332" s="67"/>
      <c r="H332" s="67"/>
      <c r="I332" s="67"/>
      <c r="J332" s="2"/>
    </row>
    <row r="333" spans="3:10" x14ac:dyDescent="0.25">
      <c r="C333" s="2"/>
      <c r="D333" s="134"/>
      <c r="E333" s="2"/>
      <c r="F333" s="2"/>
      <c r="G333" s="67"/>
      <c r="H333" s="67"/>
      <c r="I333" s="67"/>
      <c r="J333" s="2"/>
    </row>
    <row r="334" spans="3:10" x14ac:dyDescent="0.25">
      <c r="C334" s="2"/>
      <c r="D334" s="134"/>
      <c r="E334" s="2"/>
      <c r="F334" s="2"/>
      <c r="G334" s="67"/>
      <c r="H334" s="67"/>
      <c r="I334" s="67"/>
      <c r="J334" s="2"/>
    </row>
    <row r="335" spans="3:10" x14ac:dyDescent="0.25">
      <c r="C335" s="2"/>
      <c r="D335" s="134"/>
      <c r="E335" s="2"/>
      <c r="F335" s="2"/>
      <c r="G335" s="67"/>
      <c r="H335" s="67"/>
      <c r="I335" s="67"/>
      <c r="J335" s="2"/>
    </row>
    <row r="336" spans="3:10" x14ac:dyDescent="0.25">
      <c r="C336" s="2"/>
      <c r="D336" s="134"/>
      <c r="E336" s="2"/>
      <c r="F336" s="2"/>
      <c r="G336" s="67"/>
      <c r="H336" s="67"/>
      <c r="I336" s="67"/>
      <c r="J336" s="2"/>
    </row>
    <row r="337" spans="3:10" x14ac:dyDescent="0.25">
      <c r="C337" s="2"/>
      <c r="D337" s="134"/>
      <c r="E337" s="2"/>
      <c r="F337" s="2"/>
      <c r="G337" s="67"/>
      <c r="H337" s="67"/>
      <c r="I337" s="67"/>
      <c r="J337" s="2"/>
    </row>
    <row r="338" spans="3:10" x14ac:dyDescent="0.25">
      <c r="C338" s="2"/>
      <c r="D338" s="134"/>
      <c r="E338" s="2"/>
      <c r="F338" s="2"/>
      <c r="G338" s="67"/>
      <c r="H338" s="67"/>
      <c r="I338" s="67"/>
      <c r="J338" s="2"/>
    </row>
    <row r="339" spans="3:10" x14ac:dyDescent="0.25">
      <c r="C339" s="2"/>
      <c r="D339" s="134"/>
      <c r="E339" s="2"/>
      <c r="F339" s="2"/>
      <c r="G339" s="67"/>
      <c r="H339" s="67"/>
      <c r="I339" s="67"/>
      <c r="J339" s="2"/>
    </row>
    <row r="340" spans="3:10" x14ac:dyDescent="0.25">
      <c r="C340" s="2"/>
      <c r="D340" s="134"/>
      <c r="E340" s="2"/>
      <c r="F340" s="2"/>
      <c r="G340" s="67"/>
      <c r="H340" s="67"/>
      <c r="I340" s="67"/>
      <c r="J340" s="2"/>
    </row>
    <row r="341" spans="3:10" x14ac:dyDescent="0.25">
      <c r="C341" s="2"/>
      <c r="D341" s="134"/>
      <c r="E341" s="2"/>
      <c r="F341" s="2"/>
      <c r="G341" s="67"/>
      <c r="H341" s="67"/>
      <c r="I341" s="67"/>
      <c r="J341" s="2"/>
    </row>
    <row r="342" spans="3:10" x14ac:dyDescent="0.25">
      <c r="C342" s="2"/>
      <c r="D342" s="134"/>
      <c r="E342" s="2"/>
      <c r="F342" s="2"/>
      <c r="G342" s="67"/>
      <c r="H342" s="67"/>
      <c r="I342" s="67"/>
      <c r="J342" s="2"/>
    </row>
    <row r="343" spans="3:10" x14ac:dyDescent="0.25">
      <c r="C343" s="2"/>
      <c r="D343" s="134"/>
      <c r="E343" s="2"/>
      <c r="F343" s="2"/>
      <c r="G343" s="67"/>
      <c r="H343" s="67"/>
      <c r="I343" s="67"/>
      <c r="J343" s="2"/>
    </row>
    <row r="344" spans="3:10" x14ac:dyDescent="0.25">
      <c r="C344" s="2"/>
      <c r="D344" s="134"/>
      <c r="E344" s="2"/>
      <c r="F344" s="2"/>
      <c r="G344" s="67"/>
      <c r="H344" s="67"/>
      <c r="I344" s="67"/>
      <c r="J344" s="2"/>
    </row>
    <row r="345" spans="3:10" x14ac:dyDescent="0.25">
      <c r="C345" s="2"/>
      <c r="D345" s="134"/>
      <c r="E345" s="2"/>
      <c r="F345" s="2"/>
      <c r="G345" s="67"/>
      <c r="H345" s="67"/>
      <c r="I345" s="67"/>
      <c r="J345" s="2"/>
    </row>
    <row r="346" spans="3:10" x14ac:dyDescent="0.25">
      <c r="C346" s="2"/>
      <c r="D346" s="134"/>
      <c r="E346" s="2"/>
      <c r="F346" s="2"/>
      <c r="G346" s="67"/>
      <c r="H346" s="67"/>
      <c r="I346" s="67"/>
      <c r="J346" s="2"/>
    </row>
    <row r="347" spans="3:10" x14ac:dyDescent="0.25">
      <c r="C347" s="2"/>
      <c r="D347" s="134"/>
      <c r="E347" s="2"/>
      <c r="F347" s="2"/>
      <c r="G347" s="67"/>
      <c r="H347" s="67"/>
      <c r="I347" s="67"/>
      <c r="J347" s="2"/>
    </row>
    <row r="348" spans="3:10" x14ac:dyDescent="0.25">
      <c r="C348" s="2"/>
      <c r="D348" s="134"/>
      <c r="E348" s="2"/>
      <c r="F348" s="2"/>
      <c r="G348" s="67"/>
      <c r="H348" s="67"/>
      <c r="I348" s="67"/>
      <c r="J348" s="2"/>
    </row>
    <row r="349" spans="3:10" x14ac:dyDescent="0.25">
      <c r="C349" s="2"/>
      <c r="D349" s="134"/>
      <c r="E349" s="2"/>
      <c r="F349" s="2"/>
      <c r="G349" s="67"/>
      <c r="H349" s="67"/>
      <c r="I349" s="67"/>
      <c r="J349" s="2"/>
    </row>
    <row r="350" spans="3:10" x14ac:dyDescent="0.25">
      <c r="C350" s="2"/>
      <c r="D350" s="134"/>
      <c r="E350" s="2"/>
      <c r="F350" s="2"/>
      <c r="G350" s="67"/>
      <c r="H350" s="67"/>
      <c r="I350" s="67"/>
      <c r="J350" s="2"/>
    </row>
    <row r="351" spans="3:10" x14ac:dyDescent="0.25">
      <c r="C351" s="2"/>
      <c r="D351" s="134"/>
      <c r="E351" s="2"/>
      <c r="F351" s="2"/>
      <c r="G351" s="67"/>
      <c r="H351" s="67"/>
      <c r="I351" s="67"/>
      <c r="J351" s="2"/>
    </row>
    <row r="352" spans="3:10" x14ac:dyDescent="0.25">
      <c r="C352" s="2"/>
      <c r="D352" s="134"/>
      <c r="E352" s="2"/>
      <c r="F352" s="2"/>
      <c r="G352" s="67"/>
      <c r="H352" s="67"/>
      <c r="I352" s="67"/>
      <c r="J352" s="2"/>
    </row>
    <row r="353" spans="3:10" x14ac:dyDescent="0.25">
      <c r="C353" s="2"/>
      <c r="D353" s="134"/>
      <c r="E353" s="2"/>
      <c r="F353" s="2"/>
      <c r="G353" s="67"/>
      <c r="H353" s="67"/>
      <c r="I353" s="67"/>
      <c r="J353" s="2"/>
    </row>
    <row r="354" spans="3:10" x14ac:dyDescent="0.25">
      <c r="C354" s="2"/>
      <c r="D354" s="134"/>
      <c r="E354" s="2"/>
      <c r="F354" s="2"/>
      <c r="G354" s="67"/>
      <c r="H354" s="67"/>
      <c r="I354" s="67"/>
      <c r="J354" s="2"/>
    </row>
    <row r="355" spans="3:10" x14ac:dyDescent="0.25">
      <c r="C355" s="2"/>
      <c r="D355" s="134"/>
      <c r="E355" s="2"/>
      <c r="F355" s="2"/>
      <c r="G355" s="67"/>
      <c r="H355" s="67"/>
      <c r="I355" s="67"/>
      <c r="J355" s="2"/>
    </row>
    <row r="356" spans="3:10" x14ac:dyDescent="0.25">
      <c r="C356" s="2"/>
      <c r="D356" s="134"/>
      <c r="E356" s="2"/>
      <c r="F356" s="2"/>
      <c r="G356" s="67"/>
      <c r="H356" s="67"/>
      <c r="I356" s="67"/>
      <c r="J356" s="2"/>
    </row>
    <row r="357" spans="3:10" x14ac:dyDescent="0.25">
      <c r="C357" s="2"/>
      <c r="D357" s="134"/>
      <c r="E357" s="2"/>
      <c r="F357" s="2"/>
      <c r="G357" s="67"/>
      <c r="H357" s="67"/>
      <c r="I357" s="67"/>
      <c r="J357" s="2"/>
    </row>
    <row r="358" spans="3:10" x14ac:dyDescent="0.25">
      <c r="C358" s="2"/>
      <c r="D358" s="134"/>
      <c r="E358" s="2"/>
      <c r="F358" s="2"/>
      <c r="G358" s="67"/>
      <c r="H358" s="67"/>
      <c r="I358" s="67"/>
      <c r="J358" s="2"/>
    </row>
    <row r="359" spans="3:10" x14ac:dyDescent="0.25">
      <c r="C359" s="2"/>
      <c r="D359" s="134"/>
      <c r="E359" s="2"/>
      <c r="F359" s="2"/>
      <c r="G359" s="67"/>
      <c r="H359" s="67"/>
      <c r="I359" s="67"/>
      <c r="J359" s="2"/>
    </row>
    <row r="360" spans="3:10" x14ac:dyDescent="0.25">
      <c r="C360" s="2"/>
      <c r="D360" s="134"/>
      <c r="E360" s="2"/>
      <c r="F360" s="2"/>
      <c r="G360" s="67"/>
      <c r="H360" s="67"/>
      <c r="I360" s="67"/>
      <c r="J360" s="2"/>
    </row>
    <row r="361" spans="3:10" x14ac:dyDescent="0.25">
      <c r="C361" s="2"/>
      <c r="D361" s="134"/>
      <c r="E361" s="2"/>
      <c r="F361" s="2"/>
      <c r="G361" s="67"/>
      <c r="H361" s="67"/>
      <c r="I361" s="67"/>
      <c r="J361" s="2"/>
    </row>
    <row r="362" spans="3:10" x14ac:dyDescent="0.25">
      <c r="C362" s="2"/>
      <c r="D362" s="134"/>
      <c r="E362" s="2"/>
      <c r="F362" s="2"/>
      <c r="G362" s="67"/>
      <c r="H362" s="67"/>
      <c r="I362" s="67"/>
      <c r="J362" s="2"/>
    </row>
    <row r="363" spans="3:10" x14ac:dyDescent="0.25">
      <c r="C363" s="2"/>
      <c r="D363" s="134"/>
      <c r="E363" s="2"/>
      <c r="F363" s="2"/>
      <c r="G363" s="67"/>
      <c r="H363" s="67"/>
      <c r="I363" s="67"/>
      <c r="J363" s="2"/>
    </row>
    <row r="364" spans="3:10" x14ac:dyDescent="0.25">
      <c r="C364" s="2"/>
      <c r="D364" s="134"/>
      <c r="E364" s="2"/>
      <c r="F364" s="2"/>
      <c r="G364" s="67"/>
      <c r="H364" s="67"/>
      <c r="I364" s="67"/>
      <c r="J364" s="2"/>
    </row>
    <row r="365" spans="3:10" x14ac:dyDescent="0.25">
      <c r="C365" s="2"/>
      <c r="D365" s="134"/>
      <c r="E365" s="2"/>
      <c r="F365" s="2"/>
      <c r="G365" s="67"/>
      <c r="H365" s="67"/>
      <c r="I365" s="67"/>
      <c r="J365" s="2"/>
    </row>
    <row r="366" spans="3:10" x14ac:dyDescent="0.25">
      <c r="C366" s="2"/>
      <c r="D366" s="134"/>
      <c r="E366" s="2"/>
      <c r="F366" s="2"/>
      <c r="G366" s="67"/>
      <c r="H366" s="67"/>
      <c r="I366" s="67"/>
      <c r="J366" s="2"/>
    </row>
    <row r="367" spans="3:10" x14ac:dyDescent="0.25">
      <c r="C367" s="2"/>
      <c r="D367" s="134"/>
      <c r="E367" s="2"/>
      <c r="F367" s="2"/>
      <c r="G367" s="67"/>
      <c r="H367" s="67"/>
      <c r="I367" s="67"/>
      <c r="J367" s="2"/>
    </row>
    <row r="368" spans="3:10" x14ac:dyDescent="0.25">
      <c r="C368" s="2"/>
      <c r="D368" s="134"/>
      <c r="E368" s="2"/>
      <c r="F368" s="2"/>
      <c r="G368" s="67"/>
      <c r="H368" s="67"/>
      <c r="I368" s="67"/>
      <c r="J368" s="2"/>
    </row>
    <row r="369" spans="3:10" x14ac:dyDescent="0.25">
      <c r="C369" s="2"/>
      <c r="D369" s="134"/>
      <c r="E369" s="2"/>
      <c r="F369" s="2"/>
      <c r="G369" s="67"/>
      <c r="H369" s="67"/>
      <c r="I369" s="67"/>
      <c r="J369" s="2"/>
    </row>
    <row r="370" spans="3:10" x14ac:dyDescent="0.25">
      <c r="C370" s="2"/>
      <c r="D370" s="134"/>
      <c r="E370" s="2"/>
      <c r="F370" s="2"/>
      <c r="G370" s="67"/>
      <c r="H370" s="67"/>
      <c r="I370" s="67"/>
      <c r="J370" s="2"/>
    </row>
    <row r="371" spans="3:10" x14ac:dyDescent="0.25">
      <c r="C371" s="2"/>
      <c r="D371" s="134"/>
      <c r="E371" s="2"/>
      <c r="F371" s="2"/>
      <c r="G371" s="67"/>
      <c r="H371" s="67"/>
      <c r="I371" s="67"/>
      <c r="J371" s="2"/>
    </row>
    <row r="372" spans="3:10" x14ac:dyDescent="0.25">
      <c r="C372" s="2"/>
      <c r="D372" s="134"/>
      <c r="E372" s="2"/>
      <c r="F372" s="2"/>
      <c r="G372" s="67"/>
      <c r="H372" s="67"/>
      <c r="I372" s="67"/>
      <c r="J372" s="2"/>
    </row>
    <row r="373" spans="3:10" x14ac:dyDescent="0.25">
      <c r="C373" s="2"/>
      <c r="D373" s="134"/>
      <c r="E373" s="2"/>
      <c r="F373" s="2"/>
      <c r="G373" s="67"/>
      <c r="H373" s="67"/>
      <c r="I373" s="67"/>
      <c r="J373" s="2"/>
    </row>
    <row r="374" spans="3:10" x14ac:dyDescent="0.25">
      <c r="C374" s="2"/>
      <c r="D374" s="134"/>
      <c r="E374" s="2"/>
      <c r="F374" s="2"/>
      <c r="G374" s="67"/>
      <c r="H374" s="67"/>
      <c r="I374" s="67"/>
      <c r="J374" s="2"/>
    </row>
    <row r="375" spans="3:10" x14ac:dyDescent="0.25">
      <c r="C375" s="2"/>
      <c r="D375" s="134"/>
      <c r="E375" s="2"/>
      <c r="F375" s="2"/>
      <c r="G375" s="67"/>
      <c r="H375" s="67"/>
      <c r="I375" s="67"/>
      <c r="J375" s="2"/>
    </row>
    <row r="376" spans="3:10" x14ac:dyDescent="0.25">
      <c r="C376" s="2"/>
      <c r="D376" s="134"/>
      <c r="E376" s="2"/>
      <c r="F376" s="2"/>
      <c r="G376" s="67"/>
      <c r="H376" s="67"/>
      <c r="I376" s="67"/>
      <c r="J376" s="2"/>
    </row>
    <row r="377" spans="3:10" x14ac:dyDescent="0.25">
      <c r="C377" s="2"/>
      <c r="D377" s="134"/>
      <c r="E377" s="2"/>
      <c r="F377" s="2"/>
      <c r="G377" s="67"/>
      <c r="H377" s="67"/>
      <c r="I377" s="67"/>
      <c r="J377" s="2"/>
    </row>
    <row r="378" spans="3:10" x14ac:dyDescent="0.25">
      <c r="C378" s="2"/>
      <c r="D378" s="134"/>
      <c r="E378" s="2"/>
      <c r="F378" s="2"/>
      <c r="G378" s="67"/>
      <c r="H378" s="67"/>
      <c r="I378" s="67"/>
      <c r="J378" s="2"/>
    </row>
    <row r="379" spans="3:10" x14ac:dyDescent="0.25">
      <c r="C379" s="2"/>
      <c r="D379" s="134"/>
      <c r="E379" s="2"/>
      <c r="F379" s="2"/>
      <c r="G379" s="67"/>
      <c r="H379" s="67"/>
      <c r="I379" s="67"/>
      <c r="J379" s="2"/>
    </row>
    <row r="380" spans="3:10" x14ac:dyDescent="0.25">
      <c r="C380" s="2"/>
      <c r="D380" s="134"/>
      <c r="E380" s="2"/>
      <c r="F380" s="2"/>
      <c r="G380" s="67"/>
      <c r="H380" s="67"/>
      <c r="I380" s="67"/>
      <c r="J380" s="2"/>
    </row>
    <row r="381" spans="3:10" x14ac:dyDescent="0.25">
      <c r="C381" s="2"/>
      <c r="D381" s="134"/>
      <c r="E381" s="2"/>
      <c r="F381" s="2"/>
      <c r="G381" s="67"/>
      <c r="H381" s="67"/>
      <c r="I381" s="67"/>
      <c r="J381" s="2"/>
    </row>
    <row r="382" spans="3:10" x14ac:dyDescent="0.25">
      <c r="C382" s="2"/>
      <c r="D382" s="134"/>
      <c r="E382" s="2"/>
      <c r="F382" s="2"/>
      <c r="G382" s="67"/>
      <c r="H382" s="67"/>
      <c r="I382" s="67"/>
      <c r="J382" s="2"/>
    </row>
    <row r="383" spans="3:10" x14ac:dyDescent="0.25">
      <c r="C383" s="2"/>
      <c r="D383" s="134"/>
      <c r="E383" s="2"/>
      <c r="F383" s="2"/>
      <c r="G383" s="67"/>
      <c r="H383" s="67"/>
      <c r="I383" s="67"/>
      <c r="J383" s="2"/>
    </row>
    <row r="384" spans="3:10" x14ac:dyDescent="0.25">
      <c r="C384" s="2"/>
      <c r="D384" s="134"/>
      <c r="E384" s="2"/>
      <c r="F384" s="2"/>
      <c r="G384" s="67"/>
      <c r="H384" s="67"/>
      <c r="I384" s="67"/>
      <c r="J384" s="2"/>
    </row>
    <row r="385" spans="3:10" x14ac:dyDescent="0.25">
      <c r="C385" s="2"/>
      <c r="D385" s="134"/>
      <c r="E385" s="2"/>
      <c r="F385" s="2"/>
      <c r="G385" s="67"/>
      <c r="H385" s="67"/>
      <c r="I385" s="67"/>
      <c r="J385" s="2"/>
    </row>
    <row r="386" spans="3:10" x14ac:dyDescent="0.25">
      <c r="C386" s="2"/>
      <c r="D386" s="134"/>
      <c r="E386" s="2"/>
      <c r="F386" s="2"/>
      <c r="G386" s="67"/>
      <c r="H386" s="67"/>
      <c r="I386" s="67"/>
      <c r="J386" s="2"/>
    </row>
    <row r="387" spans="3:10" x14ac:dyDescent="0.25">
      <c r="C387" s="2"/>
      <c r="D387" s="134"/>
      <c r="E387" s="2"/>
      <c r="F387" s="2"/>
      <c r="G387" s="67"/>
      <c r="H387" s="67"/>
      <c r="I387" s="67"/>
      <c r="J387" s="2"/>
    </row>
    <row r="388" spans="3:10" x14ac:dyDescent="0.25">
      <c r="C388" s="2"/>
      <c r="D388" s="134"/>
      <c r="E388" s="2"/>
      <c r="F388" s="2"/>
      <c r="G388" s="67"/>
      <c r="H388" s="67"/>
      <c r="I388" s="67"/>
      <c r="J388" s="2"/>
    </row>
    <row r="389" spans="3:10" x14ac:dyDescent="0.25">
      <c r="C389" s="2"/>
      <c r="D389" s="134"/>
      <c r="E389" s="2"/>
      <c r="F389" s="2"/>
      <c r="G389" s="67"/>
      <c r="H389" s="67"/>
      <c r="I389" s="67"/>
      <c r="J389" s="2"/>
    </row>
    <row r="390" spans="3:10" x14ac:dyDescent="0.25">
      <c r="C390" s="2"/>
      <c r="D390" s="134"/>
      <c r="E390" s="2"/>
      <c r="F390" s="2"/>
      <c r="G390" s="67"/>
      <c r="H390" s="67"/>
      <c r="I390" s="67"/>
      <c r="J390" s="2"/>
    </row>
    <row r="391" spans="3:10" x14ac:dyDescent="0.25">
      <c r="C391" s="2"/>
      <c r="D391" s="134"/>
      <c r="E391" s="2"/>
      <c r="F391" s="2"/>
      <c r="G391" s="67"/>
      <c r="H391" s="67"/>
      <c r="I391" s="67"/>
      <c r="J391" s="2"/>
    </row>
    <row r="392" spans="3:10" x14ac:dyDescent="0.25">
      <c r="C392" s="2"/>
      <c r="D392" s="134"/>
      <c r="E392" s="2"/>
      <c r="F392" s="2"/>
      <c r="G392" s="67"/>
      <c r="H392" s="67"/>
      <c r="I392" s="67"/>
      <c r="J392" s="2"/>
    </row>
    <row r="393" spans="3:10" x14ac:dyDescent="0.25">
      <c r="C393" s="2"/>
      <c r="D393" s="134"/>
      <c r="E393" s="2"/>
      <c r="F393" s="2"/>
      <c r="G393" s="67"/>
      <c r="H393" s="67"/>
      <c r="I393" s="67"/>
      <c r="J393" s="2"/>
    </row>
    <row r="394" spans="3:10" x14ac:dyDescent="0.25">
      <c r="C394" s="2"/>
      <c r="D394" s="134"/>
      <c r="E394" s="2"/>
      <c r="F394" s="2"/>
      <c r="G394" s="67"/>
      <c r="H394" s="67"/>
      <c r="I394" s="67"/>
      <c r="J394" s="2"/>
    </row>
    <row r="395" spans="3:10" x14ac:dyDescent="0.25">
      <c r="C395" s="2"/>
      <c r="D395" s="134"/>
      <c r="E395" s="2"/>
      <c r="F395" s="2"/>
      <c r="G395" s="67"/>
      <c r="H395" s="67"/>
      <c r="I395" s="67"/>
      <c r="J395" s="2"/>
    </row>
    <row r="396" spans="3:10" x14ac:dyDescent="0.25">
      <c r="C396" s="2"/>
      <c r="D396" s="134"/>
      <c r="E396" s="2"/>
      <c r="F396" s="2"/>
      <c r="G396" s="67"/>
      <c r="H396" s="67"/>
      <c r="I396" s="67"/>
      <c r="J396" s="2"/>
    </row>
    <row r="397" spans="3:10" x14ac:dyDescent="0.25">
      <c r="C397" s="2"/>
      <c r="D397" s="134"/>
      <c r="E397" s="2"/>
      <c r="F397" s="2"/>
      <c r="G397" s="67"/>
      <c r="H397" s="67"/>
      <c r="I397" s="67"/>
      <c r="J397" s="2"/>
    </row>
    <row r="398" spans="3:10" x14ac:dyDescent="0.25">
      <c r="C398" s="2"/>
      <c r="D398" s="134"/>
      <c r="E398" s="2"/>
      <c r="F398" s="2"/>
      <c r="G398" s="67"/>
      <c r="H398" s="67"/>
      <c r="I398" s="67"/>
      <c r="J398" s="2"/>
    </row>
    <row r="399" spans="3:10" x14ac:dyDescent="0.25">
      <c r="C399" s="2"/>
      <c r="D399" s="134"/>
      <c r="E399" s="2"/>
      <c r="F399" s="2"/>
      <c r="G399" s="67"/>
      <c r="H399" s="67"/>
      <c r="I399" s="67"/>
      <c r="J399" s="2"/>
    </row>
    <row r="400" spans="3:10" x14ac:dyDescent="0.25">
      <c r="C400" s="2"/>
      <c r="D400" s="134"/>
      <c r="E400" s="2"/>
      <c r="F400" s="2"/>
      <c r="G400" s="67"/>
      <c r="H400" s="67"/>
      <c r="I400" s="67"/>
      <c r="J400" s="2"/>
    </row>
    <row r="401" spans="3:10" x14ac:dyDescent="0.25">
      <c r="C401" s="2"/>
      <c r="D401" s="134"/>
      <c r="E401" s="2"/>
      <c r="F401" s="2"/>
      <c r="G401" s="67"/>
      <c r="H401" s="67"/>
      <c r="I401" s="67"/>
      <c r="J401" s="2"/>
    </row>
    <row r="402" spans="3:10" x14ac:dyDescent="0.25">
      <c r="C402" s="2"/>
      <c r="D402" s="134"/>
      <c r="E402" s="2"/>
      <c r="F402" s="2"/>
      <c r="G402" s="67"/>
      <c r="H402" s="67"/>
      <c r="I402" s="67"/>
      <c r="J402" s="2"/>
    </row>
    <row r="403" spans="3:10" x14ac:dyDescent="0.25">
      <c r="C403" s="2"/>
      <c r="D403" s="134"/>
      <c r="E403" s="2"/>
      <c r="F403" s="2"/>
      <c r="G403" s="67"/>
      <c r="H403" s="67"/>
      <c r="I403" s="67"/>
      <c r="J403" s="2"/>
    </row>
    <row r="404" spans="3:10" x14ac:dyDescent="0.25">
      <c r="C404" s="2"/>
      <c r="D404" s="134"/>
      <c r="E404" s="2"/>
      <c r="F404" s="2"/>
      <c r="G404" s="67"/>
      <c r="H404" s="67"/>
      <c r="I404" s="67"/>
      <c r="J404" s="2"/>
    </row>
    <row r="405" spans="3:10" x14ac:dyDescent="0.25">
      <c r="C405" s="2"/>
      <c r="D405" s="134"/>
      <c r="E405" s="2"/>
      <c r="F405" s="2"/>
      <c r="G405" s="67"/>
      <c r="H405" s="67"/>
      <c r="I405" s="67"/>
      <c r="J405" s="2"/>
    </row>
    <row r="406" spans="3:10" x14ac:dyDescent="0.25">
      <c r="C406" s="2"/>
      <c r="D406" s="134"/>
      <c r="E406" s="2"/>
      <c r="F406" s="2"/>
      <c r="G406" s="67"/>
      <c r="H406" s="67"/>
      <c r="I406" s="67"/>
      <c r="J406" s="2"/>
    </row>
    <row r="407" spans="3:10" x14ac:dyDescent="0.25">
      <c r="C407" s="2"/>
      <c r="D407" s="134"/>
      <c r="E407" s="2"/>
      <c r="F407" s="2"/>
      <c r="G407" s="67"/>
      <c r="H407" s="67"/>
      <c r="I407" s="67"/>
      <c r="J407" s="2"/>
    </row>
    <row r="408" spans="3:10" x14ac:dyDescent="0.25">
      <c r="C408" s="2"/>
      <c r="D408" s="134"/>
      <c r="E408" s="2"/>
      <c r="F408" s="2"/>
      <c r="G408" s="67"/>
      <c r="H408" s="67"/>
      <c r="I408" s="67"/>
      <c r="J408" s="2"/>
    </row>
    <row r="409" spans="3:10" x14ac:dyDescent="0.25">
      <c r="C409" s="2"/>
      <c r="D409" s="134"/>
      <c r="E409" s="2"/>
      <c r="F409" s="2"/>
      <c r="G409" s="67"/>
      <c r="H409" s="67"/>
      <c r="I409" s="67"/>
      <c r="J409" s="2"/>
    </row>
    <row r="410" spans="3:10" x14ac:dyDescent="0.25">
      <c r="C410" s="2"/>
      <c r="D410" s="134"/>
      <c r="E410" s="2"/>
      <c r="F410" s="2"/>
      <c r="G410" s="67"/>
      <c r="H410" s="67"/>
      <c r="I410" s="67"/>
      <c r="J410" s="2"/>
    </row>
    <row r="411" spans="3:10" x14ac:dyDescent="0.25">
      <c r="C411" s="2"/>
      <c r="D411" s="134"/>
      <c r="E411" s="2"/>
      <c r="F411" s="2"/>
      <c r="G411" s="67"/>
      <c r="H411" s="67"/>
      <c r="I411" s="67"/>
      <c r="J411" s="2"/>
    </row>
    <row r="412" spans="3:10" x14ac:dyDescent="0.25">
      <c r="C412" s="2"/>
      <c r="D412" s="134"/>
      <c r="E412" s="2"/>
      <c r="F412" s="2"/>
      <c r="G412" s="67"/>
      <c r="H412" s="67"/>
      <c r="I412" s="67"/>
      <c r="J412" s="2"/>
    </row>
    <row r="413" spans="3:10" x14ac:dyDescent="0.25">
      <c r="C413" s="2"/>
      <c r="D413" s="134"/>
      <c r="E413" s="2"/>
      <c r="F413" s="2"/>
      <c r="G413" s="67"/>
      <c r="H413" s="67"/>
      <c r="I413" s="67"/>
      <c r="J413" s="2"/>
    </row>
    <row r="414" spans="3:10" x14ac:dyDescent="0.25">
      <c r="C414" s="2"/>
      <c r="D414" s="134"/>
      <c r="E414" s="2"/>
      <c r="F414" s="2"/>
      <c r="G414" s="67"/>
      <c r="H414" s="67"/>
      <c r="I414" s="67"/>
      <c r="J414" s="2"/>
    </row>
    <row r="415" spans="3:10" x14ac:dyDescent="0.25">
      <c r="C415" s="2"/>
      <c r="D415" s="134"/>
      <c r="E415" s="2"/>
      <c r="F415" s="2"/>
      <c r="G415" s="67"/>
      <c r="H415" s="67"/>
      <c r="I415" s="67"/>
      <c r="J415" s="2"/>
    </row>
    <row r="416" spans="3:10" x14ac:dyDescent="0.25">
      <c r="C416" s="2"/>
      <c r="D416" s="134"/>
      <c r="E416" s="2"/>
      <c r="F416" s="2"/>
      <c r="G416" s="67"/>
      <c r="H416" s="67"/>
      <c r="I416" s="67"/>
      <c r="J416" s="2"/>
    </row>
    <row r="417" spans="3:10" x14ac:dyDescent="0.25">
      <c r="C417" s="2"/>
      <c r="D417" s="134"/>
      <c r="E417" s="2"/>
      <c r="F417" s="2"/>
      <c r="G417" s="67"/>
      <c r="H417" s="67"/>
      <c r="I417" s="67"/>
      <c r="J417" s="2"/>
    </row>
    <row r="418" spans="3:10" x14ac:dyDescent="0.25">
      <c r="C418" s="2"/>
      <c r="D418" s="134"/>
      <c r="E418" s="2"/>
      <c r="F418" s="2"/>
      <c r="G418" s="67"/>
      <c r="H418" s="67"/>
      <c r="I418" s="67"/>
      <c r="J418" s="2"/>
    </row>
    <row r="419" spans="3:10" x14ac:dyDescent="0.25">
      <c r="C419" s="2"/>
      <c r="D419" s="134"/>
      <c r="E419" s="2"/>
      <c r="F419" s="2"/>
      <c r="G419" s="67"/>
      <c r="H419" s="67"/>
      <c r="I419" s="67"/>
      <c r="J419" s="2"/>
    </row>
    <row r="420" spans="3:10" x14ac:dyDescent="0.25">
      <c r="C420" s="2"/>
      <c r="D420" s="134"/>
      <c r="E420" s="2"/>
      <c r="F420" s="2"/>
      <c r="G420" s="67"/>
      <c r="H420" s="67"/>
      <c r="I420" s="67"/>
      <c r="J420" s="2"/>
    </row>
    <row r="421" spans="3:10" x14ac:dyDescent="0.25">
      <c r="C421" s="2"/>
      <c r="D421" s="134"/>
      <c r="E421" s="2"/>
      <c r="F421" s="2"/>
      <c r="G421" s="67"/>
      <c r="H421" s="67"/>
      <c r="I421" s="67"/>
      <c r="J421" s="2"/>
    </row>
    <row r="422" spans="3:10" x14ac:dyDescent="0.25">
      <c r="C422" s="2"/>
      <c r="D422" s="134"/>
      <c r="E422" s="2"/>
      <c r="F422" s="2"/>
      <c r="G422" s="67"/>
      <c r="H422" s="67"/>
      <c r="I422" s="67"/>
      <c r="J422" s="2"/>
    </row>
    <row r="423" spans="3:10" x14ac:dyDescent="0.25">
      <c r="C423" s="2"/>
      <c r="D423" s="134"/>
      <c r="E423" s="2"/>
      <c r="F423" s="2"/>
      <c r="G423" s="67"/>
      <c r="H423" s="67"/>
      <c r="I423" s="67"/>
      <c r="J423" s="2"/>
    </row>
    <row r="424" spans="3:10" x14ac:dyDescent="0.25">
      <c r="C424" s="2"/>
      <c r="D424" s="134"/>
      <c r="E424" s="2"/>
      <c r="F424" s="2"/>
      <c r="G424" s="67"/>
      <c r="H424" s="67"/>
      <c r="I424" s="67"/>
      <c r="J424" s="2"/>
    </row>
    <row r="425" spans="3:10" x14ac:dyDescent="0.25">
      <c r="C425" s="2"/>
      <c r="D425" s="134"/>
      <c r="E425" s="2"/>
      <c r="F425" s="2"/>
      <c r="G425" s="67"/>
      <c r="H425" s="67"/>
      <c r="I425" s="67"/>
      <c r="J425" s="2"/>
    </row>
    <row r="426" spans="3:10" x14ac:dyDescent="0.25">
      <c r="C426" s="2"/>
      <c r="D426" s="134"/>
      <c r="E426" s="2"/>
      <c r="F426" s="2"/>
      <c r="G426" s="67"/>
      <c r="H426" s="67"/>
      <c r="I426" s="67"/>
      <c r="J426" s="2"/>
    </row>
    <row r="427" spans="3:10" x14ac:dyDescent="0.25">
      <c r="C427" s="2"/>
      <c r="D427" s="134"/>
      <c r="E427" s="2"/>
      <c r="F427" s="2"/>
      <c r="G427" s="67"/>
      <c r="H427" s="67"/>
      <c r="I427" s="67"/>
      <c r="J427" s="2"/>
    </row>
    <row r="428" spans="3:10" x14ac:dyDescent="0.25">
      <c r="C428" s="2"/>
      <c r="D428" s="134"/>
      <c r="E428" s="2"/>
      <c r="F428" s="2"/>
      <c r="G428" s="67"/>
      <c r="H428" s="67"/>
      <c r="I428" s="67"/>
      <c r="J428" s="2"/>
    </row>
    <row r="429" spans="3:10" x14ac:dyDescent="0.25">
      <c r="C429" s="2"/>
      <c r="D429" s="134"/>
      <c r="E429" s="2"/>
      <c r="F429" s="2"/>
      <c r="G429" s="67"/>
      <c r="H429" s="67"/>
      <c r="I429" s="67"/>
      <c r="J429" s="2"/>
    </row>
    <row r="430" spans="3:10" x14ac:dyDescent="0.25">
      <c r="C430" s="2"/>
      <c r="D430" s="134"/>
      <c r="E430" s="2"/>
      <c r="F430" s="2"/>
      <c r="G430" s="67"/>
      <c r="H430" s="67"/>
      <c r="I430" s="67"/>
      <c r="J430" s="2"/>
    </row>
    <row r="431" spans="3:10" x14ac:dyDescent="0.25">
      <c r="C431" s="2"/>
      <c r="D431" s="134"/>
      <c r="E431" s="2"/>
      <c r="F431" s="2"/>
      <c r="G431" s="67"/>
      <c r="H431" s="67"/>
      <c r="I431" s="67"/>
      <c r="J431" s="2"/>
    </row>
    <row r="432" spans="3:10" x14ac:dyDescent="0.25">
      <c r="C432" s="2"/>
      <c r="D432" s="134"/>
      <c r="E432" s="2"/>
      <c r="F432" s="2"/>
      <c r="G432" s="67"/>
      <c r="H432" s="67"/>
      <c r="I432" s="67"/>
      <c r="J432" s="2"/>
    </row>
    <row r="433" spans="3:10" x14ac:dyDescent="0.25">
      <c r="C433" s="2"/>
      <c r="D433" s="134"/>
      <c r="E433" s="2"/>
      <c r="F433" s="2"/>
      <c r="G433" s="67"/>
      <c r="H433" s="67"/>
      <c r="I433" s="67"/>
      <c r="J433" s="2"/>
    </row>
    <row r="434" spans="3:10" x14ac:dyDescent="0.25">
      <c r="C434" s="2"/>
      <c r="D434" s="134"/>
      <c r="E434" s="2"/>
      <c r="F434" s="2"/>
      <c r="G434" s="67"/>
      <c r="H434" s="67"/>
      <c r="I434" s="67"/>
      <c r="J434" s="2"/>
    </row>
    <row r="435" spans="3:10" x14ac:dyDescent="0.25">
      <c r="C435" s="2"/>
      <c r="D435" s="134"/>
      <c r="E435" s="2"/>
      <c r="F435" s="2"/>
      <c r="G435" s="67"/>
      <c r="H435" s="67"/>
      <c r="I435" s="67"/>
      <c r="J435" s="2"/>
    </row>
    <row r="436" spans="3:10" x14ac:dyDescent="0.25">
      <c r="C436" s="2"/>
      <c r="D436" s="134"/>
      <c r="E436" s="2"/>
      <c r="F436" s="2"/>
      <c r="G436" s="67"/>
      <c r="H436" s="67"/>
      <c r="I436" s="67"/>
      <c r="J436" s="2"/>
    </row>
    <row r="437" spans="3:10" x14ac:dyDescent="0.25">
      <c r="C437" s="2"/>
      <c r="D437" s="134"/>
      <c r="E437" s="2"/>
      <c r="F437" s="2"/>
      <c r="G437" s="67"/>
      <c r="H437" s="67"/>
      <c r="I437" s="67"/>
      <c r="J437" s="2"/>
    </row>
    <row r="438" spans="3:10" x14ac:dyDescent="0.25">
      <c r="C438" s="2"/>
      <c r="D438" s="134"/>
      <c r="E438" s="2"/>
      <c r="F438" s="2"/>
      <c r="G438" s="67"/>
      <c r="H438" s="67"/>
      <c r="I438" s="67"/>
      <c r="J438" s="2"/>
    </row>
    <row r="439" spans="3:10" x14ac:dyDescent="0.25">
      <c r="C439" s="2"/>
      <c r="D439" s="134"/>
      <c r="E439" s="2"/>
      <c r="F439" s="2"/>
      <c r="G439" s="67"/>
      <c r="H439" s="67"/>
      <c r="I439" s="67"/>
      <c r="J439" s="2"/>
    </row>
    <row r="440" spans="3:10" x14ac:dyDescent="0.25">
      <c r="C440" s="2"/>
      <c r="D440" s="134"/>
      <c r="E440" s="2"/>
      <c r="F440" s="2"/>
      <c r="G440" s="67"/>
      <c r="H440" s="67"/>
      <c r="I440" s="67"/>
      <c r="J440" s="2"/>
    </row>
    <row r="441" spans="3:10" x14ac:dyDescent="0.25">
      <c r="C441" s="2"/>
      <c r="D441" s="134"/>
      <c r="E441" s="2"/>
      <c r="F441" s="2"/>
      <c r="G441" s="67"/>
      <c r="H441" s="67"/>
      <c r="I441" s="67"/>
      <c r="J441" s="2"/>
    </row>
    <row r="442" spans="3:10" x14ac:dyDescent="0.25">
      <c r="C442" s="2"/>
      <c r="D442" s="134"/>
      <c r="E442" s="2"/>
      <c r="F442" s="2"/>
      <c r="G442" s="67"/>
      <c r="H442" s="67"/>
      <c r="I442" s="67"/>
      <c r="J442" s="2"/>
    </row>
    <row r="443" spans="3:10" x14ac:dyDescent="0.25">
      <c r="C443" s="2"/>
      <c r="D443" s="134"/>
      <c r="E443" s="2"/>
      <c r="F443" s="2"/>
      <c r="G443" s="67"/>
      <c r="H443" s="67"/>
      <c r="I443" s="67"/>
      <c r="J443" s="2"/>
    </row>
    <row r="444" spans="3:10" x14ac:dyDescent="0.25">
      <c r="C444" s="2"/>
      <c r="D444" s="134"/>
      <c r="E444" s="2"/>
      <c r="F444" s="2"/>
      <c r="G444" s="67"/>
      <c r="H444" s="67"/>
      <c r="I444" s="67"/>
      <c r="J444" s="2"/>
    </row>
    <row r="445" spans="3:10" x14ac:dyDescent="0.25">
      <c r="C445" s="2"/>
      <c r="D445" s="134"/>
      <c r="E445" s="2"/>
      <c r="F445" s="2"/>
      <c r="G445" s="67"/>
      <c r="H445" s="67"/>
      <c r="I445" s="67"/>
      <c r="J445" s="2"/>
    </row>
    <row r="446" spans="3:10" x14ac:dyDescent="0.25">
      <c r="C446" s="2"/>
      <c r="D446" s="134"/>
      <c r="E446" s="2"/>
      <c r="F446" s="2"/>
      <c r="G446" s="67"/>
      <c r="H446" s="67"/>
      <c r="I446" s="67"/>
      <c r="J446" s="2"/>
    </row>
    <row r="447" spans="3:10" x14ac:dyDescent="0.25">
      <c r="C447" s="2"/>
      <c r="D447" s="134"/>
      <c r="E447" s="2"/>
      <c r="F447" s="2"/>
      <c r="G447" s="67"/>
      <c r="H447" s="67"/>
      <c r="I447" s="67"/>
      <c r="J447" s="2"/>
    </row>
    <row r="448" spans="3:10" x14ac:dyDescent="0.25">
      <c r="C448" s="2"/>
      <c r="D448" s="134"/>
      <c r="E448" s="2"/>
      <c r="F448" s="2"/>
      <c r="G448" s="67"/>
      <c r="H448" s="67"/>
      <c r="I448" s="67"/>
      <c r="J448" s="2"/>
    </row>
    <row r="449" spans="3:10" x14ac:dyDescent="0.25">
      <c r="C449" s="2"/>
      <c r="D449" s="134"/>
      <c r="E449" s="2"/>
      <c r="F449" s="2"/>
      <c r="G449" s="67"/>
      <c r="H449" s="67"/>
      <c r="I449" s="67"/>
      <c r="J449" s="2"/>
    </row>
    <row r="450" spans="3:10" x14ac:dyDescent="0.25">
      <c r="C450" s="2"/>
      <c r="D450" s="134"/>
      <c r="E450" s="2"/>
      <c r="F450" s="2"/>
      <c r="G450" s="67"/>
      <c r="H450" s="67"/>
      <c r="I450" s="67"/>
      <c r="J450" s="2"/>
    </row>
    <row r="451" spans="3:10" x14ac:dyDescent="0.25">
      <c r="C451" s="2"/>
      <c r="D451" s="134"/>
      <c r="E451" s="2"/>
      <c r="F451" s="2"/>
      <c r="G451" s="67"/>
      <c r="H451" s="67"/>
      <c r="I451" s="67"/>
      <c r="J451" s="2"/>
    </row>
    <row r="452" spans="3:10" x14ac:dyDescent="0.25">
      <c r="C452" s="2"/>
      <c r="D452" s="134"/>
      <c r="E452" s="2"/>
      <c r="F452" s="2"/>
      <c r="G452" s="67"/>
      <c r="H452" s="67"/>
      <c r="I452" s="67"/>
      <c r="J452" s="2"/>
    </row>
    <row r="453" spans="3:10" x14ac:dyDescent="0.25">
      <c r="C453" s="2"/>
      <c r="D453" s="134"/>
      <c r="E453" s="2"/>
      <c r="F453" s="2"/>
      <c r="G453" s="67"/>
      <c r="H453" s="67"/>
      <c r="I453" s="67"/>
      <c r="J453" s="2"/>
    </row>
    <row r="454" spans="3:10" x14ac:dyDescent="0.25">
      <c r="C454" s="2"/>
      <c r="D454" s="134"/>
      <c r="E454" s="2"/>
      <c r="F454" s="2"/>
      <c r="G454" s="67"/>
      <c r="H454" s="67"/>
      <c r="I454" s="67"/>
      <c r="J454" s="2"/>
    </row>
    <row r="455" spans="3:10" x14ac:dyDescent="0.25">
      <c r="C455" s="2"/>
      <c r="D455" s="134"/>
      <c r="E455" s="2"/>
      <c r="F455" s="2"/>
      <c r="G455" s="67"/>
      <c r="H455" s="67"/>
      <c r="I455" s="67"/>
      <c r="J455" s="2"/>
    </row>
    <row r="456" spans="3:10" x14ac:dyDescent="0.25">
      <c r="C456" s="2"/>
      <c r="D456" s="134"/>
      <c r="E456" s="2"/>
      <c r="F456" s="2"/>
      <c r="G456" s="67"/>
      <c r="H456" s="67"/>
      <c r="I456" s="67"/>
      <c r="J456" s="2"/>
    </row>
    <row r="457" spans="3:10" x14ac:dyDescent="0.25">
      <c r="C457" s="2"/>
      <c r="D457" s="134"/>
      <c r="E457" s="2"/>
      <c r="F457" s="2"/>
      <c r="G457" s="67"/>
      <c r="H457" s="67"/>
      <c r="I457" s="67"/>
      <c r="J457" s="2"/>
    </row>
    <row r="458" spans="3:10" x14ac:dyDescent="0.25">
      <c r="C458" s="2"/>
      <c r="D458" s="134"/>
      <c r="E458" s="2"/>
      <c r="F458" s="2"/>
      <c r="G458" s="67"/>
      <c r="H458" s="67"/>
      <c r="I458" s="67"/>
      <c r="J458" s="2"/>
    </row>
    <row r="459" spans="3:10" x14ac:dyDescent="0.25">
      <c r="C459" s="2"/>
      <c r="D459" s="134"/>
      <c r="E459" s="2"/>
      <c r="F459" s="2"/>
      <c r="G459" s="67"/>
      <c r="H459" s="67"/>
      <c r="I459" s="67"/>
      <c r="J459" s="2"/>
    </row>
    <row r="460" spans="3:10" x14ac:dyDescent="0.25">
      <c r="C460" s="2"/>
      <c r="D460" s="134"/>
      <c r="E460" s="2"/>
      <c r="F460" s="2"/>
      <c r="G460" s="67"/>
      <c r="H460" s="67"/>
      <c r="I460" s="67"/>
      <c r="J460" s="2"/>
    </row>
    <row r="461" spans="3:10" x14ac:dyDescent="0.25">
      <c r="C461" s="2"/>
      <c r="D461" s="134"/>
      <c r="E461" s="2"/>
      <c r="F461" s="2"/>
      <c r="G461" s="67"/>
      <c r="H461" s="67"/>
      <c r="I461" s="67"/>
      <c r="J461" s="2"/>
    </row>
    <row r="462" spans="3:10" x14ac:dyDescent="0.25">
      <c r="C462" s="2"/>
      <c r="D462" s="134"/>
      <c r="E462" s="2"/>
      <c r="F462" s="2"/>
      <c r="G462" s="67"/>
      <c r="H462" s="67"/>
      <c r="I462" s="67"/>
      <c r="J462" s="2"/>
    </row>
    <row r="463" spans="3:10" x14ac:dyDescent="0.25">
      <c r="C463" s="2"/>
      <c r="D463" s="134"/>
      <c r="E463" s="2"/>
      <c r="F463" s="2"/>
      <c r="G463" s="67"/>
      <c r="H463" s="67"/>
      <c r="I463" s="67"/>
      <c r="J463" s="2"/>
    </row>
    <row r="464" spans="3:10" x14ac:dyDescent="0.25">
      <c r="C464" s="2"/>
      <c r="D464" s="134"/>
      <c r="E464" s="2"/>
      <c r="F464" s="2"/>
      <c r="G464" s="67"/>
      <c r="H464" s="67"/>
      <c r="I464" s="67"/>
      <c r="J464" s="2"/>
    </row>
    <row r="465" spans="3:10" x14ac:dyDescent="0.25">
      <c r="C465" s="2"/>
      <c r="D465" s="134"/>
      <c r="E465" s="2"/>
      <c r="F465" s="2"/>
      <c r="G465" s="67"/>
      <c r="H465" s="67"/>
      <c r="I465" s="67"/>
      <c r="J465" s="2"/>
    </row>
    <row r="466" spans="3:10" x14ac:dyDescent="0.25">
      <c r="C466" s="2"/>
      <c r="D466" s="134"/>
      <c r="E466" s="2"/>
      <c r="F466" s="2"/>
      <c r="G466" s="67"/>
      <c r="H466" s="67"/>
      <c r="I466" s="67"/>
      <c r="J466" s="2"/>
    </row>
    <row r="467" spans="3:10" x14ac:dyDescent="0.25">
      <c r="C467" s="2"/>
      <c r="D467" s="134"/>
      <c r="E467" s="2"/>
      <c r="F467" s="2"/>
      <c r="G467" s="67"/>
      <c r="H467" s="67"/>
      <c r="I467" s="67"/>
      <c r="J467" s="2"/>
    </row>
    <row r="468" spans="3:10" x14ac:dyDescent="0.25">
      <c r="C468" s="2"/>
      <c r="D468" s="134"/>
      <c r="E468" s="2"/>
      <c r="F468" s="2"/>
      <c r="G468" s="67"/>
      <c r="H468" s="67"/>
      <c r="I468" s="67"/>
      <c r="J468" s="2"/>
    </row>
    <row r="469" spans="3:10" x14ac:dyDescent="0.25">
      <c r="C469" s="2"/>
      <c r="D469" s="134"/>
      <c r="E469" s="2"/>
      <c r="F469" s="2"/>
      <c r="G469" s="67"/>
      <c r="H469" s="67"/>
      <c r="I469" s="67"/>
      <c r="J469" s="2"/>
    </row>
    <row r="470" spans="3:10" x14ac:dyDescent="0.25">
      <c r="C470" s="2"/>
      <c r="D470" s="134"/>
      <c r="E470" s="2"/>
      <c r="F470" s="2"/>
      <c r="G470" s="67"/>
      <c r="H470" s="67"/>
      <c r="I470" s="67"/>
      <c r="J470" s="2"/>
    </row>
    <row r="471" spans="3:10" x14ac:dyDescent="0.25">
      <c r="C471" s="2"/>
      <c r="D471" s="134"/>
      <c r="E471" s="2"/>
      <c r="F471" s="2"/>
      <c r="G471" s="67"/>
      <c r="H471" s="67"/>
      <c r="I471" s="67"/>
      <c r="J471" s="2"/>
    </row>
    <row r="472" spans="3:10" x14ac:dyDescent="0.25">
      <c r="C472" s="2"/>
      <c r="D472" s="134"/>
      <c r="E472" s="2"/>
      <c r="F472" s="2"/>
      <c r="G472" s="67"/>
      <c r="H472" s="67"/>
      <c r="I472" s="67"/>
      <c r="J472" s="2"/>
    </row>
    <row r="473" spans="3:10" x14ac:dyDescent="0.25">
      <c r="C473" s="2"/>
      <c r="D473" s="134"/>
      <c r="E473" s="2"/>
      <c r="F473" s="2"/>
      <c r="G473" s="67"/>
      <c r="H473" s="67"/>
      <c r="I473" s="67"/>
      <c r="J473" s="2"/>
    </row>
    <row r="474" spans="3:10" x14ac:dyDescent="0.25">
      <c r="C474" s="2"/>
      <c r="D474" s="134"/>
      <c r="E474" s="2"/>
      <c r="F474" s="2"/>
      <c r="G474" s="67"/>
      <c r="H474" s="67"/>
      <c r="I474" s="67"/>
      <c r="J474" s="2"/>
    </row>
    <row r="475" spans="3:10" x14ac:dyDescent="0.25">
      <c r="C475" s="2"/>
      <c r="D475" s="134"/>
      <c r="E475" s="2"/>
      <c r="F475" s="2"/>
      <c r="G475" s="67"/>
      <c r="H475" s="67"/>
      <c r="I475" s="67"/>
      <c r="J475" s="2"/>
    </row>
    <row r="476" spans="3:10" x14ac:dyDescent="0.25">
      <c r="C476" s="2"/>
      <c r="D476" s="134"/>
      <c r="E476" s="2"/>
      <c r="F476" s="2"/>
      <c r="G476" s="67"/>
      <c r="H476" s="67"/>
      <c r="I476" s="67"/>
      <c r="J476" s="2"/>
    </row>
    <row r="477" spans="3:10" x14ac:dyDescent="0.25">
      <c r="C477" s="2"/>
      <c r="D477" s="134"/>
      <c r="E477" s="2"/>
      <c r="F477" s="2"/>
      <c r="G477" s="67"/>
      <c r="H477" s="67"/>
      <c r="I477" s="67"/>
      <c r="J477" s="2"/>
    </row>
    <row r="478" spans="3:10" x14ac:dyDescent="0.25">
      <c r="C478" s="2"/>
      <c r="D478" s="134"/>
      <c r="E478" s="2"/>
      <c r="F478" s="2"/>
      <c r="G478" s="67"/>
      <c r="H478" s="67"/>
      <c r="I478" s="67"/>
      <c r="J478" s="2"/>
    </row>
    <row r="479" spans="3:10" x14ac:dyDescent="0.25">
      <c r="C479" s="2"/>
      <c r="D479" s="134"/>
      <c r="E479" s="2"/>
      <c r="F479" s="2"/>
      <c r="G479" s="67"/>
      <c r="H479" s="67"/>
      <c r="I479" s="67"/>
      <c r="J479" s="2"/>
    </row>
    <row r="480" spans="3:10" x14ac:dyDescent="0.25">
      <c r="C480" s="2"/>
      <c r="D480" s="134"/>
      <c r="E480" s="2"/>
      <c r="F480" s="2"/>
      <c r="G480" s="67"/>
      <c r="H480" s="67"/>
      <c r="I480" s="67"/>
      <c r="J480" s="2"/>
    </row>
    <row r="481" spans="3:10" x14ac:dyDescent="0.25">
      <c r="C481" s="2"/>
      <c r="D481" s="134"/>
      <c r="E481" s="2"/>
      <c r="F481" s="2"/>
      <c r="G481" s="67"/>
      <c r="H481" s="67"/>
      <c r="I481" s="67"/>
      <c r="J481" s="2"/>
    </row>
    <row r="482" spans="3:10" x14ac:dyDescent="0.25">
      <c r="C482" s="2"/>
      <c r="D482" s="134"/>
      <c r="E482" s="2"/>
      <c r="F482" s="2"/>
      <c r="G482" s="67"/>
      <c r="H482" s="67"/>
      <c r="I482" s="67"/>
      <c r="J482" s="2"/>
    </row>
    <row r="483" spans="3:10" x14ac:dyDescent="0.25">
      <c r="C483" s="2"/>
      <c r="D483" s="134"/>
      <c r="E483" s="2"/>
      <c r="F483" s="2"/>
      <c r="G483" s="67"/>
      <c r="H483" s="67"/>
      <c r="I483" s="67"/>
      <c r="J483" s="2"/>
    </row>
    <row r="484" spans="3:10" x14ac:dyDescent="0.25">
      <c r="C484" s="2"/>
      <c r="D484" s="134"/>
      <c r="E484" s="2"/>
      <c r="F484" s="2"/>
      <c r="G484" s="67"/>
      <c r="H484" s="67"/>
      <c r="I484" s="67"/>
      <c r="J484" s="2"/>
    </row>
    <row r="485" spans="3:10" x14ac:dyDescent="0.25">
      <c r="C485" s="2"/>
      <c r="D485" s="134"/>
      <c r="E485" s="2"/>
      <c r="F485" s="2"/>
      <c r="G485" s="67"/>
      <c r="H485" s="67"/>
      <c r="I485" s="67"/>
      <c r="J485" s="2"/>
    </row>
    <row r="486" spans="3:10" x14ac:dyDescent="0.25">
      <c r="C486" s="2"/>
      <c r="D486" s="134"/>
      <c r="E486" s="2"/>
      <c r="F486" s="2"/>
      <c r="G486" s="67"/>
      <c r="H486" s="67"/>
      <c r="I486" s="67"/>
      <c r="J486" s="2"/>
    </row>
    <row r="487" spans="3:10" x14ac:dyDescent="0.25">
      <c r="C487" s="2"/>
      <c r="D487" s="134"/>
      <c r="E487" s="2"/>
      <c r="F487" s="2"/>
      <c r="G487" s="67"/>
      <c r="H487" s="67"/>
      <c r="I487" s="67"/>
      <c r="J487" s="2"/>
    </row>
    <row r="488" spans="3:10" x14ac:dyDescent="0.25">
      <c r="C488" s="2"/>
      <c r="D488" s="134"/>
      <c r="E488" s="2"/>
      <c r="F488" s="2"/>
      <c r="G488" s="67"/>
      <c r="H488" s="67"/>
      <c r="I488" s="67"/>
      <c r="J488" s="2"/>
    </row>
    <row r="489" spans="3:10" x14ac:dyDescent="0.25">
      <c r="C489" s="2"/>
      <c r="D489" s="134"/>
      <c r="E489" s="2"/>
      <c r="F489" s="2"/>
      <c r="G489" s="67"/>
      <c r="H489" s="67"/>
      <c r="I489" s="67"/>
      <c r="J489" s="2"/>
    </row>
    <row r="490" spans="3:10" x14ac:dyDescent="0.25">
      <c r="C490" s="2"/>
      <c r="D490" s="134"/>
      <c r="E490" s="2"/>
      <c r="F490" s="2"/>
      <c r="G490" s="67"/>
      <c r="H490" s="67"/>
      <c r="I490" s="67"/>
      <c r="J490" s="2"/>
    </row>
    <row r="491" spans="3:10" x14ac:dyDescent="0.25">
      <c r="C491" s="2"/>
      <c r="D491" s="134"/>
      <c r="E491" s="2"/>
      <c r="F491" s="2"/>
      <c r="G491" s="67"/>
      <c r="H491" s="67"/>
      <c r="I491" s="67"/>
      <c r="J491" s="2"/>
    </row>
    <row r="492" spans="3:10" x14ac:dyDescent="0.25">
      <c r="C492" s="2"/>
      <c r="D492" s="134"/>
      <c r="E492" s="2"/>
      <c r="F492" s="2"/>
      <c r="G492" s="67"/>
      <c r="H492" s="67"/>
      <c r="I492" s="67"/>
      <c r="J492" s="2"/>
    </row>
    <row r="493" spans="3:10" x14ac:dyDescent="0.25">
      <c r="C493" s="2"/>
      <c r="D493" s="134"/>
      <c r="E493" s="2"/>
      <c r="F493" s="2"/>
      <c r="G493" s="67"/>
      <c r="H493" s="67"/>
      <c r="I493" s="67"/>
      <c r="J493" s="2"/>
    </row>
    <row r="494" spans="3:10" x14ac:dyDescent="0.25">
      <c r="C494" s="2"/>
      <c r="D494" s="134"/>
      <c r="E494" s="2"/>
      <c r="F494" s="2"/>
      <c r="G494" s="67"/>
      <c r="H494" s="67"/>
      <c r="I494" s="67"/>
      <c r="J494" s="2"/>
    </row>
    <row r="495" spans="3:10" x14ac:dyDescent="0.25">
      <c r="C495" s="2"/>
      <c r="D495" s="134"/>
      <c r="E495" s="2"/>
      <c r="F495" s="2"/>
      <c r="G495" s="67"/>
      <c r="H495" s="67"/>
      <c r="I495" s="67"/>
      <c r="J495" s="2"/>
    </row>
    <row r="496" spans="3:10" x14ac:dyDescent="0.25">
      <c r="C496" s="2"/>
      <c r="D496" s="134"/>
      <c r="E496" s="2"/>
      <c r="F496" s="2"/>
      <c r="G496" s="67"/>
      <c r="H496" s="67"/>
      <c r="I496" s="67"/>
      <c r="J496" s="2"/>
    </row>
    <row r="497" spans="3:10" x14ac:dyDescent="0.25">
      <c r="C497" s="2"/>
      <c r="D497" s="134"/>
      <c r="E497" s="2"/>
      <c r="F497" s="2"/>
      <c r="G497" s="67"/>
      <c r="H497" s="67"/>
      <c r="I497" s="67"/>
      <c r="J497" s="2"/>
    </row>
    <row r="498" spans="3:10" x14ac:dyDescent="0.25">
      <c r="C498" s="2"/>
      <c r="D498" s="134"/>
      <c r="E498" s="2"/>
      <c r="F498" s="2"/>
      <c r="G498" s="67"/>
      <c r="H498" s="67"/>
      <c r="I498" s="67"/>
      <c r="J498" s="2"/>
    </row>
    <row r="499" spans="3:10" x14ac:dyDescent="0.25">
      <c r="C499" s="2"/>
      <c r="D499" s="134"/>
      <c r="E499" s="2"/>
      <c r="F499" s="2"/>
      <c r="G499" s="67"/>
      <c r="H499" s="67"/>
      <c r="I499" s="67"/>
      <c r="J499" s="2"/>
    </row>
    <row r="500" spans="3:10" x14ac:dyDescent="0.25">
      <c r="C500" s="2"/>
      <c r="D500" s="134"/>
      <c r="E500" s="2"/>
      <c r="F500" s="2"/>
      <c r="G500" s="67"/>
      <c r="H500" s="67"/>
      <c r="I500" s="67"/>
      <c r="J500" s="2"/>
    </row>
    <row r="501" spans="3:10" x14ac:dyDescent="0.25">
      <c r="C501" s="2"/>
      <c r="D501" s="134"/>
      <c r="E501" s="2"/>
      <c r="F501" s="2"/>
      <c r="G501" s="67"/>
      <c r="H501" s="67"/>
      <c r="I501" s="67"/>
      <c r="J501" s="2"/>
    </row>
    <row r="502" spans="3:10" x14ac:dyDescent="0.25">
      <c r="C502" s="2"/>
      <c r="D502" s="134"/>
      <c r="E502" s="2"/>
      <c r="F502" s="2"/>
      <c r="G502" s="67"/>
      <c r="H502" s="67"/>
      <c r="I502" s="67"/>
      <c r="J502" s="2"/>
    </row>
    <row r="503" spans="3:10" x14ac:dyDescent="0.25">
      <c r="C503" s="2"/>
      <c r="D503" s="134"/>
      <c r="E503" s="2"/>
      <c r="F503" s="2"/>
      <c r="G503" s="67"/>
      <c r="H503" s="67"/>
      <c r="I503" s="67"/>
      <c r="J503" s="2"/>
    </row>
    <row r="504" spans="3:10" x14ac:dyDescent="0.25">
      <c r="C504" s="2"/>
      <c r="D504" s="134"/>
      <c r="E504" s="2"/>
      <c r="F504" s="2"/>
      <c r="G504" s="67"/>
      <c r="H504" s="67"/>
      <c r="I504" s="67"/>
      <c r="J504" s="2"/>
    </row>
    <row r="505" spans="3:10" x14ac:dyDescent="0.25">
      <c r="C505" s="2"/>
      <c r="D505" s="134"/>
      <c r="E505" s="2"/>
      <c r="F505" s="2"/>
      <c r="G505" s="67"/>
      <c r="H505" s="67"/>
      <c r="I505" s="67"/>
      <c r="J505" s="2"/>
    </row>
    <row r="506" spans="3:10" x14ac:dyDescent="0.25">
      <c r="C506" s="2"/>
      <c r="D506" s="134"/>
      <c r="E506" s="2"/>
      <c r="F506" s="2"/>
      <c r="G506" s="67"/>
      <c r="H506" s="67"/>
      <c r="I506" s="67"/>
      <c r="J506" s="2"/>
    </row>
    <row r="507" spans="3:10" x14ac:dyDescent="0.25">
      <c r="C507" s="2"/>
      <c r="D507" s="134"/>
      <c r="E507" s="2"/>
      <c r="F507" s="2"/>
      <c r="G507" s="67"/>
      <c r="H507" s="67"/>
      <c r="I507" s="67"/>
      <c r="J507" s="2"/>
    </row>
    <row r="508" spans="3:10" x14ac:dyDescent="0.25">
      <c r="C508" s="2"/>
      <c r="D508" s="134"/>
      <c r="E508" s="2"/>
      <c r="F508" s="2"/>
      <c r="G508" s="67"/>
      <c r="H508" s="67"/>
      <c r="I508" s="67"/>
      <c r="J508" s="2"/>
    </row>
    <row r="509" spans="3:10" x14ac:dyDescent="0.25">
      <c r="C509" s="2"/>
      <c r="D509" s="134"/>
      <c r="E509" s="2"/>
      <c r="F509" s="2"/>
      <c r="G509" s="67"/>
      <c r="H509" s="67"/>
      <c r="I509" s="67"/>
      <c r="J509" s="2"/>
    </row>
    <row r="510" spans="3:10" x14ac:dyDescent="0.25">
      <c r="C510" s="2"/>
      <c r="D510" s="134"/>
      <c r="E510" s="2"/>
      <c r="F510" s="2"/>
      <c r="G510" s="67"/>
      <c r="H510" s="67"/>
      <c r="I510" s="67"/>
      <c r="J510" s="2"/>
    </row>
    <row r="511" spans="3:10" x14ac:dyDescent="0.25">
      <c r="C511" s="2"/>
      <c r="D511" s="134"/>
      <c r="E511" s="2"/>
      <c r="F511" s="2"/>
      <c r="G511" s="67"/>
      <c r="H511" s="67"/>
      <c r="I511" s="67"/>
      <c r="J511" s="2"/>
    </row>
    <row r="512" spans="3:10" x14ac:dyDescent="0.25">
      <c r="C512" s="2"/>
      <c r="D512" s="134"/>
      <c r="E512" s="2"/>
      <c r="F512" s="2"/>
      <c r="G512" s="67"/>
      <c r="H512" s="67"/>
      <c r="I512" s="67"/>
      <c r="J512" s="2"/>
    </row>
    <row r="513" spans="3:10" x14ac:dyDescent="0.25">
      <c r="C513" s="2"/>
      <c r="D513" s="134"/>
      <c r="E513" s="2"/>
      <c r="F513" s="2"/>
      <c r="G513" s="67"/>
      <c r="H513" s="67"/>
      <c r="I513" s="67"/>
      <c r="J513" s="2"/>
    </row>
    <row r="514" spans="3:10" x14ac:dyDescent="0.25">
      <c r="C514" s="2"/>
      <c r="D514" s="134"/>
      <c r="E514" s="2"/>
      <c r="F514" s="2"/>
      <c r="G514" s="67"/>
      <c r="H514" s="67"/>
      <c r="I514" s="67"/>
      <c r="J514" s="2"/>
    </row>
    <row r="515" spans="3:10" x14ac:dyDescent="0.25">
      <c r="C515" s="2"/>
      <c r="D515" s="134"/>
      <c r="E515" s="2"/>
      <c r="F515" s="2"/>
      <c r="G515" s="67"/>
      <c r="H515" s="67"/>
      <c r="I515" s="67"/>
      <c r="J515" s="2"/>
    </row>
    <row r="516" spans="3:10" x14ac:dyDescent="0.25">
      <c r="C516" s="2"/>
      <c r="D516" s="134"/>
      <c r="E516" s="2"/>
      <c r="F516" s="2"/>
      <c r="G516" s="67"/>
      <c r="H516" s="67"/>
      <c r="I516" s="67"/>
      <c r="J516" s="2"/>
    </row>
    <row r="517" spans="3:10" x14ac:dyDescent="0.25">
      <c r="C517" s="2"/>
      <c r="D517" s="134"/>
      <c r="E517" s="2"/>
      <c r="F517" s="2"/>
      <c r="G517" s="67"/>
      <c r="H517" s="67"/>
      <c r="I517" s="67"/>
      <c r="J517" s="2"/>
    </row>
    <row r="518" spans="3:10" x14ac:dyDescent="0.25">
      <c r="C518" s="2"/>
      <c r="D518" s="134"/>
      <c r="E518" s="2"/>
      <c r="F518" s="2"/>
      <c r="G518" s="67"/>
      <c r="H518" s="67"/>
      <c r="I518" s="67"/>
      <c r="J518" s="2"/>
    </row>
    <row r="519" spans="3:10" x14ac:dyDescent="0.25">
      <c r="C519" s="2"/>
      <c r="D519" s="134"/>
      <c r="E519" s="2"/>
      <c r="F519" s="2"/>
      <c r="G519" s="67"/>
      <c r="H519" s="67"/>
      <c r="I519" s="67"/>
      <c r="J519" s="2"/>
    </row>
    <row r="520" spans="3:10" x14ac:dyDescent="0.25">
      <c r="C520" s="2"/>
      <c r="D520" s="134"/>
      <c r="E520" s="2"/>
      <c r="F520" s="2"/>
      <c r="G520" s="67"/>
      <c r="H520" s="67"/>
      <c r="I520" s="67"/>
      <c r="J520" s="2"/>
    </row>
    <row r="521" spans="3:10" x14ac:dyDescent="0.25">
      <c r="C521" s="2"/>
      <c r="D521" s="134"/>
      <c r="E521" s="2"/>
      <c r="F521" s="2"/>
      <c r="G521" s="67"/>
      <c r="H521" s="67"/>
      <c r="I521" s="67"/>
      <c r="J521" s="2"/>
    </row>
    <row r="522" spans="3:10" x14ac:dyDescent="0.25">
      <c r="C522" s="2"/>
      <c r="D522" s="134"/>
      <c r="E522" s="2"/>
      <c r="F522" s="2"/>
      <c r="G522" s="67"/>
      <c r="H522" s="67"/>
      <c r="I522" s="67"/>
      <c r="J522" s="2"/>
    </row>
    <row r="523" spans="3:10" x14ac:dyDescent="0.25">
      <c r="C523" s="2"/>
      <c r="D523" s="134"/>
      <c r="E523" s="2"/>
      <c r="F523" s="2"/>
      <c r="G523" s="67"/>
      <c r="H523" s="67"/>
      <c r="I523" s="67"/>
      <c r="J523" s="2"/>
    </row>
    <row r="524" spans="3:10" x14ac:dyDescent="0.25">
      <c r="C524" s="2"/>
      <c r="D524" s="134"/>
      <c r="E524" s="2"/>
      <c r="F524" s="2"/>
      <c r="G524" s="67"/>
      <c r="H524" s="67"/>
      <c r="I524" s="67"/>
      <c r="J524" s="2"/>
    </row>
    <row r="525" spans="3:10" x14ac:dyDescent="0.25">
      <c r="C525" s="2"/>
      <c r="D525" s="134"/>
      <c r="E525" s="2"/>
      <c r="F525" s="2"/>
      <c r="G525" s="67"/>
      <c r="H525" s="67"/>
      <c r="I525" s="67"/>
      <c r="J525" s="2"/>
    </row>
    <row r="526" spans="3:10" x14ac:dyDescent="0.25">
      <c r="C526" s="2"/>
      <c r="D526" s="134"/>
      <c r="E526" s="2"/>
      <c r="F526" s="2"/>
      <c r="G526" s="67"/>
      <c r="H526" s="67"/>
      <c r="I526" s="67"/>
      <c r="J526" s="2"/>
    </row>
    <row r="527" spans="3:10" x14ac:dyDescent="0.25">
      <c r="C527" s="2"/>
      <c r="D527" s="134"/>
      <c r="E527" s="2"/>
      <c r="F527" s="2"/>
      <c r="G527" s="67"/>
      <c r="H527" s="67"/>
      <c r="I527" s="67"/>
      <c r="J527" s="2"/>
    </row>
    <row r="528" spans="3:10" x14ac:dyDescent="0.25">
      <c r="C528" s="2"/>
      <c r="D528" s="134"/>
      <c r="E528" s="2"/>
      <c r="F528" s="2"/>
      <c r="G528" s="67"/>
      <c r="H528" s="67"/>
      <c r="I528" s="67"/>
      <c r="J528" s="2"/>
    </row>
    <row r="529" spans="3:10" x14ac:dyDescent="0.25">
      <c r="C529" s="2"/>
      <c r="D529" s="134"/>
      <c r="E529" s="2"/>
      <c r="F529" s="2"/>
      <c r="G529" s="67"/>
      <c r="H529" s="67"/>
      <c r="I529" s="67"/>
      <c r="J529" s="2"/>
    </row>
    <row r="530" spans="3:10" x14ac:dyDescent="0.25">
      <c r="C530" s="2"/>
      <c r="D530" s="134"/>
      <c r="E530" s="2"/>
      <c r="F530" s="2"/>
      <c r="G530" s="67"/>
      <c r="H530" s="67"/>
      <c r="I530" s="67"/>
      <c r="J530" s="2"/>
    </row>
    <row r="531" spans="3:10" x14ac:dyDescent="0.25">
      <c r="C531" s="2"/>
      <c r="D531" s="134"/>
      <c r="E531" s="2"/>
      <c r="F531" s="2"/>
      <c r="G531" s="67"/>
      <c r="H531" s="67"/>
      <c r="I531" s="67"/>
      <c r="J531" s="2"/>
    </row>
    <row r="532" spans="3:10" x14ac:dyDescent="0.25">
      <c r="C532" s="2"/>
      <c r="D532" s="134"/>
      <c r="E532" s="2"/>
      <c r="F532" s="2"/>
      <c r="G532" s="67"/>
      <c r="H532" s="67"/>
      <c r="I532" s="67"/>
      <c r="J532" s="2"/>
    </row>
    <row r="533" spans="3:10" x14ac:dyDescent="0.25">
      <c r="C533" s="2"/>
      <c r="D533" s="134"/>
      <c r="E533" s="2"/>
      <c r="F533" s="2"/>
      <c r="G533" s="67"/>
      <c r="H533" s="67"/>
      <c r="I533" s="67"/>
      <c r="J533" s="2"/>
    </row>
    <row r="534" spans="3:10" x14ac:dyDescent="0.25">
      <c r="C534" s="2"/>
      <c r="D534" s="134"/>
      <c r="E534" s="2"/>
      <c r="F534" s="2"/>
      <c r="G534" s="67"/>
      <c r="H534" s="67"/>
      <c r="I534" s="67"/>
      <c r="J534" s="2"/>
    </row>
    <row r="535" spans="3:10" x14ac:dyDescent="0.25">
      <c r="C535" s="2"/>
      <c r="D535" s="134"/>
      <c r="E535" s="2"/>
      <c r="F535" s="2"/>
      <c r="G535" s="67"/>
      <c r="H535" s="67"/>
      <c r="I535" s="67"/>
      <c r="J535" s="2"/>
    </row>
    <row r="536" spans="3:10" x14ac:dyDescent="0.25">
      <c r="C536" s="2"/>
      <c r="D536" s="134"/>
      <c r="E536" s="2"/>
      <c r="F536" s="2"/>
      <c r="G536" s="67"/>
      <c r="H536" s="67"/>
      <c r="I536" s="67"/>
      <c r="J536" s="2"/>
    </row>
    <row r="537" spans="3:10" x14ac:dyDescent="0.25">
      <c r="C537" s="2"/>
      <c r="D537" s="134"/>
      <c r="E537" s="2"/>
      <c r="F537" s="2"/>
      <c r="G537" s="67"/>
      <c r="H537" s="67"/>
      <c r="I537" s="67"/>
      <c r="J537" s="2"/>
    </row>
    <row r="538" spans="3:10" x14ac:dyDescent="0.25">
      <c r="C538" s="2"/>
      <c r="D538" s="134"/>
      <c r="E538" s="2"/>
      <c r="F538" s="2"/>
      <c r="G538" s="67"/>
      <c r="H538" s="67"/>
      <c r="I538" s="67"/>
      <c r="J538" s="2"/>
    </row>
    <row r="539" spans="3:10" x14ac:dyDescent="0.25">
      <c r="C539" s="2"/>
      <c r="D539" s="134"/>
      <c r="E539" s="2"/>
      <c r="F539" s="2"/>
      <c r="G539" s="67"/>
      <c r="H539" s="67"/>
      <c r="I539" s="67"/>
      <c r="J539" s="2"/>
    </row>
    <row r="540" spans="3:10" x14ac:dyDescent="0.25">
      <c r="C540" s="2"/>
      <c r="D540" s="134"/>
      <c r="E540" s="2"/>
      <c r="F540" s="2"/>
      <c r="G540" s="67"/>
      <c r="H540" s="67"/>
      <c r="I540" s="67"/>
      <c r="J540" s="2"/>
    </row>
    <row r="541" spans="3:10" x14ac:dyDescent="0.25">
      <c r="C541" s="2"/>
      <c r="D541" s="134"/>
      <c r="E541" s="2"/>
      <c r="F541" s="2"/>
      <c r="G541" s="67"/>
      <c r="H541" s="67"/>
      <c r="I541" s="67"/>
      <c r="J541" s="2"/>
    </row>
    <row r="542" spans="3:10" x14ac:dyDescent="0.25">
      <c r="C542" s="2"/>
      <c r="D542" s="134"/>
      <c r="E542" s="2"/>
      <c r="F542" s="2"/>
      <c r="G542" s="67"/>
      <c r="H542" s="67"/>
      <c r="I542" s="67"/>
      <c r="J542" s="2"/>
    </row>
    <row r="543" spans="3:10" x14ac:dyDescent="0.25">
      <c r="C543" s="2"/>
      <c r="D543" s="134"/>
      <c r="E543" s="2"/>
      <c r="F543" s="2"/>
      <c r="G543" s="67"/>
      <c r="H543" s="67"/>
      <c r="I543" s="67"/>
      <c r="J543" s="2"/>
    </row>
    <row r="544" spans="3:10" x14ac:dyDescent="0.25">
      <c r="C544" s="2"/>
      <c r="D544" s="134"/>
      <c r="E544" s="2"/>
      <c r="F544" s="2"/>
      <c r="G544" s="67"/>
      <c r="H544" s="67"/>
      <c r="I544" s="67"/>
      <c r="J544" s="2"/>
    </row>
    <row r="545" spans="3:10" x14ac:dyDescent="0.25">
      <c r="C545" s="2"/>
      <c r="D545" s="134"/>
      <c r="E545" s="2"/>
      <c r="F545" s="2"/>
      <c r="G545" s="67"/>
      <c r="H545" s="67"/>
      <c r="I545" s="67"/>
      <c r="J545" s="2"/>
    </row>
    <row r="546" spans="3:10" x14ac:dyDescent="0.25">
      <c r="C546" s="2"/>
      <c r="D546" s="134"/>
      <c r="E546" s="2"/>
      <c r="F546" s="2"/>
      <c r="G546" s="67"/>
      <c r="H546" s="67"/>
      <c r="I546" s="67"/>
      <c r="J546" s="2"/>
    </row>
    <row r="547" spans="3:10" x14ac:dyDescent="0.25">
      <c r="C547" s="2"/>
      <c r="D547" s="134"/>
      <c r="E547" s="2"/>
      <c r="F547" s="2"/>
      <c r="G547" s="67"/>
      <c r="H547" s="67"/>
      <c r="I547" s="67"/>
      <c r="J547" s="2"/>
    </row>
    <row r="548" spans="3:10" x14ac:dyDescent="0.25">
      <c r="C548" s="2"/>
      <c r="D548" s="134"/>
      <c r="E548" s="2"/>
      <c r="F548" s="2"/>
      <c r="G548" s="67"/>
      <c r="H548" s="67"/>
      <c r="I548" s="67"/>
      <c r="J548" s="2"/>
    </row>
    <row r="549" spans="3:10" x14ac:dyDescent="0.25">
      <c r="C549" s="2"/>
      <c r="D549" s="134"/>
      <c r="E549" s="2"/>
      <c r="F549" s="2"/>
      <c r="G549" s="67"/>
      <c r="H549" s="67"/>
      <c r="I549" s="67"/>
      <c r="J549" s="2"/>
    </row>
    <row r="550" spans="3:10" x14ac:dyDescent="0.25">
      <c r="C550" s="2"/>
      <c r="D550" s="134"/>
      <c r="E550" s="2"/>
      <c r="F550" s="2"/>
      <c r="G550" s="67"/>
      <c r="H550" s="67"/>
      <c r="I550" s="67"/>
      <c r="J550" s="2"/>
    </row>
    <row r="551" spans="3:10" x14ac:dyDescent="0.25">
      <c r="C551" s="2"/>
      <c r="D551" s="134"/>
      <c r="E551" s="2"/>
      <c r="F551" s="2"/>
      <c r="G551" s="67"/>
      <c r="H551" s="67"/>
      <c r="I551" s="67"/>
      <c r="J551" s="2"/>
    </row>
    <row r="552" spans="3:10" x14ac:dyDescent="0.25">
      <c r="C552" s="2"/>
      <c r="D552" s="134"/>
      <c r="E552" s="3"/>
      <c r="F552" s="2"/>
      <c r="G552" s="67"/>
      <c r="H552" s="67"/>
      <c r="I552" s="67"/>
      <c r="J552" s="2"/>
    </row>
    <row r="553" spans="3:10" x14ac:dyDescent="0.25">
      <c r="C553" s="2"/>
      <c r="D553" s="134"/>
      <c r="E553" s="3"/>
      <c r="F553" s="2"/>
      <c r="G553" s="67"/>
      <c r="H553" s="67"/>
      <c r="I553" s="67"/>
      <c r="J553" s="2"/>
    </row>
    <row r="554" spans="3:10" x14ac:dyDescent="0.25">
      <c r="C554" s="2"/>
      <c r="D554" s="134"/>
      <c r="E554" s="2"/>
      <c r="F554" s="2"/>
      <c r="G554" s="67"/>
      <c r="H554" s="67"/>
      <c r="I554" s="67"/>
      <c r="J554" s="2"/>
    </row>
    <row r="555" spans="3:10" x14ac:dyDescent="0.25">
      <c r="C555" s="2"/>
      <c r="D555" s="134"/>
      <c r="E555" s="2"/>
      <c r="F555" s="2"/>
      <c r="G555" s="67"/>
      <c r="H555" s="67"/>
      <c r="I555" s="67"/>
      <c r="J555" s="2"/>
    </row>
    <row r="556" spans="3:10" x14ac:dyDescent="0.25">
      <c r="C556" s="2"/>
      <c r="D556" s="134"/>
      <c r="E556" s="2"/>
      <c r="F556" s="2"/>
      <c r="G556" s="67"/>
      <c r="H556" s="67"/>
      <c r="I556" s="67"/>
      <c r="J556" s="2"/>
    </row>
    <row r="557" spans="3:10" x14ac:dyDescent="0.25">
      <c r="C557" s="2"/>
      <c r="D557" s="134"/>
      <c r="E557" s="2"/>
      <c r="F557" s="2"/>
      <c r="G557" s="67"/>
      <c r="H557" s="67"/>
      <c r="I557" s="67"/>
      <c r="J557" s="2"/>
    </row>
    <row r="558" spans="3:10" x14ac:dyDescent="0.25">
      <c r="C558" s="2"/>
      <c r="D558" s="134"/>
      <c r="E558" s="2"/>
      <c r="F558" s="2"/>
      <c r="G558" s="67"/>
      <c r="H558" s="67"/>
      <c r="I558" s="67"/>
      <c r="J558" s="2"/>
    </row>
    <row r="559" spans="3:10" x14ac:dyDescent="0.25">
      <c r="C559" s="2"/>
      <c r="D559" s="134"/>
      <c r="E559" s="2"/>
      <c r="F559" s="2"/>
      <c r="G559" s="67"/>
      <c r="H559" s="67"/>
      <c r="I559" s="67"/>
      <c r="J559" s="2"/>
    </row>
    <row r="560" spans="3:10" x14ac:dyDescent="0.25">
      <c r="C560" s="2"/>
      <c r="D560" s="134"/>
      <c r="E560" s="2"/>
      <c r="F560" s="2"/>
      <c r="G560" s="67"/>
      <c r="H560" s="67"/>
      <c r="I560" s="67"/>
      <c r="J560" s="2"/>
    </row>
    <row r="561" spans="3:10" x14ac:dyDescent="0.25">
      <c r="C561" s="2"/>
      <c r="D561" s="134"/>
      <c r="E561" s="2"/>
      <c r="F561" s="2"/>
      <c r="G561" s="67"/>
      <c r="H561" s="67"/>
      <c r="I561" s="67"/>
      <c r="J561" s="2"/>
    </row>
    <row r="562" spans="3:10" x14ac:dyDescent="0.25">
      <c r="C562" s="2"/>
      <c r="D562" s="134"/>
      <c r="E562" s="2"/>
      <c r="F562" s="2"/>
      <c r="G562" s="67"/>
      <c r="H562" s="67"/>
      <c r="I562" s="67"/>
      <c r="J562" s="2"/>
    </row>
    <row r="563" spans="3:10" x14ac:dyDescent="0.25">
      <c r="C563" s="2"/>
      <c r="D563" s="134"/>
      <c r="E563" s="2"/>
      <c r="F563" s="2"/>
      <c r="G563" s="67"/>
      <c r="H563" s="67"/>
      <c r="I563" s="67"/>
      <c r="J563" s="2"/>
    </row>
    <row r="564" spans="3:10" x14ac:dyDescent="0.25">
      <c r="C564" s="2"/>
      <c r="D564" s="134"/>
      <c r="E564" s="2"/>
      <c r="F564" s="2"/>
      <c r="G564" s="67"/>
      <c r="H564" s="67"/>
      <c r="I564" s="67"/>
      <c r="J564" s="2"/>
    </row>
    <row r="565" spans="3:10" x14ac:dyDescent="0.25">
      <c r="C565" s="2"/>
      <c r="D565" s="134"/>
      <c r="E565" s="2"/>
      <c r="F565" s="2"/>
      <c r="G565" s="67"/>
      <c r="H565" s="67"/>
      <c r="I565" s="67"/>
      <c r="J565" s="2"/>
    </row>
    <row r="566" spans="3:10" x14ac:dyDescent="0.25">
      <c r="C566" s="2"/>
      <c r="D566" s="134"/>
      <c r="E566" s="2"/>
      <c r="F566" s="2"/>
      <c r="G566" s="67"/>
      <c r="H566" s="67"/>
      <c r="I566" s="67"/>
      <c r="J566" s="2"/>
    </row>
    <row r="567" spans="3:10" x14ac:dyDescent="0.25">
      <c r="C567" s="2"/>
      <c r="D567" s="134"/>
      <c r="E567" s="2"/>
      <c r="F567" s="2"/>
      <c r="G567" s="67"/>
      <c r="H567" s="67"/>
      <c r="I567" s="67"/>
      <c r="J567" s="2"/>
    </row>
    <row r="568" spans="3:10" x14ac:dyDescent="0.25">
      <c r="C568" s="2"/>
      <c r="D568" s="134"/>
      <c r="E568" s="2"/>
      <c r="F568" s="2"/>
      <c r="G568" s="67"/>
      <c r="H568" s="67"/>
      <c r="I568" s="67"/>
      <c r="J568" s="2"/>
    </row>
    <row r="569" spans="3:10" x14ac:dyDescent="0.25">
      <c r="C569" s="2"/>
      <c r="D569" s="134"/>
      <c r="E569" s="2"/>
      <c r="F569" s="2"/>
      <c r="G569" s="67"/>
      <c r="H569" s="67"/>
      <c r="I569" s="67"/>
      <c r="J569" s="2"/>
    </row>
    <row r="570" spans="3:10" x14ac:dyDescent="0.25">
      <c r="C570" s="2"/>
      <c r="D570" s="134"/>
      <c r="E570" s="2"/>
      <c r="F570" s="2"/>
      <c r="G570" s="67"/>
      <c r="H570" s="67"/>
      <c r="I570" s="67"/>
      <c r="J570" s="2"/>
    </row>
    <row r="571" spans="3:10" x14ac:dyDescent="0.25">
      <c r="C571" s="2"/>
      <c r="D571" s="134"/>
      <c r="E571" s="2"/>
      <c r="F571" s="2"/>
      <c r="G571" s="67"/>
      <c r="H571" s="67"/>
      <c r="I571" s="67"/>
      <c r="J571" s="2"/>
    </row>
    <row r="572" spans="3:10" x14ac:dyDescent="0.25">
      <c r="C572" s="2"/>
      <c r="D572" s="134"/>
      <c r="E572" s="2"/>
      <c r="F572" s="2"/>
      <c r="G572" s="67"/>
      <c r="H572" s="67"/>
      <c r="I572" s="67"/>
      <c r="J572" s="2"/>
    </row>
    <row r="573" spans="3:10" x14ac:dyDescent="0.25">
      <c r="C573" s="2"/>
      <c r="D573" s="134"/>
      <c r="E573" s="2"/>
      <c r="F573" s="2"/>
      <c r="G573" s="67"/>
      <c r="H573" s="67"/>
      <c r="I573" s="67"/>
      <c r="J573" s="2"/>
    </row>
    <row r="574" spans="3:10" x14ac:dyDescent="0.25">
      <c r="C574" s="2"/>
      <c r="D574" s="134"/>
      <c r="E574" s="2"/>
      <c r="F574" s="2"/>
      <c r="G574" s="67"/>
      <c r="H574" s="67"/>
      <c r="I574" s="67"/>
      <c r="J574" s="2"/>
    </row>
    <row r="575" spans="3:10" x14ac:dyDescent="0.25">
      <c r="C575" s="2"/>
      <c r="D575" s="134"/>
      <c r="E575" s="2"/>
      <c r="F575" s="2"/>
      <c r="G575" s="67"/>
      <c r="H575" s="67"/>
      <c r="I575" s="67"/>
      <c r="J575" s="2"/>
    </row>
    <row r="576" spans="3:10" x14ac:dyDescent="0.25">
      <c r="C576" s="2"/>
      <c r="D576" s="134"/>
      <c r="E576" s="2"/>
      <c r="F576" s="2"/>
      <c r="G576" s="67"/>
      <c r="H576" s="67"/>
      <c r="I576" s="67"/>
      <c r="J576" s="2"/>
    </row>
    <row r="577" spans="3:10" x14ac:dyDescent="0.25">
      <c r="C577" s="2"/>
      <c r="D577" s="134"/>
      <c r="E577" s="2"/>
      <c r="F577" s="2"/>
      <c r="G577" s="67"/>
      <c r="H577" s="67"/>
      <c r="I577" s="67"/>
      <c r="J577" s="2"/>
    </row>
    <row r="578" spans="3:10" x14ac:dyDescent="0.25">
      <c r="C578" s="2"/>
      <c r="D578" s="134"/>
      <c r="E578" s="2"/>
      <c r="F578" s="2"/>
      <c r="G578" s="67"/>
      <c r="H578" s="67"/>
      <c r="I578" s="67"/>
      <c r="J578" s="2"/>
    </row>
    <row r="579" spans="3:10" x14ac:dyDescent="0.25">
      <c r="C579" s="2"/>
      <c r="D579" s="134"/>
      <c r="E579" s="2"/>
      <c r="F579" s="2"/>
      <c r="G579" s="67"/>
      <c r="H579" s="67"/>
      <c r="I579" s="67"/>
      <c r="J579" s="2"/>
    </row>
    <row r="580" spans="3:10" x14ac:dyDescent="0.25">
      <c r="C580" s="2"/>
      <c r="D580" s="134"/>
      <c r="E580" s="2"/>
      <c r="F580" s="2"/>
      <c r="G580" s="67"/>
      <c r="H580" s="67"/>
      <c r="I580" s="67"/>
      <c r="J580" s="2"/>
    </row>
    <row r="581" spans="3:10" x14ac:dyDescent="0.25">
      <c r="C581" s="2"/>
      <c r="D581" s="134"/>
      <c r="E581" s="2"/>
      <c r="F581" s="2"/>
      <c r="G581" s="67"/>
      <c r="H581" s="67"/>
      <c r="I581" s="67"/>
      <c r="J581" s="2"/>
    </row>
    <row r="582" spans="3:10" x14ac:dyDescent="0.25">
      <c r="C582" s="2"/>
      <c r="D582" s="134"/>
      <c r="E582" s="2"/>
      <c r="F582" s="2"/>
      <c r="G582" s="67"/>
      <c r="H582" s="67"/>
      <c r="I582" s="67"/>
      <c r="J582" s="2"/>
    </row>
    <row r="583" spans="3:10" x14ac:dyDescent="0.25">
      <c r="C583" s="2"/>
      <c r="D583" s="134"/>
      <c r="E583" s="2"/>
      <c r="F583" s="2"/>
      <c r="G583" s="67"/>
      <c r="H583" s="67"/>
      <c r="I583" s="67"/>
      <c r="J583" s="2"/>
    </row>
    <row r="584" spans="3:10" x14ac:dyDescent="0.25">
      <c r="C584" s="2"/>
      <c r="D584" s="134"/>
      <c r="E584" s="2"/>
      <c r="F584" s="2"/>
      <c r="G584" s="67"/>
      <c r="H584" s="67"/>
      <c r="I584" s="67"/>
      <c r="J584" s="2"/>
    </row>
    <row r="585" spans="3:10" x14ac:dyDescent="0.25">
      <c r="C585" s="2"/>
      <c r="D585" s="134"/>
      <c r="E585" s="2"/>
      <c r="F585" s="2"/>
      <c r="G585" s="67"/>
      <c r="H585" s="67"/>
      <c r="I585" s="67"/>
      <c r="J585" s="2"/>
    </row>
    <row r="586" spans="3:10" x14ac:dyDescent="0.25">
      <c r="C586" s="2"/>
      <c r="D586" s="134"/>
      <c r="E586" s="2"/>
      <c r="F586" s="2"/>
      <c r="G586" s="67"/>
      <c r="H586" s="67"/>
      <c r="I586" s="67"/>
      <c r="J586" s="2"/>
    </row>
    <row r="587" spans="3:10" x14ac:dyDescent="0.25">
      <c r="C587" s="2"/>
      <c r="D587" s="134"/>
      <c r="E587" s="2"/>
      <c r="F587" s="2"/>
      <c r="G587" s="67"/>
      <c r="H587" s="67"/>
      <c r="I587" s="67"/>
      <c r="J587" s="2"/>
    </row>
    <row r="588" spans="3:10" x14ac:dyDescent="0.25">
      <c r="C588" s="2"/>
      <c r="D588" s="134"/>
      <c r="E588" s="2"/>
      <c r="F588" s="2"/>
      <c r="G588" s="67"/>
      <c r="H588" s="67"/>
      <c r="I588" s="67"/>
      <c r="J588" s="2"/>
    </row>
    <row r="589" spans="3:10" x14ac:dyDescent="0.25">
      <c r="C589" s="2"/>
      <c r="D589" s="134"/>
      <c r="E589" s="2"/>
      <c r="F589" s="2"/>
      <c r="G589" s="67"/>
      <c r="H589" s="67"/>
      <c r="I589" s="67"/>
      <c r="J589" s="2"/>
    </row>
    <row r="590" spans="3:10" x14ac:dyDescent="0.25">
      <c r="C590" s="2"/>
      <c r="D590" s="134"/>
      <c r="E590" s="2"/>
      <c r="F590" s="2"/>
      <c r="G590" s="67"/>
      <c r="H590" s="67"/>
      <c r="I590" s="67"/>
      <c r="J590" s="2"/>
    </row>
    <row r="591" spans="3:10" x14ac:dyDescent="0.25">
      <c r="C591" s="2"/>
      <c r="D591" s="134"/>
      <c r="E591" s="2"/>
      <c r="F591" s="2"/>
      <c r="G591" s="67"/>
      <c r="H591" s="67"/>
      <c r="I591" s="67"/>
      <c r="J591" s="2"/>
    </row>
    <row r="592" spans="3:10" x14ac:dyDescent="0.25">
      <c r="C592" s="2"/>
      <c r="D592" s="134"/>
      <c r="E592" s="2"/>
      <c r="F592" s="2"/>
      <c r="G592" s="67"/>
      <c r="H592" s="67"/>
      <c r="I592" s="67"/>
      <c r="J592" s="2"/>
    </row>
    <row r="593" spans="3:10" x14ac:dyDescent="0.25">
      <c r="C593" s="2"/>
      <c r="D593" s="134"/>
      <c r="E593" s="2"/>
      <c r="F593" s="2"/>
      <c r="G593" s="67"/>
      <c r="H593" s="67"/>
      <c r="I593" s="67"/>
      <c r="J593" s="2"/>
    </row>
    <row r="594" spans="3:10" x14ac:dyDescent="0.25">
      <c r="C594" s="2"/>
      <c r="D594" s="134"/>
      <c r="E594" s="2"/>
      <c r="F594" s="2"/>
      <c r="G594" s="67"/>
      <c r="H594" s="67"/>
      <c r="I594" s="67"/>
      <c r="J594" s="2"/>
    </row>
    <row r="595" spans="3:10" x14ac:dyDescent="0.25">
      <c r="C595" s="2"/>
      <c r="D595" s="134"/>
      <c r="E595" s="2"/>
      <c r="F595" s="2"/>
      <c r="G595" s="67"/>
      <c r="H595" s="67"/>
      <c r="I595" s="67"/>
      <c r="J595" s="2"/>
    </row>
    <row r="596" spans="3:10" x14ac:dyDescent="0.25">
      <c r="C596" s="2"/>
      <c r="D596" s="134"/>
      <c r="E596" s="2"/>
      <c r="F596" s="2"/>
      <c r="G596" s="67"/>
      <c r="H596" s="67"/>
      <c r="I596" s="67"/>
      <c r="J596" s="2"/>
    </row>
    <row r="597" spans="3:10" x14ac:dyDescent="0.25">
      <c r="C597" s="2"/>
      <c r="D597" s="134"/>
      <c r="E597" s="2"/>
      <c r="F597" s="2"/>
      <c r="G597" s="67"/>
      <c r="H597" s="67"/>
      <c r="I597" s="67"/>
      <c r="J597" s="2"/>
    </row>
    <row r="598" spans="3:10" x14ac:dyDescent="0.25">
      <c r="C598" s="2"/>
      <c r="D598" s="134"/>
      <c r="E598" s="2"/>
      <c r="F598" s="2"/>
      <c r="G598" s="67"/>
      <c r="H598" s="67"/>
      <c r="I598" s="67"/>
      <c r="J598" s="2"/>
    </row>
    <row r="599" spans="3:10" x14ac:dyDescent="0.25">
      <c r="C599" s="2"/>
      <c r="D599" s="134"/>
      <c r="E599" s="2"/>
      <c r="F599" s="2"/>
      <c r="G599" s="67"/>
      <c r="H599" s="67"/>
      <c r="I599" s="67"/>
      <c r="J599" s="2"/>
    </row>
    <row r="600" spans="3:10" x14ac:dyDescent="0.25">
      <c r="C600" s="2"/>
      <c r="D600" s="134"/>
      <c r="E600" s="2"/>
      <c r="F600" s="2"/>
      <c r="G600" s="67"/>
      <c r="H600" s="67"/>
      <c r="I600" s="67"/>
      <c r="J600" s="2"/>
    </row>
    <row r="601" spans="3:10" x14ac:dyDescent="0.25">
      <c r="C601" s="2"/>
      <c r="D601" s="134"/>
      <c r="E601" s="2"/>
      <c r="F601" s="2"/>
      <c r="G601" s="67"/>
      <c r="H601" s="67"/>
      <c r="I601" s="67"/>
      <c r="J601" s="2"/>
    </row>
    <row r="602" spans="3:10" x14ac:dyDescent="0.25">
      <c r="C602" s="2"/>
      <c r="D602" s="134"/>
      <c r="E602" s="2"/>
      <c r="F602" s="2"/>
      <c r="G602" s="67"/>
      <c r="H602" s="67"/>
      <c r="I602" s="67"/>
      <c r="J602" s="2"/>
    </row>
    <row r="603" spans="3:10" x14ac:dyDescent="0.25">
      <c r="C603" s="2"/>
      <c r="D603" s="134"/>
      <c r="E603" s="2"/>
      <c r="F603" s="2"/>
      <c r="G603" s="67"/>
      <c r="H603" s="67"/>
      <c r="I603" s="67"/>
      <c r="J603" s="2"/>
    </row>
    <row r="604" spans="3:10" x14ac:dyDescent="0.25">
      <c r="C604" s="2"/>
      <c r="D604" s="134"/>
      <c r="E604" s="2"/>
      <c r="F604" s="2"/>
      <c r="G604" s="67"/>
      <c r="H604" s="67"/>
      <c r="I604" s="67"/>
      <c r="J604" s="2"/>
    </row>
    <row r="605" spans="3:10" x14ac:dyDescent="0.25">
      <c r="C605" s="2"/>
      <c r="D605" s="134"/>
      <c r="E605" s="2"/>
      <c r="F605" s="2"/>
      <c r="G605" s="67"/>
      <c r="H605" s="67"/>
      <c r="I605" s="67"/>
      <c r="J605" s="2"/>
    </row>
    <row r="606" spans="3:10" x14ac:dyDescent="0.25">
      <c r="C606" s="2"/>
      <c r="D606" s="134"/>
      <c r="E606" s="2"/>
      <c r="F606" s="2"/>
      <c r="G606" s="67"/>
      <c r="H606" s="67"/>
      <c r="I606" s="67"/>
      <c r="J606" s="2"/>
    </row>
    <row r="607" spans="3:10" x14ac:dyDescent="0.25">
      <c r="C607" s="2"/>
      <c r="D607" s="134"/>
      <c r="E607" s="2"/>
      <c r="F607" s="2"/>
      <c r="G607" s="67"/>
      <c r="H607" s="67"/>
      <c r="I607" s="67"/>
      <c r="J607" s="2"/>
    </row>
    <row r="608" spans="3:10" x14ac:dyDescent="0.25">
      <c r="C608" s="2"/>
      <c r="D608" s="134"/>
      <c r="E608" s="2"/>
      <c r="F608" s="2"/>
      <c r="G608" s="67"/>
      <c r="H608" s="67"/>
      <c r="I608" s="67"/>
      <c r="J608" s="2"/>
    </row>
    <row r="609" spans="3:10" x14ac:dyDescent="0.25">
      <c r="C609" s="2"/>
      <c r="D609" s="134"/>
      <c r="E609" s="2"/>
      <c r="F609" s="2"/>
      <c r="G609" s="67"/>
      <c r="H609" s="67"/>
      <c r="I609" s="67"/>
      <c r="J609" s="2"/>
    </row>
    <row r="610" spans="3:10" x14ac:dyDescent="0.25">
      <c r="C610" s="2"/>
      <c r="D610" s="134"/>
      <c r="E610" s="2"/>
      <c r="F610" s="2"/>
      <c r="G610" s="67"/>
      <c r="H610" s="67"/>
      <c r="I610" s="67"/>
      <c r="J610" s="2"/>
    </row>
    <row r="611" spans="3:10" x14ac:dyDescent="0.25">
      <c r="C611" s="2"/>
      <c r="D611" s="134"/>
      <c r="E611" s="2"/>
      <c r="F611" s="2"/>
      <c r="G611" s="67"/>
      <c r="H611" s="67"/>
      <c r="I611" s="67"/>
      <c r="J611" s="2"/>
    </row>
    <row r="612" spans="3:10" x14ac:dyDescent="0.25">
      <c r="C612" s="2"/>
      <c r="D612" s="134"/>
      <c r="E612" s="2"/>
      <c r="F612" s="2"/>
      <c r="G612" s="67"/>
      <c r="H612" s="67"/>
      <c r="I612" s="67"/>
      <c r="J612" s="2"/>
    </row>
    <row r="613" spans="3:10" x14ac:dyDescent="0.25">
      <c r="C613" s="2"/>
      <c r="D613" s="134"/>
      <c r="E613" s="2"/>
      <c r="F613" s="2"/>
      <c r="G613" s="67"/>
      <c r="H613" s="67"/>
      <c r="I613" s="67"/>
      <c r="J613" s="2"/>
    </row>
    <row r="614" spans="3:10" x14ac:dyDescent="0.25">
      <c r="C614" s="2"/>
      <c r="D614" s="134"/>
      <c r="E614" s="2"/>
      <c r="F614" s="2"/>
      <c r="G614" s="67"/>
      <c r="H614" s="67"/>
      <c r="I614" s="67"/>
      <c r="J614" s="2"/>
    </row>
    <row r="615" spans="3:10" x14ac:dyDescent="0.25">
      <c r="C615" s="2"/>
      <c r="D615" s="134"/>
      <c r="E615" s="2"/>
      <c r="F615" s="2"/>
      <c r="G615" s="67"/>
      <c r="H615" s="67"/>
      <c r="I615" s="67"/>
      <c r="J615" s="2"/>
    </row>
    <row r="616" spans="3:10" x14ac:dyDescent="0.25">
      <c r="C616" s="2"/>
      <c r="D616" s="134"/>
      <c r="E616" s="2"/>
      <c r="F616" s="2"/>
      <c r="G616" s="67"/>
      <c r="H616" s="67"/>
      <c r="I616" s="67"/>
      <c r="J616" s="2"/>
    </row>
    <row r="617" spans="3:10" x14ac:dyDescent="0.25">
      <c r="C617" s="2"/>
      <c r="D617" s="134"/>
      <c r="E617" s="2"/>
      <c r="F617" s="2"/>
      <c r="G617" s="67"/>
      <c r="H617" s="67"/>
      <c r="I617" s="67"/>
      <c r="J617" s="2"/>
    </row>
    <row r="618" spans="3:10" x14ac:dyDescent="0.25">
      <c r="C618" s="2"/>
      <c r="D618" s="134"/>
      <c r="E618" s="2"/>
      <c r="F618" s="2"/>
      <c r="G618" s="67"/>
      <c r="H618" s="67"/>
      <c r="I618" s="67"/>
      <c r="J618" s="2"/>
    </row>
    <row r="619" spans="3:10" x14ac:dyDescent="0.25">
      <c r="C619" s="2"/>
      <c r="D619" s="134"/>
      <c r="E619" s="2"/>
      <c r="F619" s="2"/>
      <c r="G619" s="67"/>
      <c r="H619" s="67"/>
      <c r="I619" s="67"/>
      <c r="J619" s="2"/>
    </row>
    <row r="620" spans="3:10" x14ac:dyDescent="0.25">
      <c r="C620" s="2"/>
      <c r="D620" s="134"/>
      <c r="E620" s="2"/>
      <c r="F620" s="2"/>
      <c r="G620" s="67"/>
      <c r="H620" s="67"/>
      <c r="I620" s="67"/>
      <c r="J620" s="2"/>
    </row>
    <row r="621" spans="3:10" x14ac:dyDescent="0.25">
      <c r="C621" s="2"/>
      <c r="D621" s="134"/>
      <c r="E621" s="2"/>
      <c r="F621" s="2"/>
      <c r="G621" s="67"/>
      <c r="H621" s="67"/>
      <c r="I621" s="67"/>
      <c r="J621" s="2"/>
    </row>
    <row r="622" spans="3:10" x14ac:dyDescent="0.25">
      <c r="C622" s="2"/>
      <c r="D622" s="134"/>
      <c r="E622" s="2"/>
      <c r="F622" s="2"/>
      <c r="G622" s="67"/>
      <c r="H622" s="67"/>
      <c r="I622" s="67"/>
      <c r="J622" s="2"/>
    </row>
    <row r="623" spans="3:10" x14ac:dyDescent="0.25">
      <c r="C623" s="2"/>
      <c r="D623" s="134"/>
      <c r="E623" s="2"/>
      <c r="F623" s="2"/>
      <c r="G623" s="67"/>
      <c r="H623" s="67"/>
      <c r="I623" s="67"/>
      <c r="J623" s="2"/>
    </row>
    <row r="624" spans="3:10" x14ac:dyDescent="0.25">
      <c r="C624" s="2"/>
      <c r="D624" s="134"/>
      <c r="E624" s="2"/>
      <c r="F624" s="2"/>
      <c r="G624" s="67"/>
      <c r="H624" s="67"/>
      <c r="I624" s="67"/>
      <c r="J624" s="2"/>
    </row>
    <row r="625" spans="3:10" x14ac:dyDescent="0.25">
      <c r="C625" s="2"/>
      <c r="D625" s="134"/>
      <c r="E625" s="2"/>
      <c r="F625" s="2"/>
      <c r="G625" s="67"/>
      <c r="H625" s="67"/>
      <c r="I625" s="67"/>
      <c r="J625" s="2"/>
    </row>
    <row r="626" spans="3:10" x14ac:dyDescent="0.25">
      <c r="C626" s="2"/>
      <c r="D626" s="134"/>
      <c r="E626" s="2"/>
      <c r="F626" s="2"/>
      <c r="G626" s="67"/>
      <c r="H626" s="67"/>
      <c r="I626" s="67"/>
      <c r="J626" s="2"/>
    </row>
    <row r="627" spans="3:10" x14ac:dyDescent="0.25">
      <c r="C627" s="2"/>
      <c r="D627" s="134"/>
      <c r="E627" s="2"/>
      <c r="F627" s="2"/>
      <c r="G627" s="67"/>
      <c r="H627" s="67"/>
      <c r="I627" s="67"/>
      <c r="J627" s="2"/>
    </row>
    <row r="628" spans="3:10" x14ac:dyDescent="0.25">
      <c r="C628" s="2"/>
      <c r="D628" s="134"/>
      <c r="E628" s="2"/>
      <c r="F628" s="2"/>
      <c r="G628" s="67"/>
      <c r="H628" s="67"/>
      <c r="I628" s="67"/>
      <c r="J628" s="2"/>
    </row>
    <row r="629" spans="3:10" x14ac:dyDescent="0.25">
      <c r="C629" s="2"/>
      <c r="D629" s="134"/>
      <c r="E629" s="2"/>
      <c r="F629" s="2"/>
      <c r="G629" s="67"/>
      <c r="H629" s="67"/>
      <c r="I629" s="67"/>
      <c r="J629" s="2"/>
    </row>
    <row r="630" spans="3:10" x14ac:dyDescent="0.25">
      <c r="C630" s="2"/>
      <c r="D630" s="134"/>
      <c r="E630" s="2"/>
      <c r="F630" s="2"/>
      <c r="G630" s="67"/>
      <c r="H630" s="67"/>
      <c r="I630" s="67"/>
      <c r="J630" s="2"/>
    </row>
    <row r="631" spans="3:10" x14ac:dyDescent="0.25">
      <c r="C631" s="2"/>
      <c r="D631" s="134"/>
      <c r="E631" s="2"/>
      <c r="F631" s="2"/>
      <c r="G631" s="67"/>
      <c r="H631" s="67"/>
      <c r="I631" s="67"/>
      <c r="J631" s="2"/>
    </row>
    <row r="632" spans="3:10" x14ac:dyDescent="0.25">
      <c r="C632" s="2"/>
      <c r="D632" s="134"/>
      <c r="E632" s="2"/>
      <c r="F632" s="2"/>
      <c r="G632" s="67"/>
      <c r="H632" s="67"/>
      <c r="I632" s="67"/>
      <c r="J632" s="2"/>
    </row>
    <row r="633" spans="3:10" x14ac:dyDescent="0.25">
      <c r="C633" s="2"/>
      <c r="D633" s="134"/>
      <c r="E633" s="2"/>
      <c r="F633" s="2"/>
      <c r="G633" s="67"/>
      <c r="H633" s="67"/>
      <c r="I633" s="67"/>
      <c r="J633" s="2"/>
    </row>
    <row r="634" spans="3:10" x14ac:dyDescent="0.25">
      <c r="C634" s="2"/>
      <c r="D634" s="134"/>
      <c r="E634" s="2"/>
      <c r="F634" s="2"/>
      <c r="G634" s="67"/>
      <c r="H634" s="67"/>
      <c r="I634" s="67"/>
      <c r="J634" s="2"/>
    </row>
    <row r="635" spans="3:10" x14ac:dyDescent="0.25">
      <c r="C635" s="2"/>
      <c r="D635" s="134"/>
      <c r="E635" s="2"/>
      <c r="F635" s="2"/>
      <c r="G635" s="67"/>
      <c r="H635" s="67"/>
      <c r="I635" s="67"/>
      <c r="J635" s="2"/>
    </row>
    <row r="636" spans="3:10" x14ac:dyDescent="0.25">
      <c r="C636" s="2"/>
      <c r="D636" s="134"/>
      <c r="E636" s="2"/>
      <c r="F636" s="2"/>
      <c r="G636" s="67"/>
      <c r="H636" s="67"/>
      <c r="I636" s="67"/>
      <c r="J636" s="2"/>
    </row>
    <row r="637" spans="3:10" x14ac:dyDescent="0.25">
      <c r="C637" s="2"/>
      <c r="D637" s="134"/>
      <c r="E637" s="2"/>
      <c r="F637" s="2"/>
      <c r="G637" s="67"/>
      <c r="H637" s="67"/>
      <c r="I637" s="67"/>
      <c r="J637" s="2"/>
    </row>
    <row r="638" spans="3:10" x14ac:dyDescent="0.25">
      <c r="C638" s="2"/>
      <c r="D638" s="134"/>
      <c r="E638" s="2"/>
      <c r="F638" s="2"/>
      <c r="G638" s="67"/>
      <c r="H638" s="67"/>
      <c r="I638" s="67"/>
      <c r="J638" s="2"/>
    </row>
    <row r="639" spans="3:10" x14ac:dyDescent="0.25">
      <c r="C639" s="2"/>
      <c r="D639" s="134"/>
      <c r="E639" s="2"/>
      <c r="F639" s="2"/>
      <c r="G639" s="67"/>
      <c r="H639" s="67"/>
      <c r="I639" s="67"/>
      <c r="J639" s="2"/>
    </row>
    <row r="640" spans="3:10" x14ac:dyDescent="0.25">
      <c r="C640" s="2"/>
      <c r="D640" s="134"/>
      <c r="E640" s="2"/>
      <c r="F640" s="2"/>
      <c r="G640" s="67"/>
      <c r="H640" s="67"/>
      <c r="I640" s="67"/>
      <c r="J640" s="2"/>
    </row>
    <row r="641" spans="3:10" x14ac:dyDescent="0.25">
      <c r="C641" s="2"/>
      <c r="D641" s="134"/>
      <c r="E641" s="2"/>
      <c r="F641" s="2"/>
      <c r="G641" s="67"/>
      <c r="H641" s="67"/>
      <c r="I641" s="67"/>
      <c r="J641" s="2"/>
    </row>
    <row r="642" spans="3:10" x14ac:dyDescent="0.25">
      <c r="C642" s="2"/>
      <c r="D642" s="134"/>
      <c r="E642" s="2"/>
      <c r="F642" s="2"/>
      <c r="G642" s="67"/>
      <c r="H642" s="67"/>
      <c r="I642" s="67"/>
      <c r="J642" s="2"/>
    </row>
    <row r="643" spans="3:10" x14ac:dyDescent="0.25">
      <c r="C643" s="2"/>
      <c r="D643" s="134"/>
      <c r="E643" s="2"/>
      <c r="F643" s="2"/>
      <c r="G643" s="67"/>
      <c r="H643" s="67"/>
      <c r="I643" s="67"/>
      <c r="J643" s="2"/>
    </row>
    <row r="644" spans="3:10" x14ac:dyDescent="0.25">
      <c r="C644" s="2"/>
      <c r="D644" s="134"/>
      <c r="E644" s="2"/>
      <c r="F644" s="2"/>
      <c r="G644" s="67"/>
      <c r="H644" s="67"/>
      <c r="I644" s="67"/>
      <c r="J644" s="2"/>
    </row>
    <row r="645" spans="3:10" x14ac:dyDescent="0.25">
      <c r="C645" s="2"/>
      <c r="D645" s="134"/>
      <c r="E645" s="2"/>
      <c r="F645" s="2"/>
      <c r="G645" s="67"/>
      <c r="H645" s="67"/>
      <c r="I645" s="67"/>
      <c r="J645" s="2"/>
    </row>
    <row r="646" spans="3:10" x14ac:dyDescent="0.25">
      <c r="C646" s="2"/>
      <c r="D646" s="134"/>
      <c r="E646" s="2"/>
      <c r="F646" s="2"/>
      <c r="G646" s="67"/>
      <c r="H646" s="67"/>
      <c r="I646" s="67"/>
      <c r="J646" s="2"/>
    </row>
    <row r="647" spans="3:10" x14ac:dyDescent="0.25">
      <c r="C647" s="2"/>
      <c r="D647" s="134"/>
      <c r="E647" s="2"/>
      <c r="F647" s="2"/>
      <c r="G647" s="67"/>
      <c r="H647" s="67"/>
      <c r="I647" s="67"/>
      <c r="J647" s="2"/>
    </row>
    <row r="648" spans="3:10" x14ac:dyDescent="0.25">
      <c r="C648" s="2"/>
      <c r="D648" s="134"/>
      <c r="E648" s="2"/>
      <c r="F648" s="2"/>
      <c r="G648" s="67"/>
      <c r="H648" s="67"/>
      <c r="I648" s="67"/>
      <c r="J648" s="2"/>
    </row>
    <row r="649" spans="3:10" x14ac:dyDescent="0.25">
      <c r="C649" s="2"/>
      <c r="D649" s="134"/>
      <c r="E649" s="2"/>
      <c r="F649" s="2"/>
      <c r="G649" s="67"/>
      <c r="H649" s="67"/>
      <c r="I649" s="67"/>
      <c r="J649" s="2"/>
    </row>
    <row r="650" spans="3:10" x14ac:dyDescent="0.25">
      <c r="C650" s="2"/>
      <c r="D650" s="134"/>
      <c r="E650" s="2"/>
      <c r="F650" s="2"/>
      <c r="G650" s="67"/>
      <c r="H650" s="67"/>
      <c r="I650" s="67"/>
      <c r="J650" s="2"/>
    </row>
    <row r="651" spans="3:10" x14ac:dyDescent="0.25">
      <c r="C651" s="2"/>
      <c r="D651" s="134"/>
      <c r="E651" s="2"/>
      <c r="F651" s="2"/>
      <c r="G651" s="67"/>
      <c r="H651" s="67"/>
      <c r="I651" s="67"/>
      <c r="J651" s="2"/>
    </row>
    <row r="652" spans="3:10" x14ac:dyDescent="0.25">
      <c r="C652" s="2"/>
      <c r="D652" s="134"/>
      <c r="E652" s="2"/>
      <c r="F652" s="2"/>
      <c r="G652" s="67"/>
      <c r="H652" s="67"/>
      <c r="I652" s="67"/>
      <c r="J652" s="2"/>
    </row>
    <row r="653" spans="3:10" x14ac:dyDescent="0.25">
      <c r="C653" s="2"/>
      <c r="D653" s="134"/>
      <c r="E653" s="2"/>
      <c r="F653" s="2"/>
      <c r="G653" s="67"/>
      <c r="H653" s="67"/>
      <c r="I653" s="67"/>
      <c r="J653" s="2"/>
    </row>
    <row r="654" spans="3:10" x14ac:dyDescent="0.25">
      <c r="C654" s="2"/>
      <c r="D654" s="134"/>
      <c r="E654" s="2"/>
      <c r="F654" s="2"/>
      <c r="G654" s="67"/>
      <c r="H654" s="67"/>
      <c r="I654" s="67"/>
      <c r="J654" s="2"/>
    </row>
    <row r="655" spans="3:10" x14ac:dyDescent="0.25">
      <c r="C655" s="2"/>
      <c r="D655" s="134"/>
      <c r="E655" s="2"/>
      <c r="F655" s="2"/>
      <c r="G655" s="67"/>
      <c r="H655" s="67"/>
      <c r="I655" s="67"/>
      <c r="J655" s="2"/>
    </row>
    <row r="656" spans="3:10" x14ac:dyDescent="0.25">
      <c r="C656" s="2"/>
      <c r="D656" s="134"/>
      <c r="E656" s="2"/>
      <c r="F656" s="2"/>
      <c r="G656" s="67"/>
      <c r="H656" s="67"/>
      <c r="I656" s="67"/>
      <c r="J656" s="2"/>
    </row>
    <row r="657" spans="3:10" x14ac:dyDescent="0.25">
      <c r="C657" s="2"/>
      <c r="D657" s="134"/>
      <c r="E657" s="2"/>
      <c r="F657" s="2"/>
      <c r="G657" s="67"/>
      <c r="H657" s="67"/>
      <c r="I657" s="67"/>
      <c r="J657" s="2"/>
    </row>
    <row r="658" spans="3:10" x14ac:dyDescent="0.25">
      <c r="C658" s="2"/>
      <c r="D658" s="134"/>
      <c r="E658" s="2"/>
      <c r="F658" s="2"/>
      <c r="G658" s="67"/>
      <c r="H658" s="67"/>
      <c r="I658" s="67"/>
      <c r="J658" s="2"/>
    </row>
    <row r="659" spans="3:10" x14ac:dyDescent="0.25">
      <c r="C659" s="2"/>
      <c r="D659" s="134"/>
      <c r="E659" s="2"/>
      <c r="F659" s="2"/>
      <c r="G659" s="67"/>
      <c r="H659" s="67"/>
      <c r="I659" s="67"/>
      <c r="J659" s="2"/>
    </row>
    <row r="660" spans="3:10" x14ac:dyDescent="0.25">
      <c r="C660" s="2"/>
      <c r="D660" s="134"/>
      <c r="E660" s="2"/>
      <c r="F660" s="2"/>
      <c r="G660" s="67"/>
      <c r="H660" s="67"/>
      <c r="I660" s="67"/>
      <c r="J660" s="2"/>
    </row>
    <row r="661" spans="3:10" x14ac:dyDescent="0.25">
      <c r="C661" s="2"/>
      <c r="D661" s="134"/>
      <c r="E661" s="2"/>
      <c r="F661" s="2"/>
      <c r="G661" s="67"/>
      <c r="H661" s="67"/>
      <c r="I661" s="67"/>
      <c r="J661" s="2"/>
    </row>
    <row r="662" spans="3:10" x14ac:dyDescent="0.25">
      <c r="C662" s="2"/>
      <c r="D662" s="134"/>
      <c r="E662" s="2"/>
      <c r="F662" s="2"/>
      <c r="G662" s="67"/>
      <c r="H662" s="67"/>
      <c r="I662" s="67"/>
      <c r="J662" s="2"/>
    </row>
    <row r="663" spans="3:10" x14ac:dyDescent="0.25">
      <c r="C663" s="2"/>
      <c r="D663" s="134"/>
      <c r="E663" s="2"/>
      <c r="F663" s="2"/>
      <c r="G663" s="67"/>
      <c r="H663" s="67"/>
      <c r="I663" s="67"/>
      <c r="J663" s="2"/>
    </row>
    <row r="664" spans="3:10" x14ac:dyDescent="0.25">
      <c r="C664" s="2"/>
      <c r="D664" s="134"/>
      <c r="E664" s="2"/>
      <c r="F664" s="2"/>
      <c r="G664" s="67"/>
      <c r="H664" s="67"/>
      <c r="I664" s="67"/>
      <c r="J664" s="2"/>
    </row>
    <row r="665" spans="3:10" x14ac:dyDescent="0.25">
      <c r="C665" s="2"/>
      <c r="D665" s="134"/>
      <c r="E665" s="2"/>
      <c r="F665" s="2"/>
      <c r="G665" s="67"/>
      <c r="H665" s="67"/>
      <c r="I665" s="67"/>
      <c r="J665" s="2"/>
    </row>
    <row r="666" spans="3:10" x14ac:dyDescent="0.25">
      <c r="C666" s="2"/>
      <c r="D666" s="134"/>
      <c r="E666" s="2"/>
      <c r="F666" s="2"/>
      <c r="G666" s="67"/>
      <c r="H666" s="67"/>
      <c r="I666" s="67"/>
      <c r="J666" s="2"/>
    </row>
    <row r="667" spans="3:10" x14ac:dyDescent="0.25">
      <c r="C667" s="2"/>
      <c r="D667" s="134"/>
      <c r="E667" s="2"/>
      <c r="F667" s="2"/>
      <c r="G667" s="67"/>
      <c r="H667" s="67"/>
      <c r="I667" s="67"/>
      <c r="J667" s="2"/>
    </row>
    <row r="668" spans="3:10" x14ac:dyDescent="0.25">
      <c r="C668" s="2"/>
      <c r="D668" s="134"/>
      <c r="E668" s="2"/>
      <c r="F668" s="2"/>
      <c r="G668" s="67"/>
      <c r="H668" s="67"/>
      <c r="I668" s="67"/>
      <c r="J668" s="2"/>
    </row>
    <row r="669" spans="3:10" x14ac:dyDescent="0.25">
      <c r="C669" s="2"/>
      <c r="D669" s="134"/>
      <c r="E669" s="2"/>
      <c r="F669" s="2"/>
      <c r="G669" s="67"/>
      <c r="H669" s="67"/>
      <c r="I669" s="67"/>
      <c r="J669" s="2"/>
    </row>
    <row r="670" spans="3:10" x14ac:dyDescent="0.25">
      <c r="C670" s="2"/>
      <c r="D670" s="134"/>
      <c r="E670" s="2"/>
      <c r="F670" s="2"/>
      <c r="G670" s="67"/>
      <c r="H670" s="67"/>
      <c r="I670" s="67"/>
      <c r="J670" s="2"/>
    </row>
    <row r="671" spans="3:10" x14ac:dyDescent="0.25">
      <c r="C671" s="2"/>
      <c r="D671" s="134"/>
      <c r="E671" s="2"/>
      <c r="F671" s="2"/>
      <c r="G671" s="67"/>
      <c r="H671" s="67"/>
      <c r="I671" s="67"/>
      <c r="J671" s="2"/>
    </row>
    <row r="672" spans="3:10" x14ac:dyDescent="0.25">
      <c r="C672" s="2"/>
      <c r="D672" s="134"/>
      <c r="E672" s="2"/>
      <c r="F672" s="2"/>
      <c r="G672" s="67"/>
      <c r="H672" s="67"/>
      <c r="I672" s="67"/>
      <c r="J672" s="2"/>
    </row>
    <row r="673" spans="3:10" x14ac:dyDescent="0.25">
      <c r="C673" s="2"/>
      <c r="D673" s="134"/>
      <c r="E673" s="2"/>
      <c r="F673" s="2"/>
      <c r="G673" s="67"/>
      <c r="H673" s="67"/>
      <c r="I673" s="67"/>
      <c r="J673" s="2"/>
    </row>
    <row r="674" spans="3:10" x14ac:dyDescent="0.25">
      <c r="C674" s="2"/>
      <c r="D674" s="134"/>
      <c r="E674" s="2"/>
      <c r="F674" s="2"/>
      <c r="G674" s="67"/>
      <c r="H674" s="67"/>
      <c r="I674" s="67"/>
      <c r="J674" s="2"/>
    </row>
    <row r="675" spans="3:10" x14ac:dyDescent="0.25">
      <c r="C675" s="2"/>
      <c r="D675" s="134"/>
      <c r="E675" s="2"/>
      <c r="F675" s="2"/>
      <c r="G675" s="67"/>
      <c r="H675" s="67"/>
      <c r="I675" s="67"/>
      <c r="J675" s="2"/>
    </row>
    <row r="676" spans="3:10" x14ac:dyDescent="0.25">
      <c r="C676" s="2"/>
      <c r="D676" s="134"/>
      <c r="E676" s="2"/>
      <c r="F676" s="2"/>
      <c r="G676" s="67"/>
      <c r="H676" s="67"/>
      <c r="I676" s="67"/>
      <c r="J676" s="2"/>
    </row>
    <row r="677" spans="3:10" x14ac:dyDescent="0.25">
      <c r="C677" s="2"/>
      <c r="D677" s="134"/>
      <c r="E677" s="2"/>
      <c r="F677" s="2"/>
      <c r="G677" s="67"/>
      <c r="H677" s="67"/>
      <c r="I677" s="67"/>
      <c r="J677" s="2"/>
    </row>
    <row r="678" spans="3:10" x14ac:dyDescent="0.25">
      <c r="C678" s="2"/>
      <c r="D678" s="134"/>
      <c r="E678" s="2"/>
      <c r="F678" s="2"/>
      <c r="G678" s="67"/>
      <c r="H678" s="67"/>
      <c r="I678" s="67"/>
      <c r="J678" s="2"/>
    </row>
    <row r="679" spans="3:10" x14ac:dyDescent="0.25">
      <c r="C679" s="2"/>
      <c r="D679" s="134"/>
      <c r="E679" s="2"/>
      <c r="F679" s="2"/>
      <c r="G679" s="67"/>
      <c r="H679" s="67"/>
      <c r="I679" s="67"/>
      <c r="J679" s="2"/>
    </row>
    <row r="680" spans="3:10" x14ac:dyDescent="0.25">
      <c r="C680" s="2"/>
      <c r="D680" s="134"/>
      <c r="E680" s="2"/>
      <c r="F680" s="2"/>
      <c r="G680" s="67"/>
      <c r="H680" s="67"/>
      <c r="I680" s="67"/>
      <c r="J680" s="2"/>
    </row>
    <row r="681" spans="3:10" x14ac:dyDescent="0.25">
      <c r="C681" s="2"/>
      <c r="D681" s="134"/>
      <c r="E681" s="2"/>
      <c r="F681" s="2"/>
      <c r="G681" s="67"/>
      <c r="H681" s="67"/>
      <c r="I681" s="67"/>
      <c r="J681" s="2"/>
    </row>
    <row r="682" spans="3:10" x14ac:dyDescent="0.25">
      <c r="C682" s="2"/>
      <c r="D682" s="134"/>
      <c r="E682" s="2"/>
      <c r="F682" s="2"/>
      <c r="G682" s="67"/>
      <c r="H682" s="67"/>
      <c r="I682" s="67"/>
      <c r="J682" s="2"/>
    </row>
    <row r="683" spans="3:10" x14ac:dyDescent="0.25">
      <c r="C683" s="2"/>
      <c r="D683" s="134"/>
      <c r="E683" s="2"/>
      <c r="F683" s="2"/>
      <c r="G683" s="67"/>
      <c r="H683" s="67"/>
      <c r="I683" s="67"/>
      <c r="J683" s="2"/>
    </row>
    <row r="684" spans="3:10" x14ac:dyDescent="0.25">
      <c r="C684" s="2"/>
      <c r="D684" s="134"/>
      <c r="E684" s="2"/>
      <c r="F684" s="2"/>
      <c r="G684" s="67"/>
      <c r="H684" s="67"/>
      <c r="I684" s="67"/>
      <c r="J684" s="2"/>
    </row>
    <row r="685" spans="3:10" x14ac:dyDescent="0.25">
      <c r="C685" s="2"/>
      <c r="D685" s="134"/>
      <c r="E685" s="2"/>
      <c r="F685" s="2"/>
      <c r="G685" s="67"/>
      <c r="H685" s="67"/>
      <c r="I685" s="67"/>
      <c r="J685" s="2"/>
    </row>
    <row r="686" spans="3:10" x14ac:dyDescent="0.25">
      <c r="C686" s="2"/>
      <c r="D686" s="134"/>
      <c r="E686" s="2"/>
      <c r="F686" s="2"/>
      <c r="G686" s="67"/>
      <c r="H686" s="67"/>
      <c r="I686" s="67"/>
      <c r="J686" s="2"/>
    </row>
    <row r="687" spans="3:10" x14ac:dyDescent="0.25">
      <c r="C687" s="2"/>
      <c r="D687" s="134"/>
      <c r="E687" s="2"/>
      <c r="F687" s="2"/>
      <c r="G687" s="67"/>
      <c r="H687" s="67"/>
      <c r="I687" s="67"/>
      <c r="J687" s="2"/>
    </row>
    <row r="688" spans="3:10" x14ac:dyDescent="0.25">
      <c r="C688" s="2"/>
      <c r="D688" s="134"/>
      <c r="E688" s="2"/>
      <c r="F688" s="2"/>
      <c r="G688" s="67"/>
      <c r="H688" s="67"/>
      <c r="I688" s="67"/>
      <c r="J688" s="2"/>
    </row>
    <row r="689" spans="3:10" x14ac:dyDescent="0.25">
      <c r="C689" s="2"/>
      <c r="D689" s="134"/>
      <c r="E689" s="2"/>
      <c r="F689" s="2"/>
      <c r="G689" s="67"/>
      <c r="H689" s="67"/>
      <c r="I689" s="67"/>
      <c r="J689" s="2"/>
    </row>
    <row r="690" spans="3:10" x14ac:dyDescent="0.25">
      <c r="C690" s="2"/>
      <c r="D690" s="134"/>
      <c r="E690" s="2"/>
      <c r="F690" s="2"/>
      <c r="G690" s="67"/>
      <c r="H690" s="67"/>
      <c r="I690" s="67"/>
      <c r="J690" s="2"/>
    </row>
    <row r="691" spans="3:10" x14ac:dyDescent="0.25">
      <c r="C691" s="2"/>
      <c r="D691" s="134"/>
      <c r="E691" s="2"/>
      <c r="F691" s="2"/>
      <c r="G691" s="67"/>
      <c r="H691" s="67"/>
      <c r="I691" s="67"/>
      <c r="J691" s="2"/>
    </row>
    <row r="692" spans="3:10" x14ac:dyDescent="0.25">
      <c r="C692" s="2"/>
      <c r="D692" s="134"/>
      <c r="E692" s="2"/>
      <c r="F692" s="2"/>
      <c r="G692" s="67"/>
      <c r="H692" s="67"/>
      <c r="I692" s="67"/>
      <c r="J692" s="2"/>
    </row>
    <row r="693" spans="3:10" x14ac:dyDescent="0.25">
      <c r="C693" s="2"/>
      <c r="D693" s="134"/>
      <c r="E693" s="2"/>
      <c r="F693" s="2"/>
      <c r="G693" s="67"/>
      <c r="H693" s="67"/>
      <c r="I693" s="67"/>
      <c r="J693" s="2"/>
    </row>
    <row r="694" spans="3:10" x14ac:dyDescent="0.25">
      <c r="C694" s="2"/>
      <c r="D694" s="134"/>
      <c r="E694" s="2"/>
      <c r="F694" s="2"/>
      <c r="G694" s="67"/>
      <c r="H694" s="67"/>
      <c r="I694" s="67"/>
      <c r="J694" s="2"/>
    </row>
    <row r="695" spans="3:10" x14ac:dyDescent="0.25">
      <c r="C695" s="2"/>
      <c r="D695" s="134"/>
      <c r="E695" s="2"/>
      <c r="F695" s="2"/>
      <c r="G695" s="67"/>
      <c r="H695" s="67"/>
      <c r="I695" s="67"/>
      <c r="J695" s="2"/>
    </row>
    <row r="696" spans="3:10" x14ac:dyDescent="0.25">
      <c r="C696" s="2"/>
      <c r="D696" s="134"/>
      <c r="E696" s="2"/>
      <c r="F696" s="2"/>
      <c r="G696" s="67"/>
      <c r="H696" s="67"/>
      <c r="I696" s="67"/>
      <c r="J696" s="2"/>
    </row>
    <row r="697" spans="3:10" x14ac:dyDescent="0.25">
      <c r="C697" s="2"/>
      <c r="D697" s="134"/>
      <c r="E697" s="2"/>
      <c r="F697" s="2"/>
      <c r="G697" s="67"/>
      <c r="H697" s="67"/>
      <c r="I697" s="67"/>
      <c r="J697" s="2"/>
    </row>
    <row r="698" spans="3:10" x14ac:dyDescent="0.25">
      <c r="C698" s="2"/>
      <c r="D698" s="134"/>
      <c r="E698" s="2"/>
      <c r="F698" s="2"/>
      <c r="G698" s="67"/>
      <c r="H698" s="67"/>
      <c r="I698" s="67"/>
      <c r="J698" s="2"/>
    </row>
    <row r="699" spans="3:10" x14ac:dyDescent="0.25">
      <c r="C699" s="2"/>
      <c r="D699" s="134"/>
      <c r="E699" s="2"/>
      <c r="F699" s="2"/>
      <c r="G699" s="67"/>
      <c r="H699" s="67"/>
      <c r="I699" s="67"/>
      <c r="J699" s="2"/>
    </row>
    <row r="700" spans="3:10" x14ac:dyDescent="0.25">
      <c r="C700" s="2"/>
      <c r="D700" s="134"/>
      <c r="E700" s="2"/>
      <c r="F700" s="2"/>
      <c r="G700" s="67"/>
      <c r="H700" s="67"/>
      <c r="I700" s="67"/>
      <c r="J700" s="2"/>
    </row>
    <row r="701" spans="3:10" x14ac:dyDescent="0.25">
      <c r="C701" s="2"/>
      <c r="D701" s="134"/>
      <c r="E701" s="2"/>
      <c r="F701" s="2"/>
      <c r="G701" s="67"/>
      <c r="H701" s="67"/>
      <c r="I701" s="67"/>
      <c r="J701" s="2"/>
    </row>
    <row r="702" spans="3:10" x14ac:dyDescent="0.25">
      <c r="C702" s="2"/>
      <c r="D702" s="134"/>
      <c r="E702" s="2"/>
      <c r="F702" s="2"/>
      <c r="G702" s="67"/>
      <c r="H702" s="67"/>
      <c r="I702" s="67"/>
      <c r="J702" s="2"/>
    </row>
    <row r="703" spans="3:10" x14ac:dyDescent="0.25">
      <c r="C703" s="2"/>
      <c r="D703" s="134"/>
      <c r="E703" s="2"/>
      <c r="F703" s="2"/>
      <c r="G703" s="67"/>
      <c r="H703" s="67"/>
      <c r="I703" s="67"/>
      <c r="J703" s="2"/>
    </row>
    <row r="704" spans="3:10" x14ac:dyDescent="0.25">
      <c r="C704" s="2"/>
      <c r="D704" s="134"/>
      <c r="E704" s="2"/>
      <c r="F704" s="2"/>
      <c r="G704" s="67"/>
      <c r="H704" s="67"/>
      <c r="I704" s="67"/>
      <c r="J704" s="2"/>
    </row>
    <row r="705" spans="3:10" x14ac:dyDescent="0.25">
      <c r="C705" s="2"/>
      <c r="D705" s="134"/>
      <c r="E705" s="2"/>
      <c r="F705" s="2"/>
      <c r="G705" s="67"/>
      <c r="H705" s="67"/>
      <c r="I705" s="67"/>
      <c r="J705" s="2"/>
    </row>
    <row r="706" spans="3:10" x14ac:dyDescent="0.25">
      <c r="C706" s="2"/>
      <c r="D706" s="134"/>
      <c r="E706" s="2"/>
      <c r="F706" s="2"/>
      <c r="G706" s="67"/>
      <c r="H706" s="67"/>
      <c r="I706" s="67"/>
      <c r="J706" s="2"/>
    </row>
    <row r="707" spans="3:10" x14ac:dyDescent="0.25">
      <c r="C707" s="2"/>
      <c r="D707" s="134"/>
      <c r="E707" s="2"/>
      <c r="F707" s="2"/>
      <c r="G707" s="67"/>
      <c r="H707" s="67"/>
      <c r="I707" s="67"/>
      <c r="J707" s="2"/>
    </row>
    <row r="708" spans="3:10" x14ac:dyDescent="0.25">
      <c r="C708" s="2"/>
      <c r="D708" s="134"/>
      <c r="E708" s="2"/>
      <c r="F708" s="2"/>
      <c r="G708" s="67"/>
      <c r="H708" s="67"/>
      <c r="I708" s="67"/>
      <c r="J708" s="2"/>
    </row>
    <row r="709" spans="3:10" x14ac:dyDescent="0.25">
      <c r="C709" s="2"/>
      <c r="D709" s="134"/>
      <c r="E709" s="2"/>
      <c r="F709" s="2"/>
      <c r="G709" s="67"/>
      <c r="H709" s="67"/>
      <c r="I709" s="67"/>
      <c r="J709" s="2"/>
    </row>
    <row r="710" spans="3:10" x14ac:dyDescent="0.25">
      <c r="C710" s="2"/>
      <c r="D710" s="134"/>
      <c r="E710" s="2"/>
      <c r="F710" s="2"/>
      <c r="G710" s="67"/>
      <c r="H710" s="67"/>
      <c r="I710" s="67"/>
      <c r="J710" s="2"/>
    </row>
    <row r="711" spans="3:10" x14ac:dyDescent="0.25">
      <c r="C711" s="2"/>
      <c r="D711" s="134"/>
      <c r="E711" s="2"/>
      <c r="F711" s="2"/>
      <c r="G711" s="67"/>
      <c r="H711" s="67"/>
      <c r="I711" s="67"/>
      <c r="J711" s="2"/>
    </row>
    <row r="712" spans="3:10" x14ac:dyDescent="0.25">
      <c r="C712" s="2"/>
      <c r="D712" s="134"/>
      <c r="E712" s="2"/>
      <c r="F712" s="2"/>
      <c r="G712" s="67"/>
      <c r="H712" s="67"/>
      <c r="I712" s="67"/>
      <c r="J712" s="2"/>
    </row>
    <row r="713" spans="3:10" x14ac:dyDescent="0.25">
      <c r="C713" s="2"/>
      <c r="D713" s="134"/>
      <c r="E713" s="2"/>
      <c r="F713" s="2"/>
      <c r="G713" s="67"/>
      <c r="H713" s="67"/>
      <c r="I713" s="67"/>
      <c r="J713" s="2"/>
    </row>
    <row r="714" spans="3:10" x14ac:dyDescent="0.25">
      <c r="C714" s="2"/>
      <c r="D714" s="134"/>
      <c r="E714" s="2"/>
      <c r="F714" s="2"/>
      <c r="G714" s="67"/>
      <c r="H714" s="67"/>
      <c r="I714" s="67"/>
      <c r="J714" s="2"/>
    </row>
    <row r="715" spans="3:10" x14ac:dyDescent="0.25">
      <c r="C715" s="2"/>
      <c r="D715" s="134"/>
      <c r="E715" s="2"/>
      <c r="F715" s="2"/>
      <c r="G715" s="67"/>
      <c r="H715" s="67"/>
      <c r="I715" s="67"/>
      <c r="J715" s="2"/>
    </row>
    <row r="716" spans="3:10" x14ac:dyDescent="0.25">
      <c r="C716" s="2"/>
      <c r="D716" s="134"/>
      <c r="E716" s="2"/>
      <c r="F716" s="2"/>
      <c r="G716" s="67"/>
      <c r="H716" s="67"/>
      <c r="I716" s="67"/>
      <c r="J716" s="2"/>
    </row>
    <row r="717" spans="3:10" x14ac:dyDescent="0.25">
      <c r="C717" s="2"/>
      <c r="D717" s="134"/>
      <c r="E717" s="2"/>
      <c r="F717" s="2"/>
      <c r="G717" s="67"/>
      <c r="H717" s="67"/>
      <c r="I717" s="67"/>
      <c r="J717" s="2"/>
    </row>
    <row r="718" spans="3:10" x14ac:dyDescent="0.25">
      <c r="C718" s="2"/>
      <c r="D718" s="134"/>
      <c r="E718" s="2"/>
      <c r="F718" s="2"/>
      <c r="G718" s="67"/>
      <c r="H718" s="67"/>
      <c r="I718" s="67"/>
      <c r="J718" s="2"/>
    </row>
    <row r="719" spans="3:10" x14ac:dyDescent="0.25">
      <c r="C719" s="2"/>
      <c r="D719" s="134"/>
      <c r="E719" s="2"/>
      <c r="F719" s="2"/>
      <c r="G719" s="67"/>
      <c r="H719" s="67"/>
      <c r="I719" s="67"/>
      <c r="J719" s="2"/>
    </row>
    <row r="720" spans="3:10" x14ac:dyDescent="0.25">
      <c r="C720" s="2"/>
      <c r="D720" s="134"/>
      <c r="E720" s="2"/>
      <c r="F720" s="2"/>
      <c r="G720" s="67"/>
      <c r="H720" s="67"/>
      <c r="I720" s="67"/>
      <c r="J720" s="2"/>
    </row>
    <row r="721" spans="3:10" x14ac:dyDescent="0.25">
      <c r="C721" s="2"/>
      <c r="D721" s="134"/>
      <c r="E721" s="2"/>
      <c r="F721" s="2"/>
      <c r="G721" s="67"/>
      <c r="H721" s="67"/>
      <c r="I721" s="67"/>
      <c r="J721" s="2"/>
    </row>
    <row r="722" spans="3:10" x14ac:dyDescent="0.25">
      <c r="C722" s="2"/>
      <c r="D722" s="134"/>
      <c r="E722" s="2"/>
      <c r="F722" s="2"/>
      <c r="G722" s="67"/>
      <c r="H722" s="67"/>
      <c r="I722" s="67"/>
      <c r="J722" s="2"/>
    </row>
    <row r="723" spans="3:10" x14ac:dyDescent="0.25">
      <c r="C723" s="2"/>
      <c r="D723" s="134"/>
      <c r="E723" s="2"/>
      <c r="F723" s="2"/>
      <c r="G723" s="67"/>
      <c r="H723" s="67"/>
      <c r="I723" s="67"/>
      <c r="J723" s="2"/>
    </row>
    <row r="724" spans="3:10" x14ac:dyDescent="0.25">
      <c r="C724" s="2"/>
      <c r="D724" s="134"/>
      <c r="E724" s="2"/>
      <c r="F724" s="2"/>
      <c r="G724" s="67"/>
      <c r="H724" s="67"/>
      <c r="I724" s="67"/>
      <c r="J724" s="2"/>
    </row>
    <row r="725" spans="3:10" x14ac:dyDescent="0.25">
      <c r="C725" s="2"/>
      <c r="D725" s="134"/>
      <c r="E725" s="2"/>
      <c r="F725" s="2"/>
      <c r="G725" s="67"/>
      <c r="H725" s="67"/>
      <c r="I725" s="67"/>
      <c r="J725" s="2"/>
    </row>
    <row r="726" spans="3:10" x14ac:dyDescent="0.25">
      <c r="C726" s="2"/>
      <c r="D726" s="134"/>
      <c r="E726" s="2"/>
      <c r="F726" s="2"/>
      <c r="G726" s="67"/>
      <c r="H726" s="67"/>
      <c r="I726" s="67"/>
      <c r="J726" s="2"/>
    </row>
    <row r="727" spans="3:10" x14ac:dyDescent="0.25">
      <c r="C727" s="2"/>
      <c r="D727" s="134"/>
      <c r="E727" s="2"/>
      <c r="F727" s="2"/>
      <c r="G727" s="67"/>
      <c r="H727" s="67"/>
      <c r="I727" s="67"/>
      <c r="J727" s="2"/>
    </row>
    <row r="728" spans="3:10" x14ac:dyDescent="0.25">
      <c r="C728" s="2"/>
      <c r="D728" s="134"/>
      <c r="E728" s="2"/>
      <c r="F728" s="2"/>
      <c r="G728" s="67"/>
      <c r="H728" s="67"/>
      <c r="I728" s="67"/>
      <c r="J728" s="2"/>
    </row>
    <row r="729" spans="3:10" x14ac:dyDescent="0.25">
      <c r="C729" s="2"/>
      <c r="D729" s="134"/>
      <c r="E729" s="2"/>
      <c r="F729" s="2"/>
      <c r="G729" s="67"/>
      <c r="H729" s="67"/>
      <c r="I729" s="67"/>
      <c r="J729" s="2"/>
    </row>
    <row r="730" spans="3:10" x14ac:dyDescent="0.25">
      <c r="C730" s="2"/>
      <c r="D730" s="134"/>
      <c r="E730" s="2"/>
      <c r="F730" s="2"/>
      <c r="G730" s="67"/>
      <c r="H730" s="67"/>
      <c r="I730" s="67"/>
      <c r="J730" s="2"/>
    </row>
    <row r="731" spans="3:10" x14ac:dyDescent="0.25">
      <c r="C731" s="2"/>
      <c r="D731" s="134"/>
      <c r="E731" s="2"/>
      <c r="F731" s="2"/>
      <c r="G731" s="67"/>
      <c r="H731" s="67"/>
      <c r="I731" s="67"/>
      <c r="J731" s="2"/>
    </row>
    <row r="732" spans="3:10" x14ac:dyDescent="0.25">
      <c r="C732" s="2"/>
      <c r="D732" s="134"/>
      <c r="E732" s="2"/>
      <c r="F732" s="2"/>
      <c r="G732" s="67"/>
      <c r="H732" s="67"/>
      <c r="I732" s="67"/>
      <c r="J732" s="2"/>
    </row>
    <row r="733" spans="3:10" x14ac:dyDescent="0.25">
      <c r="C733" s="2"/>
      <c r="D733" s="134"/>
      <c r="E733" s="2"/>
      <c r="F733" s="2"/>
      <c r="G733" s="67"/>
      <c r="H733" s="67"/>
      <c r="I733" s="67"/>
      <c r="J733" s="2"/>
    </row>
    <row r="734" spans="3:10" x14ac:dyDescent="0.25">
      <c r="C734" s="2"/>
      <c r="D734" s="134"/>
      <c r="E734" s="2"/>
      <c r="F734" s="2"/>
      <c r="G734" s="67"/>
      <c r="H734" s="67"/>
      <c r="I734" s="67"/>
      <c r="J734" s="2"/>
    </row>
    <row r="735" spans="3:10" x14ac:dyDescent="0.25">
      <c r="C735" s="2"/>
      <c r="D735" s="134"/>
      <c r="E735" s="2"/>
      <c r="F735" s="2"/>
      <c r="G735" s="67"/>
      <c r="H735" s="67"/>
      <c r="I735" s="67"/>
      <c r="J735" s="2"/>
    </row>
    <row r="736" spans="3:10" x14ac:dyDescent="0.25">
      <c r="C736" s="2"/>
      <c r="D736" s="134"/>
      <c r="E736" s="2"/>
      <c r="F736" s="2"/>
      <c r="G736" s="67"/>
      <c r="H736" s="67"/>
      <c r="I736" s="67"/>
      <c r="J736" s="2"/>
    </row>
    <row r="737" spans="3:10" x14ac:dyDescent="0.25">
      <c r="C737" s="2"/>
      <c r="D737" s="134"/>
      <c r="E737" s="2"/>
      <c r="F737" s="2"/>
      <c r="G737" s="67"/>
      <c r="H737" s="67"/>
      <c r="I737" s="67"/>
      <c r="J737" s="2"/>
    </row>
    <row r="738" spans="3:10" x14ac:dyDescent="0.25">
      <c r="C738" s="2"/>
      <c r="D738" s="134"/>
      <c r="E738" s="2"/>
      <c r="F738" s="2"/>
      <c r="G738" s="67"/>
      <c r="H738" s="67"/>
      <c r="I738" s="67"/>
      <c r="J738" s="2"/>
    </row>
    <row r="739" spans="3:10" x14ac:dyDescent="0.25">
      <c r="C739" s="2"/>
      <c r="D739" s="134"/>
      <c r="E739" s="2"/>
      <c r="F739" s="2"/>
      <c r="G739" s="67"/>
      <c r="H739" s="67"/>
      <c r="I739" s="67"/>
      <c r="J739" s="2"/>
    </row>
    <row r="740" spans="3:10" x14ac:dyDescent="0.25">
      <c r="C740" s="2"/>
      <c r="D740" s="134"/>
      <c r="E740" s="2"/>
      <c r="F740" s="2"/>
      <c r="G740" s="67"/>
      <c r="H740" s="67"/>
      <c r="I740" s="67"/>
      <c r="J740" s="2"/>
    </row>
    <row r="741" spans="3:10" x14ac:dyDescent="0.25">
      <c r="C741" s="2"/>
      <c r="D741" s="134"/>
      <c r="E741" s="2"/>
      <c r="F741" s="2"/>
      <c r="G741" s="67"/>
      <c r="H741" s="67"/>
      <c r="I741" s="67"/>
      <c r="J741" s="2"/>
    </row>
    <row r="742" spans="3:10" x14ac:dyDescent="0.25">
      <c r="C742" s="2"/>
      <c r="D742" s="134"/>
      <c r="E742" s="2"/>
      <c r="F742" s="2"/>
      <c r="G742" s="67"/>
      <c r="H742" s="67"/>
      <c r="I742" s="67"/>
      <c r="J742" s="2"/>
    </row>
    <row r="743" spans="3:10" x14ac:dyDescent="0.25">
      <c r="C743" s="2"/>
      <c r="D743" s="134"/>
      <c r="E743" s="2"/>
      <c r="F743" s="2"/>
      <c r="G743" s="67"/>
      <c r="H743" s="67"/>
      <c r="I743" s="67"/>
      <c r="J743" s="2"/>
    </row>
    <row r="744" spans="3:10" x14ac:dyDescent="0.25">
      <c r="C744" s="2"/>
      <c r="D744" s="134"/>
      <c r="E744" s="2"/>
      <c r="F744" s="2"/>
      <c r="G744" s="67"/>
      <c r="H744" s="67"/>
      <c r="I744" s="67"/>
      <c r="J744" s="2"/>
    </row>
    <row r="745" spans="3:10" x14ac:dyDescent="0.25">
      <c r="C745" s="2"/>
      <c r="D745" s="134"/>
      <c r="E745" s="2"/>
      <c r="F745" s="2"/>
      <c r="G745" s="67"/>
      <c r="H745" s="67"/>
      <c r="I745" s="67"/>
      <c r="J745" s="2"/>
    </row>
    <row r="746" spans="3:10" x14ac:dyDescent="0.25">
      <c r="C746" s="2"/>
      <c r="D746" s="134"/>
      <c r="E746" s="2"/>
      <c r="F746" s="2"/>
      <c r="G746" s="67"/>
      <c r="H746" s="67"/>
      <c r="I746" s="67"/>
      <c r="J746" s="2"/>
    </row>
    <row r="747" spans="3:10" x14ac:dyDescent="0.25">
      <c r="C747" s="2"/>
      <c r="D747" s="134"/>
      <c r="E747" s="2"/>
      <c r="F747" s="2"/>
      <c r="G747" s="67"/>
      <c r="H747" s="67"/>
      <c r="I747" s="67"/>
      <c r="J747" s="2"/>
    </row>
    <row r="748" spans="3:10" x14ac:dyDescent="0.25">
      <c r="C748" s="2"/>
      <c r="D748" s="134"/>
      <c r="E748" s="2"/>
      <c r="F748" s="2"/>
      <c r="G748" s="67"/>
      <c r="H748" s="67"/>
      <c r="I748" s="67"/>
      <c r="J748" s="2"/>
    </row>
    <row r="749" spans="3:10" x14ac:dyDescent="0.25">
      <c r="C749" s="2"/>
      <c r="D749" s="134"/>
      <c r="E749" s="2"/>
      <c r="F749" s="2"/>
      <c r="G749" s="67"/>
      <c r="H749" s="67"/>
      <c r="I749" s="67"/>
      <c r="J749" s="2"/>
    </row>
    <row r="750" spans="3:10" x14ac:dyDescent="0.25">
      <c r="C750" s="2"/>
      <c r="D750" s="134"/>
      <c r="E750" s="2"/>
      <c r="F750" s="2"/>
      <c r="G750" s="67"/>
      <c r="H750" s="67"/>
      <c r="I750" s="67"/>
      <c r="J750" s="2"/>
    </row>
    <row r="751" spans="3:10" x14ac:dyDescent="0.25">
      <c r="C751" s="2"/>
      <c r="D751" s="134"/>
      <c r="E751" s="2"/>
      <c r="F751" s="2"/>
      <c r="G751" s="67"/>
      <c r="H751" s="67"/>
      <c r="I751" s="67"/>
      <c r="J751" s="2"/>
    </row>
    <row r="752" spans="3:10" x14ac:dyDescent="0.25">
      <c r="C752" s="2"/>
      <c r="D752" s="134"/>
      <c r="E752" s="2"/>
      <c r="F752" s="2"/>
      <c r="G752" s="67"/>
      <c r="H752" s="67"/>
      <c r="I752" s="67"/>
      <c r="J752" s="2"/>
    </row>
    <row r="753" spans="3:10" x14ac:dyDescent="0.25">
      <c r="C753" s="2"/>
      <c r="D753" s="134"/>
      <c r="E753" s="2"/>
      <c r="F753" s="2"/>
      <c r="G753" s="67"/>
      <c r="H753" s="67"/>
      <c r="I753" s="67"/>
      <c r="J753" s="2"/>
    </row>
    <row r="754" spans="3:10" x14ac:dyDescent="0.25">
      <c r="C754" s="2"/>
      <c r="D754" s="134"/>
      <c r="E754" s="2"/>
      <c r="F754" s="2"/>
      <c r="G754" s="67"/>
      <c r="H754" s="67"/>
      <c r="I754" s="67"/>
      <c r="J754" s="2"/>
    </row>
    <row r="755" spans="3:10" x14ac:dyDescent="0.25">
      <c r="C755" s="2"/>
      <c r="D755" s="134"/>
      <c r="E755" s="2"/>
      <c r="F755" s="2"/>
      <c r="G755" s="67"/>
      <c r="H755" s="67"/>
      <c r="I755" s="67"/>
      <c r="J755" s="2"/>
    </row>
    <row r="756" spans="3:10" x14ac:dyDescent="0.25">
      <c r="C756" s="2"/>
      <c r="D756" s="134"/>
      <c r="E756" s="2"/>
      <c r="F756" s="2"/>
      <c r="G756" s="67"/>
      <c r="H756" s="67"/>
      <c r="I756" s="67"/>
      <c r="J756" s="2"/>
    </row>
    <row r="757" spans="3:10" x14ac:dyDescent="0.25">
      <c r="C757" s="2"/>
      <c r="D757" s="134"/>
      <c r="E757" s="2"/>
      <c r="F757" s="2"/>
      <c r="G757" s="67"/>
      <c r="H757" s="67"/>
      <c r="I757" s="67"/>
      <c r="J757" s="2"/>
    </row>
    <row r="758" spans="3:10" x14ac:dyDescent="0.25">
      <c r="C758" s="2"/>
      <c r="D758" s="134"/>
      <c r="E758" s="2"/>
      <c r="F758" s="2"/>
      <c r="G758" s="67"/>
      <c r="H758" s="67"/>
      <c r="I758" s="67"/>
      <c r="J758" s="2"/>
    </row>
    <row r="759" spans="3:10" x14ac:dyDescent="0.25">
      <c r="C759" s="2"/>
      <c r="D759" s="134"/>
      <c r="E759" s="2"/>
      <c r="F759" s="2"/>
      <c r="G759" s="67"/>
      <c r="H759" s="67"/>
      <c r="I759" s="67"/>
      <c r="J759" s="2"/>
    </row>
    <row r="760" spans="3:10" x14ac:dyDescent="0.25">
      <c r="C760" s="2"/>
      <c r="D760" s="134"/>
      <c r="E760" s="2"/>
      <c r="F760" s="2"/>
      <c r="G760" s="67"/>
      <c r="H760" s="67"/>
      <c r="I760" s="67"/>
      <c r="J760" s="2"/>
    </row>
    <row r="761" spans="3:10" x14ac:dyDescent="0.25">
      <c r="C761" s="2"/>
      <c r="D761" s="134"/>
      <c r="E761" s="2"/>
      <c r="F761" s="2"/>
      <c r="G761" s="67"/>
      <c r="H761" s="67"/>
      <c r="I761" s="67"/>
      <c r="J761" s="2"/>
    </row>
    <row r="762" spans="3:10" x14ac:dyDescent="0.25">
      <c r="C762" s="2"/>
      <c r="D762" s="134"/>
      <c r="E762" s="2"/>
      <c r="F762" s="2"/>
      <c r="G762" s="67"/>
      <c r="H762" s="67"/>
      <c r="I762" s="67"/>
      <c r="J762" s="2"/>
    </row>
    <row r="763" spans="3:10" x14ac:dyDescent="0.25">
      <c r="C763" s="2"/>
      <c r="D763" s="134"/>
      <c r="E763" s="2"/>
      <c r="F763" s="2"/>
      <c r="G763" s="67"/>
      <c r="H763" s="67"/>
      <c r="I763" s="67"/>
      <c r="J763" s="2"/>
    </row>
    <row r="764" spans="3:10" x14ac:dyDescent="0.25">
      <c r="C764" s="2"/>
      <c r="D764" s="134"/>
      <c r="E764" s="2"/>
      <c r="F764" s="2"/>
      <c r="G764" s="67"/>
      <c r="H764" s="67"/>
      <c r="I764" s="67"/>
      <c r="J764" s="2"/>
    </row>
    <row r="765" spans="3:10" x14ac:dyDescent="0.25">
      <c r="C765" s="2"/>
      <c r="D765" s="134"/>
      <c r="E765" s="2"/>
      <c r="F765" s="2"/>
      <c r="G765" s="67"/>
      <c r="H765" s="67"/>
      <c r="I765" s="67"/>
      <c r="J765" s="2"/>
    </row>
    <row r="766" spans="3:10" x14ac:dyDescent="0.25">
      <c r="C766" s="2"/>
      <c r="D766" s="134"/>
      <c r="E766" s="2"/>
      <c r="F766" s="2"/>
      <c r="G766" s="67"/>
      <c r="H766" s="67"/>
      <c r="I766" s="67"/>
      <c r="J766" s="2"/>
    </row>
    <row r="767" spans="3:10" x14ac:dyDescent="0.25">
      <c r="C767" s="2"/>
      <c r="D767" s="134"/>
      <c r="E767" s="2"/>
      <c r="F767" s="2"/>
      <c r="G767" s="67"/>
      <c r="H767" s="67"/>
      <c r="I767" s="67"/>
      <c r="J767" s="2"/>
    </row>
    <row r="768" spans="3:10" x14ac:dyDescent="0.25">
      <c r="C768" s="2"/>
      <c r="D768" s="134"/>
      <c r="E768" s="2"/>
      <c r="F768" s="2"/>
      <c r="G768" s="67"/>
      <c r="H768" s="67"/>
      <c r="I768" s="67"/>
      <c r="J768" s="2"/>
    </row>
    <row r="769" spans="3:10" x14ac:dyDescent="0.25">
      <c r="C769" s="2"/>
      <c r="D769" s="134"/>
      <c r="E769" s="2"/>
      <c r="F769" s="2"/>
      <c r="G769" s="67"/>
      <c r="H769" s="67"/>
      <c r="I769" s="67"/>
      <c r="J769" s="2"/>
    </row>
    <row r="770" spans="3:10" x14ac:dyDescent="0.25">
      <c r="C770" s="2"/>
      <c r="D770" s="134"/>
      <c r="E770" s="2"/>
      <c r="F770" s="2"/>
      <c r="G770" s="67"/>
      <c r="H770" s="67"/>
      <c r="I770" s="67"/>
      <c r="J770" s="2"/>
    </row>
    <row r="771" spans="3:10" x14ac:dyDescent="0.25">
      <c r="C771" s="2"/>
      <c r="D771" s="134"/>
      <c r="E771" s="2"/>
      <c r="F771" s="2"/>
      <c r="G771" s="67"/>
      <c r="H771" s="67"/>
      <c r="I771" s="67"/>
      <c r="J771" s="2"/>
    </row>
    <row r="772" spans="3:10" x14ac:dyDescent="0.25">
      <c r="C772" s="2"/>
      <c r="D772" s="134"/>
      <c r="E772" s="2"/>
      <c r="F772" s="2"/>
      <c r="G772" s="67"/>
      <c r="H772" s="67"/>
      <c r="I772" s="67"/>
      <c r="J772" s="2"/>
    </row>
    <row r="773" spans="3:10" x14ac:dyDescent="0.25">
      <c r="C773" s="2"/>
      <c r="D773" s="134"/>
      <c r="E773" s="2"/>
      <c r="F773" s="2"/>
      <c r="G773" s="67"/>
      <c r="H773" s="67"/>
      <c r="I773" s="67"/>
      <c r="J773" s="2"/>
    </row>
    <row r="774" spans="3:10" x14ac:dyDescent="0.25">
      <c r="C774" s="2"/>
      <c r="D774" s="134"/>
      <c r="E774" s="2"/>
      <c r="F774" s="2"/>
      <c r="G774" s="67"/>
      <c r="H774" s="67"/>
      <c r="I774" s="67"/>
      <c r="J774" s="2"/>
    </row>
    <row r="775" spans="3:10" x14ac:dyDescent="0.25">
      <c r="C775" s="2"/>
      <c r="D775" s="134"/>
      <c r="E775" s="2"/>
      <c r="F775" s="2"/>
      <c r="G775" s="67"/>
      <c r="H775" s="67"/>
      <c r="I775" s="67"/>
      <c r="J775" s="2"/>
    </row>
    <row r="776" spans="3:10" x14ac:dyDescent="0.25">
      <c r="C776" s="2"/>
      <c r="D776" s="134"/>
      <c r="E776" s="2"/>
      <c r="F776" s="2"/>
      <c r="G776" s="67"/>
      <c r="H776" s="67"/>
      <c r="I776" s="67"/>
      <c r="J776" s="2"/>
    </row>
    <row r="777" spans="3:10" x14ac:dyDescent="0.25">
      <c r="C777" s="2"/>
      <c r="D777" s="134"/>
      <c r="E777" s="2"/>
      <c r="F777" s="2"/>
      <c r="G777" s="67"/>
      <c r="H777" s="67"/>
      <c r="I777" s="67"/>
      <c r="J777" s="2"/>
    </row>
    <row r="778" spans="3:10" x14ac:dyDescent="0.25">
      <c r="C778" s="2"/>
      <c r="D778" s="134"/>
      <c r="E778" s="2"/>
      <c r="F778" s="2"/>
      <c r="G778" s="67"/>
      <c r="H778" s="67"/>
      <c r="I778" s="67"/>
      <c r="J778" s="2"/>
    </row>
    <row r="779" spans="3:10" x14ac:dyDescent="0.25">
      <c r="C779" s="2"/>
      <c r="D779" s="134"/>
      <c r="E779" s="2"/>
      <c r="F779" s="2"/>
      <c r="G779" s="67"/>
      <c r="H779" s="67"/>
      <c r="I779" s="67"/>
      <c r="J779" s="2"/>
    </row>
    <row r="780" spans="3:10" x14ac:dyDescent="0.25">
      <c r="C780" s="2"/>
      <c r="D780" s="134"/>
      <c r="E780" s="2"/>
      <c r="F780" s="2"/>
      <c r="G780" s="67"/>
      <c r="H780" s="67"/>
      <c r="I780" s="67"/>
      <c r="J780" s="2"/>
    </row>
    <row r="781" spans="3:10" x14ac:dyDescent="0.25">
      <c r="C781" s="2"/>
      <c r="D781" s="134"/>
      <c r="E781" s="2"/>
      <c r="F781" s="2"/>
      <c r="G781" s="67"/>
      <c r="H781" s="67"/>
      <c r="I781" s="67"/>
      <c r="J781" s="2"/>
    </row>
    <row r="782" spans="3:10" x14ac:dyDescent="0.25">
      <c r="C782" s="2"/>
      <c r="D782" s="134"/>
      <c r="E782" s="2"/>
      <c r="F782" s="2"/>
      <c r="G782" s="67"/>
      <c r="H782" s="67"/>
      <c r="I782" s="67"/>
      <c r="J782" s="2"/>
    </row>
    <row r="783" spans="3:10" x14ac:dyDescent="0.25">
      <c r="C783" s="2"/>
      <c r="D783" s="134"/>
      <c r="E783" s="2"/>
      <c r="F783" s="2"/>
      <c r="G783" s="67"/>
      <c r="H783" s="67"/>
      <c r="I783" s="67"/>
      <c r="J783" s="2"/>
    </row>
    <row r="784" spans="3:10" x14ac:dyDescent="0.25">
      <c r="C784" s="2"/>
      <c r="D784" s="134"/>
      <c r="E784" s="2"/>
      <c r="F784" s="2"/>
      <c r="G784" s="67"/>
      <c r="H784" s="67"/>
      <c r="I784" s="67"/>
      <c r="J784" s="2"/>
    </row>
    <row r="785" spans="3:10" x14ac:dyDescent="0.25">
      <c r="C785" s="2"/>
      <c r="D785" s="134"/>
      <c r="E785" s="2"/>
      <c r="F785" s="2"/>
      <c r="G785" s="67"/>
      <c r="H785" s="67"/>
      <c r="I785" s="67"/>
      <c r="J785" s="2"/>
    </row>
    <row r="786" spans="3:10" x14ac:dyDescent="0.25">
      <c r="C786" s="2"/>
      <c r="D786" s="134"/>
      <c r="E786" s="2"/>
      <c r="F786" s="2"/>
      <c r="G786" s="67"/>
      <c r="H786" s="67"/>
      <c r="I786" s="67"/>
      <c r="J786" s="2"/>
    </row>
    <row r="787" spans="3:10" x14ac:dyDescent="0.25">
      <c r="C787" s="2"/>
      <c r="D787" s="134"/>
      <c r="E787" s="2"/>
      <c r="F787" s="2"/>
      <c r="G787" s="67"/>
      <c r="H787" s="67"/>
      <c r="I787" s="67"/>
      <c r="J787" s="2"/>
    </row>
    <row r="788" spans="3:10" x14ac:dyDescent="0.25">
      <c r="C788" s="2"/>
      <c r="D788" s="134"/>
      <c r="E788" s="2"/>
      <c r="F788" s="2"/>
      <c r="G788" s="67"/>
      <c r="H788" s="67"/>
      <c r="I788" s="67"/>
      <c r="J788" s="2"/>
    </row>
    <row r="789" spans="3:10" x14ac:dyDescent="0.25">
      <c r="C789" s="2"/>
      <c r="D789" s="134"/>
      <c r="E789" s="2"/>
      <c r="F789" s="2"/>
      <c r="G789" s="67"/>
      <c r="H789" s="67"/>
      <c r="I789" s="67"/>
      <c r="J789" s="2"/>
    </row>
    <row r="790" spans="3:10" x14ac:dyDescent="0.25">
      <c r="C790" s="2"/>
      <c r="D790" s="134"/>
      <c r="E790" s="2"/>
      <c r="F790" s="2"/>
      <c r="G790" s="67"/>
      <c r="H790" s="67"/>
      <c r="I790" s="67"/>
      <c r="J790" s="2"/>
    </row>
    <row r="791" spans="3:10" x14ac:dyDescent="0.25">
      <c r="C791" s="2"/>
      <c r="D791" s="134"/>
      <c r="E791" s="2"/>
      <c r="F791" s="2"/>
      <c r="G791" s="67"/>
      <c r="H791" s="67"/>
      <c r="I791" s="67"/>
      <c r="J791" s="2"/>
    </row>
    <row r="792" spans="3:10" x14ac:dyDescent="0.25">
      <c r="C792" s="2"/>
      <c r="D792" s="134"/>
      <c r="E792" s="2"/>
      <c r="F792" s="2"/>
      <c r="G792" s="67"/>
      <c r="H792" s="67"/>
      <c r="I792" s="67"/>
      <c r="J792" s="2"/>
    </row>
    <row r="793" spans="3:10" x14ac:dyDescent="0.25">
      <c r="C793" s="2"/>
      <c r="D793" s="134"/>
      <c r="E793" s="2"/>
      <c r="F793" s="2"/>
      <c r="G793" s="67"/>
      <c r="H793" s="67"/>
      <c r="I793" s="67"/>
      <c r="J793" s="2"/>
    </row>
    <row r="794" spans="3:10" x14ac:dyDescent="0.25">
      <c r="C794" s="2"/>
      <c r="D794" s="134"/>
      <c r="E794" s="2"/>
      <c r="F794" s="2"/>
      <c r="G794" s="67"/>
      <c r="H794" s="67"/>
      <c r="I794" s="67"/>
      <c r="J794" s="2"/>
    </row>
    <row r="795" spans="3:10" x14ac:dyDescent="0.25">
      <c r="C795" s="2"/>
      <c r="D795" s="134"/>
      <c r="E795" s="2"/>
      <c r="F795" s="2"/>
      <c r="G795" s="67"/>
      <c r="H795" s="67"/>
      <c r="I795" s="67"/>
      <c r="J795" s="2"/>
    </row>
    <row r="796" spans="3:10" x14ac:dyDescent="0.25">
      <c r="C796" s="2"/>
      <c r="D796" s="134"/>
      <c r="E796" s="2"/>
      <c r="F796" s="2"/>
      <c r="G796" s="67"/>
      <c r="H796" s="67"/>
      <c r="I796" s="67"/>
      <c r="J796" s="2"/>
    </row>
    <row r="797" spans="3:10" x14ac:dyDescent="0.25">
      <c r="C797" s="2"/>
      <c r="D797" s="134"/>
      <c r="E797" s="2"/>
      <c r="F797" s="2"/>
      <c r="G797" s="67"/>
      <c r="H797" s="67"/>
      <c r="I797" s="67"/>
      <c r="J797" s="2"/>
    </row>
    <row r="798" spans="3:10" x14ac:dyDescent="0.25">
      <c r="C798" s="2"/>
      <c r="D798" s="134"/>
      <c r="E798" s="2"/>
      <c r="F798" s="2"/>
      <c r="G798" s="67"/>
      <c r="H798" s="67"/>
      <c r="I798" s="67"/>
      <c r="J798" s="2"/>
    </row>
    <row r="799" spans="3:10" x14ac:dyDescent="0.25">
      <c r="C799" s="2"/>
      <c r="D799" s="134"/>
      <c r="E799" s="2"/>
      <c r="F799" s="2"/>
      <c r="G799" s="67"/>
      <c r="H799" s="67"/>
      <c r="I799" s="67"/>
      <c r="J799" s="2"/>
    </row>
    <row r="800" spans="3:10" x14ac:dyDescent="0.25">
      <c r="C800" s="2"/>
      <c r="D800" s="134"/>
      <c r="E800" s="2"/>
      <c r="F800" s="2"/>
      <c r="G800" s="67"/>
      <c r="H800" s="67"/>
      <c r="I800" s="67"/>
      <c r="J800" s="2"/>
    </row>
    <row r="801" spans="3:10" x14ac:dyDescent="0.25">
      <c r="C801" s="2"/>
      <c r="D801" s="134"/>
      <c r="E801" s="2"/>
      <c r="F801" s="2"/>
      <c r="G801" s="67"/>
      <c r="H801" s="67"/>
      <c r="I801" s="67"/>
      <c r="J801" s="2"/>
    </row>
    <row r="802" spans="3:10" x14ac:dyDescent="0.25">
      <c r="C802" s="2"/>
      <c r="D802" s="134"/>
      <c r="E802" s="2"/>
      <c r="F802" s="2"/>
      <c r="G802" s="67"/>
      <c r="H802" s="67"/>
      <c r="I802" s="67"/>
      <c r="J802" s="2"/>
    </row>
    <row r="803" spans="3:10" x14ac:dyDescent="0.25">
      <c r="C803" s="2"/>
      <c r="D803" s="134"/>
      <c r="E803" s="2"/>
      <c r="F803" s="2"/>
      <c r="G803" s="67"/>
      <c r="H803" s="67"/>
      <c r="I803" s="67"/>
      <c r="J803" s="2"/>
    </row>
    <row r="804" spans="3:10" x14ac:dyDescent="0.25">
      <c r="C804" s="2"/>
      <c r="D804" s="134"/>
      <c r="E804" s="2"/>
      <c r="F804" s="2"/>
      <c r="G804" s="67"/>
      <c r="H804" s="67"/>
      <c r="I804" s="67"/>
      <c r="J804" s="2"/>
    </row>
    <row r="805" spans="3:10" x14ac:dyDescent="0.25">
      <c r="C805" s="2"/>
      <c r="D805" s="134"/>
      <c r="E805" s="2"/>
      <c r="F805" s="2"/>
      <c r="G805" s="67"/>
      <c r="H805" s="67"/>
      <c r="I805" s="67"/>
      <c r="J805" s="2"/>
    </row>
    <row r="806" spans="3:10" x14ac:dyDescent="0.25">
      <c r="C806" s="2"/>
      <c r="D806" s="134"/>
      <c r="E806" s="2"/>
      <c r="F806" s="2"/>
      <c r="G806" s="67"/>
      <c r="H806" s="67"/>
      <c r="I806" s="67"/>
      <c r="J806" s="2"/>
    </row>
    <row r="807" spans="3:10" x14ac:dyDescent="0.25">
      <c r="C807" s="2"/>
      <c r="D807" s="134"/>
      <c r="E807" s="2"/>
      <c r="F807" s="2"/>
      <c r="G807" s="67"/>
      <c r="H807" s="67"/>
      <c r="I807" s="67"/>
      <c r="J807" s="2"/>
    </row>
    <row r="808" spans="3:10" x14ac:dyDescent="0.25">
      <c r="C808" s="2"/>
      <c r="D808" s="134"/>
      <c r="E808" s="2"/>
      <c r="F808" s="2"/>
      <c r="G808" s="67"/>
      <c r="H808" s="67"/>
      <c r="I808" s="67"/>
      <c r="J808" s="2"/>
    </row>
    <row r="809" spans="3:10" x14ac:dyDescent="0.25">
      <c r="C809" s="2"/>
      <c r="D809" s="134"/>
      <c r="E809" s="2"/>
      <c r="F809" s="2"/>
      <c r="G809" s="67"/>
      <c r="H809" s="67"/>
      <c r="I809" s="67"/>
      <c r="J809" s="2"/>
    </row>
    <row r="810" spans="3:10" x14ac:dyDescent="0.25">
      <c r="C810" s="2"/>
      <c r="D810" s="134"/>
      <c r="E810" s="2"/>
      <c r="F810" s="2"/>
      <c r="G810" s="67"/>
      <c r="H810" s="67"/>
      <c r="I810" s="67"/>
      <c r="J810" s="2"/>
    </row>
    <row r="811" spans="3:10" x14ac:dyDescent="0.25">
      <c r="C811" s="2"/>
      <c r="D811" s="134"/>
      <c r="E811" s="2"/>
      <c r="F811" s="2"/>
      <c r="G811" s="67"/>
      <c r="H811" s="67"/>
      <c r="I811" s="67"/>
      <c r="J811" s="2"/>
    </row>
    <row r="812" spans="3:10" x14ac:dyDescent="0.25">
      <c r="C812" s="2"/>
      <c r="D812" s="134"/>
      <c r="E812" s="2"/>
      <c r="F812" s="2"/>
      <c r="G812" s="67"/>
      <c r="H812" s="67"/>
      <c r="I812" s="67"/>
      <c r="J812" s="2"/>
    </row>
    <row r="813" spans="3:10" x14ac:dyDescent="0.25">
      <c r="C813" s="2"/>
      <c r="D813" s="134"/>
      <c r="E813" s="2"/>
      <c r="F813" s="2"/>
      <c r="G813" s="67"/>
      <c r="H813" s="67"/>
      <c r="I813" s="67"/>
      <c r="J813" s="2"/>
    </row>
    <row r="814" spans="3:10" x14ac:dyDescent="0.25">
      <c r="C814" s="2"/>
      <c r="D814" s="134"/>
      <c r="E814" s="2"/>
      <c r="F814" s="2"/>
      <c r="G814" s="67"/>
      <c r="H814" s="67"/>
      <c r="I814" s="67"/>
      <c r="J814" s="2"/>
    </row>
    <row r="815" spans="3:10" x14ac:dyDescent="0.25">
      <c r="C815" s="2"/>
      <c r="D815" s="134"/>
      <c r="E815" s="2"/>
      <c r="F815" s="2"/>
      <c r="G815" s="67"/>
      <c r="H815" s="67"/>
      <c r="I815" s="67"/>
      <c r="J815" s="2"/>
    </row>
    <row r="816" spans="3:10" x14ac:dyDescent="0.25">
      <c r="C816" s="2"/>
      <c r="D816" s="134"/>
      <c r="E816" s="2"/>
      <c r="F816" s="2"/>
      <c r="G816" s="67"/>
      <c r="H816" s="67"/>
      <c r="I816" s="67"/>
      <c r="J816" s="2"/>
    </row>
    <row r="817" spans="3:10" x14ac:dyDescent="0.25">
      <c r="C817" s="2"/>
      <c r="D817" s="134"/>
      <c r="E817" s="2"/>
      <c r="F817" s="2"/>
      <c r="G817" s="67"/>
      <c r="H817" s="67"/>
      <c r="I817" s="67"/>
      <c r="J817" s="2"/>
    </row>
    <row r="818" spans="3:10" x14ac:dyDescent="0.25">
      <c r="C818" s="2"/>
      <c r="D818" s="134"/>
      <c r="E818" s="2"/>
      <c r="F818" s="2"/>
      <c r="G818" s="67"/>
      <c r="H818" s="67"/>
      <c r="I818" s="67"/>
      <c r="J818" s="2"/>
    </row>
    <row r="819" spans="3:10" x14ac:dyDescent="0.25">
      <c r="C819" s="2"/>
      <c r="D819" s="134"/>
      <c r="E819" s="2"/>
      <c r="F819" s="2"/>
      <c r="G819" s="67"/>
      <c r="H819" s="67"/>
      <c r="I819" s="67"/>
      <c r="J819" s="2"/>
    </row>
    <row r="820" spans="3:10" x14ac:dyDescent="0.25">
      <c r="C820" s="2"/>
      <c r="D820" s="134"/>
      <c r="E820" s="2"/>
      <c r="F820" s="2"/>
      <c r="G820" s="67"/>
      <c r="H820" s="67"/>
      <c r="I820" s="67"/>
      <c r="J820" s="2"/>
    </row>
    <row r="821" spans="3:10" x14ac:dyDescent="0.25">
      <c r="C821" s="2"/>
      <c r="D821" s="134"/>
      <c r="E821" s="2"/>
      <c r="F821" s="2"/>
      <c r="G821" s="67"/>
      <c r="H821" s="67"/>
      <c r="I821" s="67"/>
      <c r="J821" s="2"/>
    </row>
    <row r="822" spans="3:10" x14ac:dyDescent="0.25">
      <c r="C822" s="2"/>
      <c r="D822" s="134"/>
      <c r="E822" s="2"/>
      <c r="F822" s="2"/>
      <c r="G822" s="67"/>
      <c r="H822" s="67"/>
      <c r="I822" s="67"/>
      <c r="J822" s="2"/>
    </row>
    <row r="823" spans="3:10" x14ac:dyDescent="0.25">
      <c r="C823" s="2"/>
      <c r="D823" s="134"/>
      <c r="E823" s="2"/>
      <c r="F823" s="2"/>
      <c r="G823" s="67"/>
      <c r="H823" s="67"/>
      <c r="I823" s="67"/>
      <c r="J823" s="2"/>
    </row>
    <row r="824" spans="3:10" x14ac:dyDescent="0.25">
      <c r="C824" s="2"/>
      <c r="D824" s="134"/>
      <c r="E824" s="2"/>
      <c r="F824" s="2"/>
      <c r="G824" s="67"/>
      <c r="H824" s="67"/>
      <c r="I824" s="67"/>
      <c r="J824" s="2"/>
    </row>
    <row r="825" spans="3:10" x14ac:dyDescent="0.25">
      <c r="C825" s="2"/>
      <c r="D825" s="134"/>
      <c r="E825" s="2"/>
      <c r="F825" s="2"/>
      <c r="G825" s="67"/>
      <c r="H825" s="67"/>
      <c r="I825" s="67"/>
      <c r="J825" s="2"/>
    </row>
    <row r="826" spans="3:10" x14ac:dyDescent="0.25">
      <c r="C826" s="2"/>
      <c r="D826" s="134"/>
      <c r="E826" s="2"/>
      <c r="F826" s="2"/>
      <c r="G826" s="67"/>
      <c r="H826" s="67"/>
      <c r="I826" s="67"/>
      <c r="J826" s="2"/>
    </row>
    <row r="827" spans="3:10" x14ac:dyDescent="0.25">
      <c r="C827" s="2"/>
      <c r="D827" s="134"/>
      <c r="E827" s="2"/>
      <c r="F827" s="2"/>
      <c r="G827" s="67"/>
      <c r="H827" s="67"/>
      <c r="I827" s="67"/>
      <c r="J827" s="2"/>
    </row>
    <row r="828" spans="3:10" x14ac:dyDescent="0.25">
      <c r="C828" s="2"/>
      <c r="D828" s="134"/>
      <c r="E828" s="2"/>
      <c r="F828" s="2"/>
      <c r="G828" s="67"/>
      <c r="H828" s="67"/>
      <c r="I828" s="67"/>
      <c r="J828" s="2"/>
    </row>
    <row r="829" spans="3:10" x14ac:dyDescent="0.25">
      <c r="C829" s="2"/>
      <c r="D829" s="134"/>
      <c r="E829" s="2"/>
      <c r="F829" s="2"/>
      <c r="G829" s="67"/>
      <c r="H829" s="67"/>
      <c r="I829" s="67"/>
      <c r="J829" s="2"/>
    </row>
    <row r="830" spans="3:10" x14ac:dyDescent="0.25">
      <c r="C830" s="2"/>
      <c r="D830" s="134"/>
      <c r="E830" s="2"/>
      <c r="F830" s="2"/>
      <c r="G830" s="67"/>
      <c r="H830" s="67"/>
      <c r="I830" s="67"/>
      <c r="J830" s="2"/>
    </row>
    <row r="831" spans="3:10" x14ac:dyDescent="0.25">
      <c r="C831" s="2"/>
      <c r="D831" s="134"/>
      <c r="E831" s="2"/>
      <c r="F831" s="2"/>
      <c r="G831" s="67"/>
      <c r="H831" s="67"/>
      <c r="I831" s="67"/>
      <c r="J831" s="2"/>
    </row>
    <row r="832" spans="3:10" x14ac:dyDescent="0.25">
      <c r="C832" s="2"/>
      <c r="D832" s="134"/>
      <c r="E832" s="2"/>
      <c r="F832" s="2"/>
      <c r="G832" s="67"/>
      <c r="H832" s="67"/>
      <c r="I832" s="67"/>
      <c r="J832" s="2"/>
    </row>
    <row r="833" spans="3:10" x14ac:dyDescent="0.25">
      <c r="C833" s="2"/>
      <c r="D833" s="134"/>
      <c r="E833" s="2"/>
      <c r="F833" s="2"/>
      <c r="G833" s="67"/>
      <c r="H833" s="67"/>
      <c r="I833" s="67"/>
      <c r="J833" s="2"/>
    </row>
    <row r="834" spans="3:10" x14ac:dyDescent="0.25">
      <c r="C834" s="2"/>
      <c r="D834" s="134"/>
      <c r="E834" s="2"/>
      <c r="F834" s="2"/>
      <c r="G834" s="67"/>
      <c r="H834" s="67"/>
      <c r="I834" s="67"/>
      <c r="J834" s="2"/>
    </row>
    <row r="835" spans="3:10" x14ac:dyDescent="0.25">
      <c r="C835" s="2"/>
      <c r="D835" s="134"/>
      <c r="E835" s="2"/>
      <c r="F835" s="2"/>
      <c r="G835" s="67"/>
      <c r="H835" s="67"/>
      <c r="I835" s="67"/>
      <c r="J835" s="2"/>
    </row>
    <row r="836" spans="3:10" x14ac:dyDescent="0.25">
      <c r="C836" s="2"/>
      <c r="D836" s="134"/>
      <c r="E836" s="2"/>
      <c r="F836" s="2"/>
      <c r="G836" s="67"/>
      <c r="H836" s="67"/>
      <c r="I836" s="67"/>
      <c r="J836" s="2"/>
    </row>
    <row r="837" spans="3:10" x14ac:dyDescent="0.25">
      <c r="C837" s="2"/>
      <c r="D837" s="134"/>
      <c r="E837" s="2"/>
      <c r="F837" s="2"/>
      <c r="G837" s="67"/>
      <c r="H837" s="67"/>
      <c r="I837" s="67"/>
      <c r="J837" s="2"/>
    </row>
    <row r="838" spans="3:10" x14ac:dyDescent="0.25">
      <c r="C838" s="2"/>
      <c r="D838" s="134"/>
      <c r="E838" s="2"/>
      <c r="F838" s="2"/>
      <c r="G838" s="67"/>
      <c r="H838" s="67"/>
      <c r="I838" s="67"/>
      <c r="J838" s="2"/>
    </row>
    <row r="839" spans="3:10" x14ac:dyDescent="0.25">
      <c r="C839" s="2"/>
      <c r="D839" s="134"/>
      <c r="E839" s="2"/>
      <c r="F839" s="2"/>
      <c r="G839" s="67"/>
      <c r="H839" s="67"/>
      <c r="I839" s="67"/>
      <c r="J839" s="2"/>
    </row>
    <row r="840" spans="3:10" x14ac:dyDescent="0.25">
      <c r="C840" s="2"/>
      <c r="D840" s="134"/>
      <c r="E840" s="2"/>
      <c r="F840" s="2"/>
      <c r="G840" s="67"/>
      <c r="H840" s="67"/>
      <c r="I840" s="67"/>
      <c r="J840" s="2"/>
    </row>
    <row r="841" spans="3:10" x14ac:dyDescent="0.25">
      <c r="C841" s="2"/>
      <c r="D841" s="134"/>
      <c r="E841" s="2"/>
      <c r="F841" s="2"/>
      <c r="G841" s="67"/>
      <c r="H841" s="67"/>
      <c r="I841" s="67"/>
      <c r="J841" s="2"/>
    </row>
    <row r="842" spans="3:10" x14ac:dyDescent="0.25">
      <c r="C842" s="2"/>
      <c r="D842" s="134"/>
      <c r="E842" s="2"/>
      <c r="F842" s="2"/>
      <c r="G842" s="67"/>
      <c r="H842" s="67"/>
      <c r="I842" s="67"/>
      <c r="J842" s="2"/>
    </row>
    <row r="843" spans="3:10" x14ac:dyDescent="0.25">
      <c r="C843" s="2"/>
      <c r="D843" s="134"/>
      <c r="E843" s="2"/>
      <c r="F843" s="2"/>
      <c r="G843" s="67"/>
      <c r="H843" s="67"/>
      <c r="I843" s="67"/>
      <c r="J843" s="2"/>
    </row>
    <row r="844" spans="3:10" x14ac:dyDescent="0.25">
      <c r="C844" s="2"/>
      <c r="D844" s="134"/>
      <c r="E844" s="2"/>
      <c r="F844" s="2"/>
      <c r="G844" s="67"/>
      <c r="H844" s="67"/>
      <c r="I844" s="67"/>
      <c r="J844" s="2"/>
    </row>
    <row r="845" spans="3:10" x14ac:dyDescent="0.25">
      <c r="C845" s="2"/>
      <c r="D845" s="134"/>
      <c r="E845" s="2"/>
      <c r="F845" s="2"/>
      <c r="G845" s="67"/>
      <c r="H845" s="67"/>
      <c r="I845" s="67"/>
      <c r="J845" s="2"/>
    </row>
    <row r="846" spans="3:10" x14ac:dyDescent="0.25">
      <c r="C846" s="2"/>
      <c r="D846" s="134"/>
      <c r="E846" s="2"/>
      <c r="F846" s="2"/>
      <c r="G846" s="67"/>
      <c r="H846" s="67"/>
      <c r="I846" s="67"/>
      <c r="J846" s="2"/>
    </row>
    <row r="847" spans="3:10" x14ac:dyDescent="0.25">
      <c r="C847" s="2"/>
      <c r="D847" s="134"/>
      <c r="E847" s="2"/>
      <c r="F847" s="2"/>
      <c r="G847" s="67"/>
      <c r="H847" s="67"/>
      <c r="I847" s="67"/>
      <c r="J847" s="2"/>
    </row>
    <row r="848" spans="3:10" x14ac:dyDescent="0.25">
      <c r="C848" s="2"/>
      <c r="D848" s="134"/>
      <c r="E848" s="2"/>
      <c r="F848" s="2"/>
      <c r="G848" s="67"/>
      <c r="H848" s="67"/>
      <c r="I848" s="67"/>
      <c r="J848" s="2"/>
    </row>
    <row r="849" spans="3:10" x14ac:dyDescent="0.25">
      <c r="C849" s="2"/>
      <c r="D849" s="134"/>
      <c r="E849" s="2"/>
      <c r="F849" s="2"/>
      <c r="G849" s="67"/>
      <c r="H849" s="67"/>
      <c r="I849" s="67"/>
      <c r="J849" s="2"/>
    </row>
    <row r="850" spans="3:10" x14ac:dyDescent="0.25">
      <c r="C850" s="2"/>
      <c r="D850" s="134"/>
      <c r="E850" s="2"/>
      <c r="F850" s="2"/>
      <c r="G850" s="67"/>
      <c r="H850" s="67"/>
      <c r="I850" s="67"/>
      <c r="J850" s="2"/>
    </row>
    <row r="851" spans="3:10" x14ac:dyDescent="0.25">
      <c r="C851" s="2"/>
      <c r="D851" s="134"/>
      <c r="E851" s="2"/>
      <c r="F851" s="2"/>
      <c r="G851" s="67"/>
      <c r="H851" s="67"/>
      <c r="I851" s="67"/>
      <c r="J851" s="2"/>
    </row>
    <row r="852" spans="3:10" x14ac:dyDescent="0.25">
      <c r="C852" s="2"/>
      <c r="D852" s="134"/>
      <c r="E852" s="2"/>
      <c r="F852" s="2"/>
      <c r="G852" s="67"/>
      <c r="H852" s="67"/>
      <c r="I852" s="67"/>
      <c r="J852" s="2"/>
    </row>
    <row r="853" spans="3:10" x14ac:dyDescent="0.25">
      <c r="C853" s="2"/>
      <c r="D853" s="134"/>
      <c r="E853" s="2"/>
      <c r="F853" s="2"/>
      <c r="G853" s="67"/>
      <c r="H853" s="67"/>
      <c r="I853" s="67"/>
      <c r="J853" s="2"/>
    </row>
    <row r="854" spans="3:10" x14ac:dyDescent="0.25">
      <c r="C854" s="2"/>
      <c r="D854" s="134"/>
      <c r="E854" s="2"/>
      <c r="F854" s="2"/>
      <c r="G854" s="67"/>
      <c r="H854" s="67"/>
      <c r="I854" s="67"/>
      <c r="J854" s="2"/>
    </row>
    <row r="855" spans="3:10" x14ac:dyDescent="0.25">
      <c r="C855" s="2"/>
      <c r="D855" s="134"/>
      <c r="E855" s="2"/>
      <c r="F855" s="2"/>
      <c r="G855" s="67"/>
      <c r="H855" s="67"/>
      <c r="I855" s="67"/>
      <c r="J855" s="2"/>
    </row>
    <row r="856" spans="3:10" x14ac:dyDescent="0.25">
      <c r="C856" s="2"/>
      <c r="D856" s="134"/>
      <c r="E856" s="2"/>
      <c r="F856" s="2"/>
      <c r="G856" s="67"/>
      <c r="H856" s="67"/>
      <c r="I856" s="67"/>
      <c r="J856" s="2"/>
    </row>
    <row r="857" spans="3:10" x14ac:dyDescent="0.25">
      <c r="C857" s="2"/>
      <c r="D857" s="134"/>
      <c r="E857" s="2"/>
      <c r="F857" s="2"/>
      <c r="G857" s="67"/>
      <c r="H857" s="67"/>
      <c r="I857" s="67"/>
      <c r="J857" s="2"/>
    </row>
    <row r="858" spans="3:10" x14ac:dyDescent="0.25">
      <c r="C858" s="2"/>
      <c r="D858" s="134"/>
      <c r="E858" s="2"/>
      <c r="F858" s="2"/>
      <c r="G858" s="67"/>
      <c r="H858" s="67"/>
      <c r="I858" s="67"/>
      <c r="J858" s="2"/>
    </row>
    <row r="859" spans="3:10" x14ac:dyDescent="0.25">
      <c r="C859" s="2"/>
      <c r="D859" s="134"/>
      <c r="E859" s="2"/>
      <c r="F859" s="2"/>
      <c r="G859" s="67"/>
      <c r="H859" s="67"/>
      <c r="I859" s="67"/>
      <c r="J859" s="2"/>
    </row>
    <row r="860" spans="3:10" x14ac:dyDescent="0.25">
      <c r="C860" s="2"/>
      <c r="D860" s="134"/>
      <c r="E860" s="2"/>
      <c r="F860" s="2"/>
      <c r="G860" s="67"/>
      <c r="H860" s="67"/>
      <c r="I860" s="67"/>
      <c r="J860" s="2"/>
    </row>
    <row r="861" spans="3:10" x14ac:dyDescent="0.25">
      <c r="C861" s="2"/>
      <c r="D861" s="134"/>
      <c r="E861" s="2"/>
      <c r="F861" s="2"/>
      <c r="G861" s="67"/>
      <c r="H861" s="67"/>
      <c r="I861" s="67"/>
      <c r="J861" s="2"/>
    </row>
    <row r="862" spans="3:10" x14ac:dyDescent="0.25">
      <c r="C862" s="2"/>
      <c r="D862" s="134"/>
      <c r="E862" s="2"/>
      <c r="F862" s="2"/>
      <c r="G862" s="67"/>
      <c r="H862" s="67"/>
      <c r="I862" s="67"/>
      <c r="J862" s="2"/>
    </row>
    <row r="863" spans="3:10" x14ac:dyDescent="0.25">
      <c r="C863" s="2"/>
      <c r="D863" s="134"/>
      <c r="E863" s="2"/>
      <c r="F863" s="2"/>
      <c r="G863" s="67"/>
      <c r="H863" s="67"/>
      <c r="I863" s="67"/>
      <c r="J863" s="2"/>
    </row>
    <row r="864" spans="3:10" x14ac:dyDescent="0.25">
      <c r="C864" s="2"/>
      <c r="D864" s="134"/>
      <c r="E864" s="2"/>
      <c r="F864" s="2"/>
      <c r="G864" s="67"/>
      <c r="H864" s="67"/>
      <c r="I864" s="67"/>
      <c r="J864" s="2"/>
    </row>
    <row r="865" spans="3:10" x14ac:dyDescent="0.25">
      <c r="C865" s="2"/>
      <c r="D865" s="134"/>
      <c r="E865" s="2"/>
      <c r="F865" s="2"/>
      <c r="G865" s="67"/>
      <c r="H865" s="67"/>
      <c r="I865" s="67"/>
      <c r="J865" s="2"/>
    </row>
    <row r="866" spans="3:10" x14ac:dyDescent="0.25">
      <c r="C866" s="2"/>
      <c r="D866" s="134"/>
      <c r="E866" s="2"/>
      <c r="F866" s="2"/>
      <c r="G866" s="67"/>
      <c r="H866" s="67"/>
      <c r="I866" s="67"/>
      <c r="J866" s="2"/>
    </row>
    <row r="867" spans="3:10" x14ac:dyDescent="0.25">
      <c r="C867" s="2"/>
      <c r="D867" s="134"/>
      <c r="E867" s="2"/>
      <c r="F867" s="2"/>
      <c r="G867" s="67"/>
      <c r="H867" s="67"/>
      <c r="I867" s="67"/>
      <c r="J867" s="2"/>
    </row>
    <row r="868" spans="3:10" x14ac:dyDescent="0.25">
      <c r="C868" s="2"/>
      <c r="D868" s="134"/>
      <c r="E868" s="2"/>
      <c r="F868" s="2"/>
      <c r="G868" s="67"/>
      <c r="H868" s="67"/>
      <c r="I868" s="67"/>
      <c r="J868" s="2"/>
    </row>
    <row r="869" spans="3:10" x14ac:dyDescent="0.25">
      <c r="C869" s="2"/>
      <c r="D869" s="134"/>
      <c r="E869" s="2"/>
      <c r="F869" s="2"/>
      <c r="G869" s="67"/>
      <c r="H869" s="67"/>
      <c r="I869" s="67"/>
      <c r="J869" s="2"/>
    </row>
    <row r="870" spans="3:10" x14ac:dyDescent="0.25">
      <c r="C870" s="2"/>
      <c r="D870" s="134"/>
      <c r="E870" s="2"/>
      <c r="F870" s="2"/>
      <c r="G870" s="67"/>
      <c r="H870" s="67"/>
      <c r="I870" s="67"/>
      <c r="J870" s="2"/>
    </row>
    <row r="871" spans="3:10" x14ac:dyDescent="0.25">
      <c r="C871" s="2"/>
      <c r="D871" s="134"/>
      <c r="E871" s="2"/>
      <c r="F871" s="2"/>
      <c r="G871" s="67"/>
      <c r="H871" s="67"/>
      <c r="I871" s="67"/>
      <c r="J871" s="2"/>
    </row>
    <row r="872" spans="3:10" x14ac:dyDescent="0.25">
      <c r="C872" s="2"/>
      <c r="D872" s="134"/>
      <c r="E872" s="2"/>
      <c r="F872" s="2"/>
      <c r="G872" s="67"/>
      <c r="H872" s="67"/>
      <c r="I872" s="67"/>
      <c r="J872" s="2"/>
    </row>
    <row r="873" spans="3:10" x14ac:dyDescent="0.25">
      <c r="C873" s="2"/>
      <c r="D873" s="134"/>
      <c r="E873" s="2"/>
      <c r="F873" s="2"/>
      <c r="G873" s="67"/>
      <c r="H873" s="67"/>
      <c r="I873" s="67"/>
      <c r="J873" s="2"/>
    </row>
    <row r="874" spans="3:10" x14ac:dyDescent="0.25">
      <c r="C874" s="2"/>
      <c r="D874" s="134"/>
      <c r="E874" s="2"/>
      <c r="F874" s="2"/>
      <c r="G874" s="67"/>
      <c r="H874" s="67"/>
      <c r="I874" s="67"/>
      <c r="J874" s="2"/>
    </row>
    <row r="875" spans="3:10" x14ac:dyDescent="0.25">
      <c r="C875" s="2"/>
      <c r="D875" s="134"/>
      <c r="E875" s="2"/>
      <c r="F875" s="2"/>
      <c r="G875" s="67"/>
      <c r="H875" s="67"/>
      <c r="I875" s="67"/>
      <c r="J875" s="2"/>
    </row>
    <row r="876" spans="3:10" x14ac:dyDescent="0.25">
      <c r="C876" s="2"/>
      <c r="D876" s="134"/>
      <c r="E876" s="2"/>
      <c r="F876" s="2"/>
      <c r="G876" s="67"/>
      <c r="H876" s="67"/>
      <c r="I876" s="67"/>
      <c r="J876" s="2"/>
    </row>
    <row r="877" spans="3:10" x14ac:dyDescent="0.25">
      <c r="C877" s="2"/>
      <c r="D877" s="134"/>
      <c r="E877" s="2"/>
      <c r="F877" s="2"/>
      <c r="G877" s="67"/>
      <c r="H877" s="67"/>
      <c r="I877" s="67"/>
      <c r="J877" s="2"/>
    </row>
    <row r="878" spans="3:10" x14ac:dyDescent="0.25">
      <c r="C878" s="2"/>
      <c r="D878" s="134"/>
      <c r="E878" s="2"/>
      <c r="F878" s="2"/>
      <c r="G878" s="67"/>
      <c r="H878" s="67"/>
      <c r="I878" s="67"/>
      <c r="J878" s="2"/>
    </row>
    <row r="879" spans="3:10" x14ac:dyDescent="0.25">
      <c r="C879" s="2"/>
      <c r="D879" s="134"/>
      <c r="E879" s="2"/>
      <c r="F879" s="2"/>
      <c r="G879" s="67"/>
      <c r="H879" s="67"/>
      <c r="I879" s="67"/>
      <c r="J879" s="2"/>
    </row>
    <row r="880" spans="3:10" x14ac:dyDescent="0.25">
      <c r="C880" s="2"/>
      <c r="D880" s="134"/>
      <c r="E880" s="2"/>
      <c r="F880" s="2"/>
      <c r="G880" s="67"/>
      <c r="H880" s="67"/>
      <c r="I880" s="67"/>
      <c r="J880" s="2"/>
    </row>
    <row r="881" spans="3:10" x14ac:dyDescent="0.25">
      <c r="C881" s="2"/>
      <c r="D881" s="134"/>
      <c r="E881" s="2"/>
      <c r="F881" s="2"/>
      <c r="G881" s="67"/>
      <c r="H881" s="67"/>
      <c r="I881" s="67"/>
      <c r="J881" s="2"/>
    </row>
    <row r="882" spans="3:10" x14ac:dyDescent="0.25">
      <c r="C882" s="2"/>
      <c r="D882" s="134"/>
      <c r="E882" s="2"/>
      <c r="F882" s="2"/>
      <c r="G882" s="67"/>
      <c r="H882" s="67"/>
      <c r="I882" s="67"/>
      <c r="J882" s="2"/>
    </row>
    <row r="883" spans="3:10" x14ac:dyDescent="0.25">
      <c r="C883" s="2"/>
      <c r="D883" s="134"/>
      <c r="E883" s="2"/>
      <c r="F883" s="2"/>
      <c r="G883" s="67"/>
      <c r="H883" s="67"/>
      <c r="I883" s="67"/>
      <c r="J883" s="2"/>
    </row>
    <row r="884" spans="3:10" x14ac:dyDescent="0.25">
      <c r="C884" s="2"/>
      <c r="D884" s="134"/>
      <c r="E884" s="2"/>
      <c r="F884" s="2"/>
      <c r="G884" s="67"/>
      <c r="H884" s="67"/>
      <c r="I884" s="67"/>
      <c r="J884" s="2"/>
    </row>
    <row r="885" spans="3:10" x14ac:dyDescent="0.25">
      <c r="C885" s="2"/>
      <c r="D885" s="134"/>
      <c r="E885" s="2"/>
      <c r="F885" s="2"/>
      <c r="G885" s="67"/>
      <c r="H885" s="67"/>
      <c r="I885" s="67"/>
      <c r="J885" s="2"/>
    </row>
    <row r="886" spans="3:10" x14ac:dyDescent="0.25">
      <c r="C886" s="2"/>
      <c r="D886" s="134"/>
      <c r="E886" s="2"/>
      <c r="F886" s="2"/>
      <c r="G886" s="67"/>
      <c r="H886" s="67"/>
      <c r="I886" s="67"/>
      <c r="J886" s="2"/>
    </row>
    <row r="887" spans="3:10" x14ac:dyDescent="0.25">
      <c r="C887" s="2"/>
      <c r="D887" s="134"/>
      <c r="E887" s="2"/>
      <c r="F887" s="2"/>
      <c r="G887" s="67"/>
      <c r="H887" s="67"/>
      <c r="I887" s="67"/>
      <c r="J887" s="2"/>
    </row>
    <row r="888" spans="3:10" x14ac:dyDescent="0.25">
      <c r="C888" s="2"/>
      <c r="D888" s="134"/>
      <c r="E888" s="2"/>
      <c r="F888" s="2"/>
      <c r="G888" s="67"/>
      <c r="H888" s="67"/>
      <c r="I888" s="67"/>
      <c r="J888" s="2"/>
    </row>
    <row r="889" spans="3:10" x14ac:dyDescent="0.25">
      <c r="C889" s="2"/>
      <c r="D889" s="134"/>
      <c r="E889" s="2"/>
      <c r="F889" s="2"/>
      <c r="G889" s="67"/>
      <c r="H889" s="67"/>
      <c r="I889" s="67"/>
      <c r="J889" s="2"/>
    </row>
    <row r="890" spans="3:10" x14ac:dyDescent="0.25">
      <c r="C890" s="2"/>
      <c r="D890" s="134"/>
      <c r="E890" s="2"/>
      <c r="F890" s="2"/>
      <c r="G890" s="67"/>
      <c r="H890" s="67"/>
      <c r="I890" s="67"/>
      <c r="J890" s="2"/>
    </row>
    <row r="891" spans="3:10" x14ac:dyDescent="0.25">
      <c r="C891" s="2"/>
      <c r="D891" s="134"/>
      <c r="E891" s="2"/>
      <c r="F891" s="2"/>
      <c r="G891" s="67"/>
      <c r="H891" s="67"/>
      <c r="I891" s="67"/>
      <c r="J891" s="2"/>
    </row>
    <row r="892" spans="3:10" x14ac:dyDescent="0.25">
      <c r="C892" s="2"/>
      <c r="D892" s="134"/>
      <c r="E892" s="2"/>
      <c r="F892" s="2"/>
      <c r="G892" s="67"/>
      <c r="H892" s="67"/>
      <c r="I892" s="67"/>
      <c r="J892" s="2"/>
    </row>
    <row r="893" spans="3:10" x14ac:dyDescent="0.25">
      <c r="C893" s="2"/>
      <c r="D893" s="134"/>
      <c r="E893" s="2"/>
      <c r="F893" s="2"/>
      <c r="G893" s="67"/>
      <c r="H893" s="67"/>
      <c r="I893" s="67"/>
      <c r="J893" s="2"/>
    </row>
    <row r="894" spans="3:10" x14ac:dyDescent="0.25">
      <c r="C894" s="2"/>
      <c r="D894" s="134"/>
      <c r="E894" s="2"/>
      <c r="F894" s="2"/>
      <c r="G894" s="67"/>
      <c r="H894" s="67"/>
      <c r="I894" s="67"/>
      <c r="J894" s="2"/>
    </row>
    <row r="895" spans="3:10" x14ac:dyDescent="0.25">
      <c r="C895" s="2"/>
      <c r="D895" s="134"/>
      <c r="E895" s="2"/>
      <c r="F895" s="2"/>
      <c r="G895" s="67"/>
      <c r="H895" s="67"/>
      <c r="I895" s="67"/>
      <c r="J895" s="2"/>
    </row>
    <row r="896" spans="3:10" x14ac:dyDescent="0.25">
      <c r="C896" s="2"/>
      <c r="D896" s="134"/>
      <c r="E896" s="2"/>
      <c r="F896" s="2"/>
      <c r="G896" s="67"/>
      <c r="H896" s="67"/>
      <c r="I896" s="67"/>
      <c r="J896" s="2"/>
    </row>
    <row r="897" spans="3:10" x14ac:dyDescent="0.25">
      <c r="C897" s="2"/>
      <c r="D897" s="134"/>
      <c r="E897" s="2"/>
      <c r="F897" s="2"/>
      <c r="G897" s="67"/>
      <c r="H897" s="67"/>
      <c r="I897" s="67"/>
      <c r="J897" s="2"/>
    </row>
    <row r="898" spans="3:10" x14ac:dyDescent="0.25">
      <c r="C898" s="2"/>
      <c r="D898" s="134"/>
      <c r="E898" s="2"/>
      <c r="F898" s="2"/>
      <c r="G898" s="67"/>
      <c r="H898" s="67"/>
      <c r="I898" s="67"/>
      <c r="J898" s="2"/>
    </row>
    <row r="899" spans="3:10" x14ac:dyDescent="0.25">
      <c r="C899" s="2"/>
      <c r="D899" s="134"/>
      <c r="E899" s="2"/>
      <c r="F899" s="2"/>
      <c r="G899" s="67"/>
      <c r="H899" s="67"/>
      <c r="I899" s="67"/>
      <c r="J899" s="2"/>
    </row>
    <row r="900" spans="3:10" x14ac:dyDescent="0.25">
      <c r="C900" s="2"/>
      <c r="D900" s="134"/>
      <c r="E900" s="2"/>
      <c r="F900" s="2"/>
      <c r="G900" s="67"/>
      <c r="H900" s="67"/>
      <c r="I900" s="67"/>
      <c r="J900" s="2"/>
    </row>
    <row r="901" spans="3:10" x14ac:dyDescent="0.25">
      <c r="C901" s="2"/>
      <c r="D901" s="134"/>
      <c r="E901" s="2"/>
      <c r="F901" s="2"/>
      <c r="G901" s="67"/>
      <c r="H901" s="67"/>
      <c r="I901" s="67"/>
      <c r="J901" s="2"/>
    </row>
    <row r="902" spans="3:10" x14ac:dyDescent="0.25">
      <c r="C902" s="2"/>
      <c r="D902" s="134"/>
      <c r="E902" s="2"/>
      <c r="F902" s="2"/>
      <c r="G902" s="67"/>
      <c r="H902" s="67"/>
      <c r="I902" s="67"/>
      <c r="J902" s="2"/>
    </row>
    <row r="903" spans="3:10" x14ac:dyDescent="0.25">
      <c r="C903" s="2"/>
      <c r="D903" s="134"/>
      <c r="E903" s="2"/>
      <c r="F903" s="2"/>
      <c r="G903" s="67"/>
      <c r="H903" s="67"/>
      <c r="I903" s="67"/>
      <c r="J903" s="2"/>
    </row>
    <row r="904" spans="3:10" x14ac:dyDescent="0.25">
      <c r="C904" s="2"/>
      <c r="D904" s="134"/>
      <c r="E904" s="2"/>
      <c r="F904" s="2"/>
      <c r="G904" s="67"/>
      <c r="H904" s="67"/>
      <c r="I904" s="67"/>
      <c r="J904" s="2"/>
    </row>
    <row r="905" spans="3:10" x14ac:dyDescent="0.25">
      <c r="C905" s="2"/>
      <c r="D905" s="134"/>
      <c r="E905" s="2"/>
      <c r="F905" s="2"/>
      <c r="G905" s="67"/>
      <c r="H905" s="67"/>
      <c r="I905" s="67"/>
      <c r="J905" s="2"/>
    </row>
    <row r="906" spans="3:10" x14ac:dyDescent="0.25">
      <c r="C906" s="2"/>
      <c r="D906" s="134"/>
      <c r="E906" s="2"/>
      <c r="F906" s="2"/>
      <c r="G906" s="67"/>
      <c r="H906" s="67"/>
      <c r="I906" s="67"/>
      <c r="J906" s="2"/>
    </row>
    <row r="907" spans="3:10" x14ac:dyDescent="0.25">
      <c r="C907" s="2"/>
      <c r="D907" s="134"/>
      <c r="E907" s="2"/>
      <c r="F907" s="2"/>
      <c r="G907" s="67"/>
      <c r="H907" s="67"/>
      <c r="I907" s="67"/>
      <c r="J907" s="2"/>
    </row>
    <row r="908" spans="3:10" x14ac:dyDescent="0.25">
      <c r="C908" s="2"/>
      <c r="D908" s="134"/>
      <c r="E908" s="2"/>
      <c r="F908" s="2"/>
      <c r="G908" s="67"/>
      <c r="H908" s="67"/>
      <c r="I908" s="67"/>
      <c r="J908" s="2"/>
    </row>
    <row r="909" spans="3:10" x14ac:dyDescent="0.25">
      <c r="C909" s="2"/>
      <c r="D909" s="134"/>
      <c r="E909" s="2"/>
      <c r="F909" s="2"/>
      <c r="G909" s="67"/>
      <c r="H909" s="67"/>
      <c r="I909" s="67"/>
      <c r="J909" s="2"/>
    </row>
    <row r="910" spans="3:10" x14ac:dyDescent="0.25">
      <c r="C910" s="2"/>
      <c r="D910" s="134"/>
      <c r="E910" s="2"/>
      <c r="F910" s="2"/>
      <c r="G910" s="67"/>
      <c r="H910" s="67"/>
      <c r="I910" s="67"/>
      <c r="J910" s="2"/>
    </row>
    <row r="911" spans="3:10" x14ac:dyDescent="0.25">
      <c r="C911" s="2"/>
      <c r="D911" s="134"/>
      <c r="E911" s="2"/>
      <c r="F911" s="2"/>
      <c r="G911" s="67"/>
      <c r="H911" s="67"/>
      <c r="I911" s="67"/>
      <c r="J911" s="2"/>
    </row>
    <row r="912" spans="3:10" x14ac:dyDescent="0.25">
      <c r="C912" s="2"/>
      <c r="D912" s="134"/>
      <c r="E912" s="2"/>
      <c r="F912" s="2"/>
      <c r="G912" s="67"/>
      <c r="H912" s="67"/>
      <c r="I912" s="67"/>
      <c r="J912" s="2"/>
    </row>
    <row r="913" spans="3:10" x14ac:dyDescent="0.25">
      <c r="C913" s="2"/>
      <c r="D913" s="134"/>
      <c r="E913" s="2"/>
      <c r="F913" s="2"/>
      <c r="G913" s="67"/>
      <c r="H913" s="67"/>
      <c r="I913" s="67"/>
      <c r="J913" s="2"/>
    </row>
    <row r="914" spans="3:10" x14ac:dyDescent="0.25">
      <c r="C914" s="2"/>
      <c r="D914" s="134"/>
      <c r="E914" s="3"/>
      <c r="F914" s="2"/>
      <c r="G914" s="67"/>
      <c r="H914" s="67"/>
      <c r="I914" s="67"/>
      <c r="J914" s="2"/>
    </row>
    <row r="915" spans="3:10" x14ac:dyDescent="0.25">
      <c r="C915" s="2"/>
      <c r="D915" s="134"/>
      <c r="E915" s="3"/>
      <c r="F915" s="2"/>
      <c r="G915" s="67"/>
      <c r="H915" s="67"/>
      <c r="I915" s="67"/>
      <c r="J915" s="2"/>
    </row>
    <row r="916" spans="3:10" x14ac:dyDescent="0.25">
      <c r="C916" s="2"/>
      <c r="D916" s="134"/>
      <c r="E916" s="3"/>
      <c r="F916" s="2"/>
      <c r="G916" s="67"/>
      <c r="H916" s="67"/>
      <c r="I916" s="67"/>
      <c r="J916" s="2"/>
    </row>
    <row r="917" spans="3:10" x14ac:dyDescent="0.25">
      <c r="C917" s="2"/>
      <c r="D917" s="134"/>
      <c r="E917" s="3"/>
      <c r="F917" s="2"/>
      <c r="G917" s="67"/>
      <c r="H917" s="67"/>
      <c r="I917" s="67"/>
      <c r="J917" s="2"/>
    </row>
    <row r="918" spans="3:10" x14ac:dyDescent="0.25">
      <c r="C918" s="2"/>
      <c r="D918" s="134"/>
      <c r="E918" s="3"/>
      <c r="F918" s="2"/>
      <c r="G918" s="67"/>
      <c r="H918" s="67"/>
      <c r="I918" s="67"/>
      <c r="J918" s="2"/>
    </row>
    <row r="919" spans="3:10" x14ac:dyDescent="0.25">
      <c r="C919" s="2"/>
      <c r="D919" s="134"/>
      <c r="E919" s="3"/>
      <c r="F919" s="2"/>
      <c r="G919" s="67"/>
      <c r="H919" s="67"/>
      <c r="I919" s="67"/>
      <c r="J919" s="2"/>
    </row>
    <row r="920" spans="3:10" x14ac:dyDescent="0.25">
      <c r="C920" s="2"/>
      <c r="D920" s="134"/>
      <c r="E920" s="3"/>
      <c r="F920" s="2"/>
      <c r="G920" s="67"/>
      <c r="H920" s="67"/>
      <c r="I920" s="67"/>
      <c r="J920" s="2"/>
    </row>
    <row r="921" spans="3:10" x14ac:dyDescent="0.25">
      <c r="C921" s="2"/>
      <c r="D921" s="134"/>
      <c r="E921" s="3"/>
      <c r="F921" s="2"/>
      <c r="G921" s="67"/>
      <c r="H921" s="67"/>
      <c r="I921" s="67"/>
      <c r="J921" s="2"/>
    </row>
    <row r="922" spans="3:10" x14ac:dyDescent="0.25">
      <c r="C922" s="2"/>
      <c r="D922" s="134"/>
      <c r="E922" s="3"/>
      <c r="F922" s="2"/>
      <c r="G922" s="67"/>
      <c r="H922" s="67"/>
      <c r="I922" s="67"/>
      <c r="J922" s="2"/>
    </row>
    <row r="923" spans="3:10" x14ac:dyDescent="0.25">
      <c r="C923" s="2"/>
      <c r="D923" s="134"/>
      <c r="E923" s="3"/>
      <c r="F923" s="2"/>
      <c r="G923" s="67"/>
      <c r="H923" s="67"/>
      <c r="I923" s="67"/>
      <c r="J923" s="2"/>
    </row>
    <row r="924" spans="3:10" x14ac:dyDescent="0.25">
      <c r="C924" s="2"/>
      <c r="D924" s="134"/>
      <c r="E924" s="3"/>
      <c r="F924" s="2"/>
      <c r="G924" s="67"/>
      <c r="H924" s="67"/>
      <c r="I924" s="67"/>
      <c r="J924" s="2"/>
    </row>
    <row r="925" spans="3:10" x14ac:dyDescent="0.25">
      <c r="C925" s="2"/>
      <c r="D925" s="134"/>
      <c r="E925" s="3"/>
      <c r="F925" s="2"/>
      <c r="G925" s="67"/>
      <c r="H925" s="67"/>
      <c r="I925" s="67"/>
      <c r="J925" s="2"/>
    </row>
    <row r="926" spans="3:10" x14ac:dyDescent="0.25">
      <c r="C926" s="2"/>
      <c r="D926" s="134"/>
      <c r="E926" s="3"/>
      <c r="F926" s="2"/>
      <c r="G926" s="67"/>
      <c r="H926" s="67"/>
      <c r="I926" s="67"/>
      <c r="J926" s="2"/>
    </row>
    <row r="927" spans="3:10" x14ac:dyDescent="0.25">
      <c r="C927" s="2"/>
      <c r="D927" s="134"/>
      <c r="E927" s="3"/>
      <c r="F927" s="2"/>
      <c r="G927" s="67"/>
      <c r="H927" s="67"/>
      <c r="I927" s="67"/>
      <c r="J927" s="2"/>
    </row>
    <row r="928" spans="3:10" x14ac:dyDescent="0.25">
      <c r="C928" s="2"/>
      <c r="D928" s="134"/>
      <c r="E928" s="3"/>
      <c r="F928" s="2"/>
      <c r="G928" s="67"/>
      <c r="H928" s="67"/>
      <c r="I928" s="67"/>
      <c r="J928" s="2"/>
    </row>
    <row r="929" spans="3:10" x14ac:dyDescent="0.25">
      <c r="C929" s="2"/>
      <c r="D929" s="134"/>
      <c r="E929" s="3"/>
      <c r="F929" s="2"/>
      <c r="G929" s="67"/>
      <c r="H929" s="67"/>
      <c r="I929" s="67"/>
      <c r="J929" s="2"/>
    </row>
    <row r="930" spans="3:10" x14ac:dyDescent="0.25">
      <c r="C930" s="2"/>
      <c r="D930" s="134"/>
      <c r="E930" s="3"/>
      <c r="F930" s="2"/>
      <c r="G930" s="67"/>
      <c r="H930" s="67"/>
      <c r="I930" s="67"/>
      <c r="J930" s="2"/>
    </row>
    <row r="931" spans="3:10" x14ac:dyDescent="0.25">
      <c r="C931" s="2"/>
      <c r="D931" s="134"/>
      <c r="E931" s="3"/>
      <c r="F931" s="2"/>
      <c r="G931" s="67"/>
      <c r="H931" s="67"/>
      <c r="I931" s="67"/>
      <c r="J931" s="2"/>
    </row>
    <row r="932" spans="3:10" x14ac:dyDescent="0.25">
      <c r="C932" s="2"/>
      <c r="D932" s="134"/>
      <c r="E932" s="3"/>
      <c r="F932" s="2"/>
      <c r="G932" s="67"/>
      <c r="H932" s="67"/>
      <c r="I932" s="67"/>
      <c r="J932" s="2"/>
    </row>
    <row r="933" spans="3:10" x14ac:dyDescent="0.25">
      <c r="C933" s="2"/>
      <c r="D933" s="134"/>
      <c r="E933" s="3"/>
      <c r="F933" s="2"/>
      <c r="G933" s="67"/>
      <c r="H933" s="67"/>
      <c r="I933" s="67"/>
      <c r="J933" s="2"/>
    </row>
    <row r="934" spans="3:10" x14ac:dyDescent="0.25">
      <c r="C934" s="2"/>
      <c r="D934" s="134"/>
      <c r="E934" s="3"/>
      <c r="F934" s="2"/>
      <c r="G934" s="67"/>
      <c r="H934" s="67"/>
      <c r="I934" s="67"/>
      <c r="J934" s="2"/>
    </row>
    <row r="935" spans="3:10" x14ac:dyDescent="0.25">
      <c r="C935" s="2"/>
      <c r="D935" s="134"/>
      <c r="E935" s="3"/>
      <c r="F935" s="2"/>
      <c r="G935" s="67"/>
      <c r="H935" s="67"/>
      <c r="I935" s="67"/>
      <c r="J935" s="2"/>
    </row>
    <row r="936" spans="3:10" x14ac:dyDescent="0.25">
      <c r="C936" s="2"/>
      <c r="D936" s="134"/>
      <c r="E936" s="3"/>
      <c r="F936" s="2"/>
      <c r="G936" s="67"/>
      <c r="H936" s="67"/>
      <c r="I936" s="67"/>
      <c r="J936" s="2"/>
    </row>
    <row r="937" spans="3:10" x14ac:dyDescent="0.25">
      <c r="C937" s="2"/>
      <c r="D937" s="134"/>
      <c r="E937" s="3"/>
      <c r="F937" s="2"/>
      <c r="G937" s="67"/>
      <c r="H937" s="67"/>
      <c r="I937" s="67"/>
      <c r="J937" s="2"/>
    </row>
    <row r="938" spans="3:10" x14ac:dyDescent="0.25">
      <c r="C938" s="2"/>
      <c r="D938" s="134"/>
      <c r="E938" s="3"/>
      <c r="F938" s="2"/>
      <c r="G938" s="67"/>
      <c r="H938" s="67"/>
      <c r="I938" s="67"/>
      <c r="J938" s="2"/>
    </row>
    <row r="939" spans="3:10" x14ac:dyDescent="0.25">
      <c r="C939" s="2"/>
      <c r="D939" s="134"/>
      <c r="E939" s="3"/>
      <c r="F939" s="2"/>
      <c r="G939" s="67"/>
      <c r="H939" s="67"/>
      <c r="I939" s="67"/>
      <c r="J939" s="2"/>
    </row>
    <row r="940" spans="3:10" x14ac:dyDescent="0.25">
      <c r="C940" s="2"/>
      <c r="D940" s="134"/>
      <c r="E940" s="3"/>
      <c r="F940" s="2"/>
      <c r="G940" s="67"/>
      <c r="H940" s="67"/>
      <c r="I940" s="67"/>
      <c r="J940" s="2"/>
    </row>
    <row r="941" spans="3:10" x14ac:dyDescent="0.25">
      <c r="C941" s="2"/>
      <c r="D941" s="134"/>
      <c r="E941" s="3"/>
      <c r="F941" s="2"/>
      <c r="G941" s="67"/>
      <c r="H941" s="67"/>
      <c r="I941" s="67"/>
      <c r="J941" s="2"/>
    </row>
    <row r="942" spans="3:10" x14ac:dyDescent="0.25">
      <c r="C942" s="2"/>
      <c r="D942" s="134"/>
      <c r="E942" s="3"/>
      <c r="F942" s="2"/>
      <c r="G942" s="67"/>
      <c r="H942" s="67"/>
      <c r="I942" s="67"/>
      <c r="J942" s="2"/>
    </row>
    <row r="943" spans="3:10" x14ac:dyDescent="0.25">
      <c r="C943" s="2"/>
      <c r="D943" s="134"/>
      <c r="E943" s="2"/>
      <c r="F943" s="2"/>
      <c r="G943" s="67"/>
      <c r="H943" s="67"/>
      <c r="I943" s="67"/>
      <c r="J943" s="2"/>
    </row>
    <row r="944" spans="3:10" x14ac:dyDescent="0.25">
      <c r="C944" s="2"/>
      <c r="D944" s="134"/>
      <c r="E944" s="2"/>
      <c r="F944" s="2"/>
      <c r="G944" s="67"/>
      <c r="H944" s="67"/>
      <c r="I944" s="67"/>
      <c r="J944" s="2"/>
    </row>
    <row r="945" spans="3:10" x14ac:dyDescent="0.25">
      <c r="C945" s="2"/>
      <c r="D945" s="134"/>
      <c r="E945" s="3"/>
      <c r="F945" s="2"/>
      <c r="G945" s="67"/>
      <c r="H945" s="67"/>
      <c r="I945" s="67"/>
      <c r="J945" s="2"/>
    </row>
    <row r="946" spans="3:10" x14ac:dyDescent="0.25">
      <c r="C946" s="2"/>
      <c r="D946" s="134"/>
      <c r="E946" s="3"/>
      <c r="F946" s="2"/>
      <c r="G946" s="67"/>
      <c r="H946" s="67"/>
      <c r="I946" s="67"/>
      <c r="J946" s="2"/>
    </row>
    <row r="947" spans="3:10" x14ac:dyDescent="0.25">
      <c r="C947" s="2"/>
      <c r="D947" s="134"/>
      <c r="E947" s="3"/>
      <c r="F947" s="2"/>
      <c r="G947" s="67"/>
      <c r="H947" s="67"/>
      <c r="I947" s="67"/>
      <c r="J947" s="2"/>
    </row>
    <row r="948" spans="3:10" x14ac:dyDescent="0.25">
      <c r="C948" s="2"/>
      <c r="D948" s="134"/>
      <c r="E948" s="3"/>
      <c r="F948" s="2"/>
      <c r="G948" s="67"/>
      <c r="H948" s="67"/>
      <c r="I948" s="67"/>
      <c r="J948" s="2"/>
    </row>
    <row r="949" spans="3:10" x14ac:dyDescent="0.25">
      <c r="C949" s="2"/>
      <c r="D949" s="134"/>
      <c r="E949" s="3"/>
      <c r="F949" s="2"/>
      <c r="G949" s="67"/>
      <c r="H949" s="67"/>
      <c r="I949" s="67"/>
      <c r="J949" s="2"/>
    </row>
    <row r="950" spans="3:10" x14ac:dyDescent="0.25">
      <c r="C950" s="2"/>
      <c r="D950" s="134"/>
      <c r="E950" s="3"/>
      <c r="F950" s="2"/>
      <c r="G950" s="67"/>
      <c r="H950" s="67"/>
      <c r="I950" s="67"/>
      <c r="J950" s="2"/>
    </row>
    <row r="951" spans="3:10" x14ac:dyDescent="0.25">
      <c r="C951" s="2"/>
      <c r="D951" s="134"/>
      <c r="E951" s="3"/>
      <c r="F951" s="2"/>
      <c r="G951" s="67"/>
      <c r="H951" s="67"/>
      <c r="I951" s="67"/>
      <c r="J951" s="2"/>
    </row>
    <row r="952" spans="3:10" x14ac:dyDescent="0.25">
      <c r="C952" s="2"/>
      <c r="D952" s="134"/>
      <c r="E952" s="3"/>
      <c r="F952" s="2"/>
      <c r="G952" s="67"/>
      <c r="H952" s="67"/>
      <c r="I952" s="67"/>
      <c r="J952" s="2"/>
    </row>
    <row r="953" spans="3:10" x14ac:dyDescent="0.25">
      <c r="C953" s="2"/>
      <c r="D953" s="134"/>
      <c r="E953" s="3"/>
      <c r="F953" s="2"/>
      <c r="G953" s="67"/>
      <c r="H953" s="67"/>
      <c r="I953" s="67"/>
      <c r="J953" s="2"/>
    </row>
    <row r="954" spans="3:10" x14ac:dyDescent="0.25">
      <c r="C954" s="2"/>
      <c r="D954" s="134"/>
      <c r="E954" s="3"/>
      <c r="F954" s="2"/>
      <c r="G954" s="67"/>
      <c r="H954" s="67"/>
      <c r="I954" s="67"/>
      <c r="J954" s="2"/>
    </row>
    <row r="955" spans="3:10" x14ac:dyDescent="0.25">
      <c r="C955" s="2"/>
      <c r="D955" s="134"/>
      <c r="E955" s="3"/>
      <c r="F955" s="2"/>
      <c r="G955" s="67"/>
      <c r="H955" s="67"/>
      <c r="I955" s="67"/>
      <c r="J955" s="2"/>
    </row>
    <row r="956" spans="3:10" x14ac:dyDescent="0.25">
      <c r="C956" s="2"/>
      <c r="D956" s="134"/>
      <c r="E956" s="3"/>
      <c r="F956" s="2"/>
      <c r="G956" s="67"/>
      <c r="H956" s="67"/>
      <c r="I956" s="67"/>
      <c r="J956" s="2"/>
    </row>
    <row r="957" spans="3:10" x14ac:dyDescent="0.25">
      <c r="C957" s="2"/>
      <c r="D957" s="134"/>
      <c r="E957" s="3"/>
      <c r="F957" s="2"/>
      <c r="G957" s="67"/>
      <c r="H957" s="67"/>
      <c r="I957" s="67"/>
      <c r="J957" s="2"/>
    </row>
    <row r="958" spans="3:10" x14ac:dyDescent="0.25">
      <c r="C958" s="2"/>
      <c r="D958" s="134"/>
      <c r="E958" s="3"/>
      <c r="F958" s="2"/>
      <c r="G958" s="67"/>
      <c r="H958" s="67"/>
      <c r="I958" s="67"/>
      <c r="J958" s="2"/>
    </row>
    <row r="959" spans="3:10" x14ac:dyDescent="0.25">
      <c r="C959" s="2"/>
      <c r="D959" s="134"/>
      <c r="E959" s="3"/>
      <c r="F959" s="2"/>
      <c r="G959" s="67"/>
      <c r="H959" s="67"/>
      <c r="I959" s="67"/>
      <c r="J959" s="2"/>
    </row>
    <row r="960" spans="3:10" x14ac:dyDescent="0.25">
      <c r="C960" s="2"/>
      <c r="D960" s="134"/>
      <c r="E960" s="3"/>
      <c r="F960" s="2"/>
      <c r="G960" s="67"/>
      <c r="H960" s="67"/>
      <c r="I960" s="67"/>
      <c r="J960" s="2"/>
    </row>
    <row r="961" spans="3:10" x14ac:dyDescent="0.25">
      <c r="C961" s="2"/>
      <c r="D961" s="134"/>
      <c r="E961" s="3"/>
      <c r="F961" s="2"/>
      <c r="G961" s="67"/>
      <c r="H961" s="67"/>
      <c r="I961" s="67"/>
      <c r="J961" s="2"/>
    </row>
    <row r="962" spans="3:10" x14ac:dyDescent="0.25">
      <c r="C962" s="2"/>
      <c r="D962" s="134"/>
      <c r="E962" s="3"/>
      <c r="F962" s="2"/>
      <c r="G962" s="67"/>
      <c r="H962" s="67"/>
      <c r="I962" s="67"/>
      <c r="J962" s="2"/>
    </row>
    <row r="963" spans="3:10" x14ac:dyDescent="0.25">
      <c r="C963" s="2"/>
      <c r="D963" s="134"/>
      <c r="E963" s="3"/>
      <c r="F963" s="2"/>
      <c r="G963" s="67"/>
      <c r="H963" s="67"/>
      <c r="I963" s="67"/>
      <c r="J963" s="2"/>
    </row>
    <row r="964" spans="3:10" x14ac:dyDescent="0.25">
      <c r="C964" s="2"/>
      <c r="D964" s="134"/>
      <c r="E964" s="3"/>
      <c r="F964" s="2"/>
      <c r="G964" s="67"/>
      <c r="H964" s="67"/>
      <c r="I964" s="67"/>
      <c r="J964" s="2"/>
    </row>
    <row r="965" spans="3:10" x14ac:dyDescent="0.25">
      <c r="C965" s="2"/>
      <c r="D965" s="134"/>
      <c r="E965" s="3"/>
      <c r="F965" s="2"/>
      <c r="G965" s="67"/>
      <c r="H965" s="67"/>
      <c r="I965" s="67"/>
      <c r="J965" s="2"/>
    </row>
    <row r="966" spans="3:10" x14ac:dyDescent="0.25">
      <c r="C966" s="2"/>
      <c r="D966" s="134"/>
      <c r="E966" s="3"/>
      <c r="F966" s="2"/>
      <c r="G966" s="67"/>
      <c r="H966" s="67"/>
      <c r="I966" s="67"/>
      <c r="J966" s="2"/>
    </row>
    <row r="967" spans="3:10" x14ac:dyDescent="0.25">
      <c r="C967" s="2"/>
      <c r="D967" s="134"/>
      <c r="E967" s="3"/>
      <c r="F967" s="2"/>
      <c r="G967" s="67"/>
      <c r="H967" s="67"/>
      <c r="I967" s="67"/>
      <c r="J967" s="2"/>
    </row>
    <row r="968" spans="3:10" x14ac:dyDescent="0.25">
      <c r="C968" s="2"/>
      <c r="D968" s="134"/>
      <c r="E968" s="3"/>
      <c r="F968" s="2"/>
      <c r="G968" s="67"/>
      <c r="H968" s="67"/>
      <c r="I968" s="67"/>
      <c r="J968" s="2"/>
    </row>
    <row r="969" spans="3:10" x14ac:dyDescent="0.25">
      <c r="C969" s="2"/>
      <c r="D969" s="134"/>
      <c r="E969" s="3"/>
      <c r="F969" s="2"/>
      <c r="G969" s="67"/>
      <c r="H969" s="67"/>
      <c r="I969" s="67"/>
      <c r="J969" s="2"/>
    </row>
    <row r="970" spans="3:10" x14ac:dyDescent="0.25">
      <c r="C970" s="2"/>
      <c r="D970" s="134"/>
      <c r="E970" s="3"/>
      <c r="F970" s="2"/>
      <c r="G970" s="67"/>
      <c r="H970" s="67"/>
      <c r="I970" s="67"/>
      <c r="J970" s="2"/>
    </row>
    <row r="971" spans="3:10" x14ac:dyDescent="0.25">
      <c r="C971" s="2"/>
      <c r="D971" s="134"/>
      <c r="E971" s="3"/>
      <c r="F971" s="2"/>
      <c r="G971" s="67"/>
      <c r="H971" s="67"/>
      <c r="I971" s="67"/>
      <c r="J971" s="2"/>
    </row>
    <row r="972" spans="3:10" x14ac:dyDescent="0.25">
      <c r="C972" s="2"/>
      <c r="D972" s="134"/>
      <c r="E972" s="3"/>
      <c r="F972" s="2"/>
      <c r="G972" s="67"/>
      <c r="H972" s="67"/>
      <c r="I972" s="67"/>
      <c r="J972" s="2"/>
    </row>
    <row r="973" spans="3:10" x14ac:dyDescent="0.25">
      <c r="C973" s="2"/>
      <c r="D973" s="134"/>
      <c r="E973" s="3"/>
      <c r="F973" s="2"/>
      <c r="G973" s="67"/>
      <c r="H973" s="67"/>
      <c r="I973" s="67"/>
      <c r="J973" s="2"/>
    </row>
    <row r="974" spans="3:10" x14ac:dyDescent="0.25">
      <c r="C974" s="2"/>
      <c r="D974" s="134"/>
      <c r="E974" s="3"/>
      <c r="F974" s="2"/>
      <c r="G974" s="67"/>
      <c r="H974" s="67"/>
      <c r="I974" s="67"/>
      <c r="J974" s="2"/>
    </row>
    <row r="975" spans="3:10" x14ac:dyDescent="0.25">
      <c r="C975" s="2"/>
      <c r="D975" s="134"/>
      <c r="E975" s="3"/>
      <c r="F975" s="2"/>
      <c r="G975" s="67"/>
      <c r="H975" s="67"/>
      <c r="I975" s="67"/>
      <c r="J975" s="2"/>
    </row>
    <row r="976" spans="3:10" x14ac:dyDescent="0.25">
      <c r="C976" s="2"/>
      <c r="D976" s="134"/>
      <c r="E976" s="3"/>
      <c r="F976" s="2"/>
      <c r="G976" s="67"/>
      <c r="H976" s="67"/>
      <c r="I976" s="67"/>
      <c r="J976" s="2"/>
    </row>
    <row r="977" spans="3:10" x14ac:dyDescent="0.25">
      <c r="C977" s="2"/>
      <c r="D977" s="134"/>
      <c r="E977" s="3"/>
      <c r="F977" s="2"/>
      <c r="G977" s="67"/>
      <c r="H977" s="67"/>
      <c r="I977" s="67"/>
      <c r="J977" s="2"/>
    </row>
    <row r="978" spans="3:10" x14ac:dyDescent="0.25">
      <c r="C978" s="2"/>
      <c r="D978" s="134"/>
      <c r="E978" s="3"/>
      <c r="F978" s="2"/>
      <c r="G978" s="67"/>
      <c r="H978" s="67"/>
      <c r="I978" s="67"/>
      <c r="J978" s="2"/>
    </row>
    <row r="979" spans="3:10" x14ac:dyDescent="0.25">
      <c r="C979" s="2"/>
      <c r="D979" s="134"/>
      <c r="E979" s="3"/>
      <c r="F979" s="2"/>
      <c r="G979" s="67"/>
      <c r="H979" s="67"/>
      <c r="I979" s="67"/>
      <c r="J979" s="2"/>
    </row>
    <row r="980" spans="3:10" x14ac:dyDescent="0.25">
      <c r="C980" s="2"/>
      <c r="D980" s="134"/>
      <c r="E980" s="3"/>
      <c r="F980" s="2"/>
      <c r="G980" s="67"/>
      <c r="H980" s="67"/>
      <c r="I980" s="67"/>
      <c r="J980" s="2"/>
    </row>
    <row r="981" spans="3:10" x14ac:dyDescent="0.25">
      <c r="C981" s="2"/>
      <c r="D981" s="134"/>
      <c r="E981" s="3"/>
      <c r="F981" s="2"/>
      <c r="G981" s="67"/>
      <c r="H981" s="67"/>
      <c r="I981" s="67"/>
      <c r="J981" s="2"/>
    </row>
    <row r="982" spans="3:10" x14ac:dyDescent="0.25">
      <c r="C982" s="2"/>
      <c r="D982" s="134"/>
      <c r="E982" s="3"/>
      <c r="F982" s="2"/>
      <c r="G982" s="67"/>
      <c r="H982" s="67"/>
      <c r="I982" s="67"/>
      <c r="J982" s="2"/>
    </row>
    <row r="983" spans="3:10" x14ac:dyDescent="0.25">
      <c r="C983" s="2"/>
      <c r="D983" s="134"/>
      <c r="E983" s="3"/>
      <c r="F983" s="2"/>
      <c r="G983" s="67"/>
      <c r="H983" s="67"/>
      <c r="I983" s="67"/>
      <c r="J983" s="2"/>
    </row>
    <row r="984" spans="3:10" x14ac:dyDescent="0.25">
      <c r="C984" s="2"/>
      <c r="D984" s="134"/>
      <c r="E984" s="3"/>
      <c r="F984" s="2"/>
      <c r="G984" s="67"/>
      <c r="H984" s="67"/>
      <c r="I984" s="67"/>
      <c r="J984" s="2"/>
    </row>
    <row r="985" spans="3:10" x14ac:dyDescent="0.25">
      <c r="C985" s="2"/>
      <c r="D985" s="134"/>
      <c r="E985" s="3"/>
      <c r="F985" s="2"/>
      <c r="G985" s="67"/>
      <c r="H985" s="67"/>
      <c r="I985" s="67"/>
      <c r="J985" s="2"/>
    </row>
    <row r="986" spans="3:10" x14ac:dyDescent="0.25">
      <c r="C986" s="2"/>
      <c r="D986" s="134"/>
      <c r="E986" s="3"/>
      <c r="F986" s="2"/>
      <c r="G986" s="67"/>
      <c r="H986" s="67"/>
      <c r="I986" s="67"/>
      <c r="J986" s="2"/>
    </row>
    <row r="987" spans="3:10" x14ac:dyDescent="0.25">
      <c r="C987" s="2"/>
      <c r="D987" s="134"/>
      <c r="E987" s="3"/>
      <c r="F987" s="2"/>
      <c r="G987" s="67"/>
      <c r="H987" s="67"/>
      <c r="I987" s="67"/>
      <c r="J987" s="2"/>
    </row>
    <row r="988" spans="3:10" x14ac:dyDescent="0.25">
      <c r="C988" s="2"/>
      <c r="D988" s="134"/>
      <c r="E988" s="3"/>
      <c r="F988" s="2"/>
      <c r="G988" s="67"/>
      <c r="H988" s="67"/>
      <c r="I988" s="67"/>
      <c r="J988" s="2"/>
    </row>
    <row r="989" spans="3:10" x14ac:dyDescent="0.25">
      <c r="C989" s="2"/>
      <c r="D989" s="134"/>
      <c r="E989" s="3"/>
      <c r="F989" s="2"/>
      <c r="G989" s="67"/>
      <c r="H989" s="67"/>
      <c r="I989" s="67"/>
      <c r="J989" s="2"/>
    </row>
    <row r="990" spans="3:10" x14ac:dyDescent="0.25">
      <c r="C990" s="2"/>
      <c r="D990" s="134"/>
      <c r="E990" s="3"/>
      <c r="F990" s="2"/>
      <c r="G990" s="67"/>
      <c r="H990" s="67"/>
      <c r="I990" s="67"/>
      <c r="J990" s="2"/>
    </row>
    <row r="991" spans="3:10" x14ac:dyDescent="0.25">
      <c r="C991" s="2"/>
      <c r="D991" s="134"/>
      <c r="E991" s="3"/>
      <c r="F991" s="2"/>
      <c r="G991" s="67"/>
      <c r="H991" s="67"/>
      <c r="I991" s="67"/>
      <c r="J991" s="2"/>
    </row>
    <row r="992" spans="3:10" x14ac:dyDescent="0.25">
      <c r="C992" s="2"/>
      <c r="D992" s="134"/>
      <c r="E992" s="3"/>
      <c r="F992" s="2"/>
      <c r="G992" s="67"/>
      <c r="H992" s="67"/>
      <c r="I992" s="67"/>
      <c r="J992" s="2"/>
    </row>
    <row r="993" spans="3:10" x14ac:dyDescent="0.25">
      <c r="C993" s="2"/>
      <c r="D993" s="134"/>
      <c r="E993" s="3"/>
      <c r="F993" s="2"/>
      <c r="G993" s="67"/>
      <c r="H993" s="67"/>
      <c r="I993" s="67"/>
      <c r="J993" s="2"/>
    </row>
    <row r="994" spans="3:10" x14ac:dyDescent="0.25">
      <c r="C994" s="2"/>
      <c r="D994" s="134"/>
      <c r="E994" s="3"/>
      <c r="F994" s="2"/>
      <c r="G994" s="67"/>
      <c r="H994" s="67"/>
      <c r="I994" s="67"/>
      <c r="J994" s="2"/>
    </row>
    <row r="995" spans="3:10" x14ac:dyDescent="0.25">
      <c r="C995" s="2"/>
      <c r="D995" s="134"/>
      <c r="E995" s="3"/>
      <c r="F995" s="2"/>
      <c r="G995" s="67"/>
      <c r="H995" s="67"/>
      <c r="I995" s="67"/>
      <c r="J995" s="2"/>
    </row>
    <row r="996" spans="3:10" x14ac:dyDescent="0.25">
      <c r="C996" s="2"/>
      <c r="D996" s="134"/>
      <c r="E996" s="3"/>
      <c r="F996" s="2"/>
      <c r="G996" s="67"/>
      <c r="H996" s="67"/>
      <c r="I996" s="67"/>
      <c r="J996" s="2"/>
    </row>
    <row r="997" spans="3:10" x14ac:dyDescent="0.25">
      <c r="C997" s="2"/>
      <c r="D997" s="134"/>
      <c r="E997" s="3"/>
      <c r="F997" s="2"/>
      <c r="G997" s="67"/>
      <c r="H997" s="67"/>
      <c r="I997" s="67"/>
      <c r="J997" s="2"/>
    </row>
    <row r="998" spans="3:10" x14ac:dyDescent="0.25">
      <c r="C998" s="2"/>
      <c r="D998" s="134"/>
      <c r="E998" s="3"/>
      <c r="F998" s="2"/>
      <c r="G998" s="67"/>
      <c r="H998" s="67"/>
      <c r="I998" s="67"/>
      <c r="J998" s="2"/>
    </row>
    <row r="999" spans="3:10" x14ac:dyDescent="0.25">
      <c r="C999" s="2"/>
      <c r="D999" s="134"/>
      <c r="E999" s="3"/>
      <c r="F999" s="2"/>
      <c r="G999" s="67"/>
      <c r="H999" s="67"/>
      <c r="I999" s="67"/>
      <c r="J999" s="2"/>
    </row>
    <row r="1000" spans="3:10" x14ac:dyDescent="0.25">
      <c r="C1000" s="2"/>
      <c r="D1000" s="134"/>
      <c r="E1000" s="3"/>
      <c r="F1000" s="2"/>
      <c r="G1000" s="67"/>
      <c r="H1000" s="67"/>
      <c r="I1000" s="67"/>
      <c r="J1000" s="2"/>
    </row>
    <row r="1001" spans="3:10" x14ac:dyDescent="0.25">
      <c r="C1001" s="2"/>
      <c r="D1001" s="134"/>
      <c r="E1001" s="3"/>
      <c r="F1001" s="2"/>
      <c r="G1001" s="67"/>
      <c r="H1001" s="67"/>
      <c r="I1001" s="67"/>
      <c r="J1001" s="2"/>
    </row>
    <row r="1002" spans="3:10" x14ac:dyDescent="0.25">
      <c r="C1002" s="2"/>
      <c r="D1002" s="134"/>
      <c r="E1002" s="3"/>
      <c r="F1002" s="2"/>
      <c r="G1002" s="67"/>
      <c r="H1002" s="67"/>
      <c r="I1002" s="67"/>
      <c r="J1002" s="2"/>
    </row>
    <row r="1003" spans="3:10" x14ac:dyDescent="0.25">
      <c r="C1003" s="2"/>
      <c r="D1003" s="134"/>
      <c r="E1003" s="3"/>
      <c r="F1003" s="2"/>
      <c r="G1003" s="67"/>
      <c r="H1003" s="67"/>
      <c r="I1003" s="67"/>
      <c r="J1003" s="2"/>
    </row>
    <row r="1004" spans="3:10" x14ac:dyDescent="0.25">
      <c r="C1004" s="2"/>
      <c r="D1004" s="134"/>
      <c r="E1004" s="3"/>
      <c r="F1004" s="2"/>
      <c r="G1004" s="67"/>
      <c r="H1004" s="67"/>
      <c r="I1004" s="67"/>
      <c r="J1004" s="2"/>
    </row>
    <row r="1005" spans="3:10" x14ac:dyDescent="0.25">
      <c r="C1005" s="2"/>
      <c r="D1005" s="134"/>
      <c r="E1005" s="3"/>
      <c r="F1005" s="2"/>
      <c r="G1005" s="67"/>
      <c r="H1005" s="67"/>
      <c r="I1005" s="67"/>
      <c r="J1005" s="2"/>
    </row>
    <row r="1006" spans="3:10" x14ac:dyDescent="0.25">
      <c r="C1006" s="2"/>
      <c r="D1006" s="134"/>
      <c r="E1006" s="3"/>
      <c r="F1006" s="2"/>
      <c r="G1006" s="67"/>
      <c r="H1006" s="67"/>
      <c r="I1006" s="67"/>
      <c r="J1006" s="2"/>
    </row>
    <row r="1007" spans="3:10" x14ac:dyDescent="0.25">
      <c r="C1007" s="2"/>
      <c r="D1007" s="134"/>
      <c r="E1007" s="3"/>
      <c r="F1007" s="2"/>
      <c r="G1007" s="67"/>
      <c r="H1007" s="67"/>
      <c r="I1007" s="67"/>
      <c r="J1007" s="2"/>
    </row>
    <row r="1008" spans="3:10" x14ac:dyDescent="0.25">
      <c r="C1008" s="2"/>
      <c r="D1008" s="134"/>
      <c r="E1008" s="3"/>
      <c r="F1008" s="2"/>
      <c r="G1008" s="67"/>
      <c r="H1008" s="67"/>
      <c r="I1008" s="67"/>
      <c r="J1008" s="2"/>
    </row>
    <row r="1009" spans="3:10" x14ac:dyDescent="0.25">
      <c r="C1009" s="2"/>
      <c r="D1009" s="134"/>
      <c r="E1009" s="3"/>
      <c r="F1009" s="2"/>
      <c r="G1009" s="67"/>
      <c r="H1009" s="67"/>
      <c r="I1009" s="67"/>
      <c r="J1009" s="2"/>
    </row>
    <row r="1010" spans="3:10" x14ac:dyDescent="0.25">
      <c r="C1010" s="2"/>
      <c r="D1010" s="134"/>
      <c r="E1010" s="3"/>
      <c r="F1010" s="2"/>
      <c r="G1010" s="67"/>
      <c r="H1010" s="67"/>
      <c r="I1010" s="67"/>
      <c r="J1010" s="2"/>
    </row>
    <row r="1011" spans="3:10" x14ac:dyDescent="0.25">
      <c r="C1011" s="2"/>
      <c r="D1011" s="134"/>
      <c r="E1011" s="3"/>
      <c r="F1011" s="2"/>
      <c r="G1011" s="67"/>
      <c r="H1011" s="67"/>
      <c r="I1011" s="67"/>
      <c r="J1011" s="2"/>
    </row>
    <row r="1012" spans="3:10" x14ac:dyDescent="0.25">
      <c r="C1012" s="2"/>
      <c r="D1012" s="134"/>
      <c r="E1012" s="3"/>
      <c r="F1012" s="2"/>
      <c r="G1012" s="67"/>
      <c r="H1012" s="67"/>
      <c r="I1012" s="67"/>
      <c r="J1012" s="2"/>
    </row>
    <row r="1013" spans="3:10" x14ac:dyDescent="0.25">
      <c r="C1013" s="2"/>
      <c r="D1013" s="134"/>
      <c r="E1013" s="3"/>
      <c r="F1013" s="2"/>
      <c r="G1013" s="67"/>
      <c r="H1013" s="67"/>
      <c r="I1013" s="67"/>
      <c r="J1013" s="2"/>
    </row>
    <row r="1014" spans="3:10" x14ac:dyDescent="0.25">
      <c r="C1014" s="2"/>
      <c r="D1014" s="134"/>
      <c r="E1014" s="3"/>
      <c r="F1014" s="2"/>
      <c r="G1014" s="67"/>
      <c r="H1014" s="67"/>
      <c r="I1014" s="67"/>
      <c r="J1014" s="2"/>
    </row>
    <row r="1015" spans="3:10" x14ac:dyDescent="0.25">
      <c r="C1015" s="2"/>
      <c r="D1015" s="134"/>
      <c r="E1015" s="3"/>
      <c r="F1015" s="2"/>
      <c r="G1015" s="67"/>
      <c r="H1015" s="67"/>
      <c r="I1015" s="67"/>
      <c r="J1015" s="2"/>
    </row>
    <row r="1016" spans="3:10" x14ac:dyDescent="0.25">
      <c r="C1016" s="2"/>
      <c r="D1016" s="134"/>
      <c r="E1016" s="3"/>
      <c r="F1016" s="2"/>
      <c r="G1016" s="67"/>
      <c r="H1016" s="67"/>
      <c r="I1016" s="67"/>
      <c r="J1016" s="2"/>
    </row>
    <row r="1017" spans="3:10" x14ac:dyDescent="0.25">
      <c r="C1017" s="2"/>
      <c r="D1017" s="134"/>
      <c r="E1017" s="3"/>
      <c r="F1017" s="2"/>
      <c r="G1017" s="67"/>
      <c r="H1017" s="67"/>
      <c r="I1017" s="67"/>
      <c r="J1017" s="2"/>
    </row>
    <row r="1018" spans="3:10" x14ac:dyDescent="0.25">
      <c r="C1018" s="2"/>
      <c r="D1018" s="134"/>
      <c r="E1018" s="3"/>
      <c r="F1018" s="2"/>
      <c r="G1018" s="67"/>
      <c r="H1018" s="67"/>
      <c r="I1018" s="67"/>
      <c r="J1018" s="2"/>
    </row>
    <row r="1019" spans="3:10" x14ac:dyDescent="0.25">
      <c r="C1019" s="2"/>
      <c r="D1019" s="134"/>
      <c r="E1019" s="3"/>
      <c r="F1019" s="2"/>
      <c r="G1019" s="67"/>
      <c r="H1019" s="67"/>
      <c r="I1019" s="67"/>
      <c r="J1019" s="2"/>
    </row>
    <row r="1020" spans="3:10" x14ac:dyDescent="0.25">
      <c r="C1020" s="2"/>
      <c r="D1020" s="134"/>
      <c r="E1020" s="3"/>
      <c r="F1020" s="2"/>
      <c r="G1020" s="67"/>
      <c r="H1020" s="67"/>
      <c r="I1020" s="67"/>
      <c r="J1020" s="2"/>
    </row>
    <row r="1021" spans="3:10" x14ac:dyDescent="0.25">
      <c r="C1021" s="2"/>
      <c r="D1021" s="134"/>
      <c r="E1021" s="3"/>
      <c r="F1021" s="2"/>
      <c r="G1021" s="67"/>
      <c r="H1021" s="67"/>
      <c r="I1021" s="67"/>
      <c r="J1021" s="2"/>
    </row>
    <row r="1022" spans="3:10" x14ac:dyDescent="0.25">
      <c r="C1022" s="2"/>
      <c r="D1022" s="134"/>
      <c r="E1022" s="3"/>
      <c r="F1022" s="2"/>
      <c r="G1022" s="67"/>
      <c r="H1022" s="67"/>
      <c r="I1022" s="67"/>
      <c r="J1022" s="2"/>
    </row>
    <row r="1023" spans="3:10" x14ac:dyDescent="0.25">
      <c r="C1023" s="2"/>
      <c r="D1023" s="134"/>
      <c r="E1023" s="3"/>
      <c r="F1023" s="2"/>
      <c r="G1023" s="67"/>
      <c r="H1023" s="67"/>
      <c r="I1023" s="67"/>
      <c r="J1023" s="2"/>
    </row>
    <row r="1024" spans="3:10" x14ac:dyDescent="0.25">
      <c r="C1024" s="2"/>
      <c r="D1024" s="134"/>
      <c r="E1024" s="3"/>
      <c r="F1024" s="2"/>
      <c r="G1024" s="67"/>
      <c r="H1024" s="67"/>
      <c r="I1024" s="67"/>
      <c r="J1024" s="2"/>
    </row>
    <row r="1025" spans="3:10" x14ac:dyDescent="0.25">
      <c r="C1025" s="2"/>
      <c r="D1025" s="134"/>
      <c r="E1025" s="3"/>
      <c r="F1025" s="2"/>
      <c r="G1025" s="67"/>
      <c r="H1025" s="67"/>
      <c r="I1025" s="67"/>
      <c r="J1025" s="2"/>
    </row>
    <row r="1026" spans="3:10" x14ac:dyDescent="0.25">
      <c r="C1026" s="2"/>
      <c r="D1026" s="134"/>
      <c r="E1026" s="3"/>
      <c r="F1026" s="2"/>
      <c r="G1026" s="67"/>
      <c r="H1026" s="67"/>
      <c r="I1026" s="67"/>
      <c r="J1026" s="2"/>
    </row>
    <row r="1027" spans="3:10" x14ac:dyDescent="0.25">
      <c r="C1027" s="2"/>
      <c r="D1027" s="134"/>
      <c r="E1027" s="3"/>
      <c r="F1027" s="2"/>
      <c r="G1027" s="67"/>
      <c r="H1027" s="67"/>
      <c r="I1027" s="67"/>
      <c r="J1027" s="2"/>
    </row>
    <row r="1028" spans="3:10" x14ac:dyDescent="0.25">
      <c r="C1028" s="2"/>
      <c r="D1028" s="134"/>
      <c r="E1028" s="3"/>
      <c r="F1028" s="2"/>
      <c r="G1028" s="67"/>
      <c r="H1028" s="67"/>
      <c r="I1028" s="67"/>
      <c r="J1028" s="2"/>
    </row>
    <row r="1029" spans="3:10" x14ac:dyDescent="0.25">
      <c r="C1029" s="2"/>
      <c r="D1029" s="134"/>
      <c r="E1029" s="3"/>
      <c r="F1029" s="2"/>
      <c r="G1029" s="67"/>
      <c r="H1029" s="67"/>
      <c r="I1029" s="67"/>
      <c r="J1029" s="2"/>
    </row>
    <row r="1030" spans="3:10" x14ac:dyDescent="0.25">
      <c r="C1030" s="2"/>
      <c r="D1030" s="134"/>
      <c r="E1030" s="3"/>
      <c r="F1030" s="2"/>
      <c r="G1030" s="67"/>
      <c r="H1030" s="67"/>
      <c r="I1030" s="67"/>
      <c r="J1030" s="2"/>
    </row>
    <row r="1031" spans="3:10" x14ac:dyDescent="0.25">
      <c r="C1031" s="2"/>
      <c r="D1031" s="134"/>
      <c r="E1031" s="3"/>
      <c r="F1031" s="2"/>
      <c r="G1031" s="67"/>
      <c r="H1031" s="67"/>
      <c r="I1031" s="67"/>
      <c r="J1031" s="2"/>
    </row>
    <row r="1032" spans="3:10" x14ac:dyDescent="0.25">
      <c r="C1032" s="2"/>
      <c r="D1032" s="134"/>
      <c r="E1032" s="3"/>
      <c r="F1032" s="2"/>
      <c r="G1032" s="67"/>
      <c r="H1032" s="67"/>
      <c r="I1032" s="67"/>
      <c r="J1032" s="2"/>
    </row>
    <row r="1033" spans="3:10" x14ac:dyDescent="0.25">
      <c r="C1033" s="2"/>
      <c r="D1033" s="134"/>
      <c r="E1033" s="3"/>
      <c r="F1033" s="2"/>
      <c r="G1033" s="67"/>
      <c r="H1033" s="67"/>
      <c r="I1033" s="67"/>
      <c r="J1033" s="2"/>
    </row>
    <row r="1034" spans="3:10" x14ac:dyDescent="0.25">
      <c r="C1034" s="2"/>
      <c r="D1034" s="134"/>
      <c r="E1034" s="3"/>
      <c r="F1034" s="2"/>
      <c r="G1034" s="67"/>
      <c r="H1034" s="67"/>
      <c r="I1034" s="67"/>
      <c r="J1034" s="2"/>
    </row>
    <row r="1035" spans="3:10" x14ac:dyDescent="0.25">
      <c r="C1035" s="2"/>
      <c r="D1035" s="134"/>
      <c r="E1035" s="3"/>
      <c r="F1035" s="2"/>
      <c r="G1035" s="67"/>
      <c r="H1035" s="67"/>
      <c r="I1035" s="67"/>
      <c r="J1035" s="2"/>
    </row>
    <row r="1036" spans="3:10" x14ac:dyDescent="0.25">
      <c r="C1036" s="2"/>
      <c r="D1036" s="134"/>
      <c r="E1036" s="3"/>
      <c r="F1036" s="2"/>
      <c r="G1036" s="67"/>
      <c r="H1036" s="67"/>
      <c r="I1036" s="67"/>
      <c r="J1036" s="2"/>
    </row>
    <row r="1037" spans="3:10" x14ac:dyDescent="0.25">
      <c r="C1037" s="2"/>
      <c r="D1037" s="134"/>
      <c r="E1037" s="3"/>
      <c r="F1037" s="2"/>
      <c r="G1037" s="67"/>
      <c r="H1037" s="67"/>
      <c r="I1037" s="67"/>
      <c r="J1037" s="2"/>
    </row>
    <row r="1038" spans="3:10" x14ac:dyDescent="0.25">
      <c r="C1038" s="2"/>
      <c r="D1038" s="134"/>
      <c r="E1038" s="3"/>
      <c r="F1038" s="2"/>
      <c r="G1038" s="67"/>
      <c r="H1038" s="67"/>
      <c r="I1038" s="67"/>
      <c r="J1038" s="2"/>
    </row>
    <row r="1039" spans="3:10" x14ac:dyDescent="0.25">
      <c r="C1039" s="2"/>
      <c r="D1039" s="134"/>
      <c r="E1039" s="3"/>
      <c r="F1039" s="2"/>
      <c r="G1039" s="67"/>
      <c r="H1039" s="67"/>
      <c r="I1039" s="67"/>
      <c r="J1039" s="2"/>
    </row>
    <row r="1040" spans="3:10" x14ac:dyDescent="0.25">
      <c r="C1040" s="2"/>
      <c r="D1040" s="134"/>
      <c r="E1040" s="3"/>
      <c r="F1040" s="2"/>
      <c r="G1040" s="67"/>
      <c r="H1040" s="67"/>
      <c r="I1040" s="67"/>
      <c r="J1040" s="2"/>
    </row>
    <row r="1041" spans="3:10" x14ac:dyDescent="0.25">
      <c r="C1041" s="2"/>
      <c r="D1041" s="134"/>
      <c r="E1041" s="3"/>
      <c r="F1041" s="2"/>
      <c r="G1041" s="67"/>
      <c r="H1041" s="67"/>
      <c r="I1041" s="67"/>
      <c r="J1041" s="2"/>
    </row>
    <row r="1042" spans="3:10" x14ac:dyDescent="0.25">
      <c r="C1042" s="2"/>
      <c r="D1042" s="134"/>
      <c r="E1042" s="3"/>
      <c r="F1042" s="2"/>
      <c r="G1042" s="67"/>
      <c r="H1042" s="67"/>
      <c r="I1042" s="67"/>
      <c r="J1042" s="2"/>
    </row>
    <row r="1043" spans="3:10" x14ac:dyDescent="0.25">
      <c r="C1043" s="2"/>
      <c r="D1043" s="134"/>
      <c r="E1043" s="3"/>
      <c r="F1043" s="2"/>
      <c r="G1043" s="67"/>
      <c r="H1043" s="67"/>
      <c r="I1043" s="67"/>
      <c r="J1043" s="2"/>
    </row>
    <row r="1044" spans="3:10" x14ac:dyDescent="0.25">
      <c r="C1044" s="2"/>
      <c r="D1044" s="134"/>
      <c r="E1044" s="3"/>
      <c r="F1044" s="2"/>
      <c r="G1044" s="67"/>
      <c r="H1044" s="67"/>
      <c r="I1044" s="67"/>
      <c r="J1044" s="2"/>
    </row>
    <row r="1045" spans="3:10" x14ac:dyDescent="0.25">
      <c r="C1045" s="2"/>
      <c r="D1045" s="134"/>
      <c r="E1045" s="3"/>
      <c r="F1045" s="2"/>
      <c r="G1045" s="67"/>
      <c r="H1045" s="67"/>
      <c r="I1045" s="67"/>
      <c r="J1045" s="2"/>
    </row>
    <row r="1046" spans="3:10" x14ac:dyDescent="0.25">
      <c r="C1046" s="2"/>
      <c r="D1046" s="134"/>
      <c r="E1046" s="3"/>
      <c r="F1046" s="2"/>
      <c r="G1046" s="67"/>
      <c r="H1046" s="67"/>
      <c r="I1046" s="67"/>
      <c r="J1046" s="2"/>
    </row>
    <row r="1047" spans="3:10" x14ac:dyDescent="0.25">
      <c r="C1047" s="2"/>
      <c r="D1047" s="134"/>
      <c r="E1047" s="3"/>
      <c r="F1047" s="2"/>
      <c r="G1047" s="67"/>
      <c r="H1047" s="67"/>
      <c r="I1047" s="67"/>
      <c r="J1047" s="2"/>
    </row>
    <row r="1048" spans="3:10" x14ac:dyDescent="0.25">
      <c r="C1048" s="2"/>
      <c r="D1048" s="134"/>
      <c r="E1048" s="3"/>
      <c r="F1048" s="2"/>
      <c r="G1048" s="67"/>
      <c r="H1048" s="67"/>
      <c r="I1048" s="67"/>
      <c r="J1048" s="2"/>
    </row>
    <row r="1049" spans="3:10" x14ac:dyDescent="0.25">
      <c r="C1049" s="2"/>
      <c r="D1049" s="134"/>
      <c r="E1049" s="3"/>
      <c r="F1049" s="2"/>
      <c r="G1049" s="67"/>
      <c r="H1049" s="67"/>
      <c r="I1049" s="67"/>
      <c r="J1049" s="2"/>
    </row>
    <row r="1050" spans="3:10" x14ac:dyDescent="0.25">
      <c r="C1050" s="2"/>
      <c r="D1050" s="134"/>
      <c r="E1050" s="3"/>
      <c r="F1050" s="2"/>
      <c r="G1050" s="67"/>
      <c r="H1050" s="67"/>
      <c r="I1050" s="67"/>
      <c r="J1050" s="2"/>
    </row>
    <row r="1051" spans="3:10" x14ac:dyDescent="0.25">
      <c r="C1051" s="2"/>
      <c r="D1051" s="134"/>
      <c r="E1051" s="3"/>
      <c r="F1051" s="2"/>
      <c r="G1051" s="67"/>
      <c r="H1051" s="67"/>
      <c r="I1051" s="67"/>
      <c r="J1051" s="2"/>
    </row>
    <row r="1052" spans="3:10" x14ac:dyDescent="0.25">
      <c r="C1052" s="2"/>
      <c r="D1052" s="134"/>
      <c r="E1052" s="3"/>
      <c r="F1052" s="2"/>
      <c r="G1052" s="67"/>
      <c r="H1052" s="67"/>
      <c r="I1052" s="67"/>
      <c r="J1052" s="2"/>
    </row>
    <row r="1053" spans="3:10" x14ac:dyDescent="0.25">
      <c r="C1053" s="2"/>
      <c r="D1053" s="134"/>
      <c r="E1053" s="3"/>
      <c r="F1053" s="2"/>
      <c r="G1053" s="67"/>
      <c r="H1053" s="67"/>
      <c r="I1053" s="67"/>
      <c r="J1053" s="2"/>
    </row>
    <row r="1054" spans="3:10" x14ac:dyDescent="0.25">
      <c r="C1054" s="2"/>
      <c r="D1054" s="134"/>
      <c r="E1054" s="3"/>
      <c r="F1054" s="2"/>
      <c r="G1054" s="67"/>
      <c r="H1054" s="67"/>
      <c r="I1054" s="67"/>
      <c r="J1054" s="2"/>
    </row>
    <row r="1055" spans="3:10" x14ac:dyDescent="0.25">
      <c r="C1055" s="2"/>
      <c r="D1055" s="134"/>
      <c r="E1055" s="3"/>
      <c r="F1055" s="2"/>
      <c r="G1055" s="67"/>
      <c r="H1055" s="67"/>
      <c r="I1055" s="67"/>
      <c r="J1055" s="2"/>
    </row>
    <row r="1056" spans="3:10" x14ac:dyDescent="0.25">
      <c r="C1056" s="2"/>
      <c r="D1056" s="134"/>
      <c r="E1056" s="3"/>
      <c r="F1056" s="2"/>
      <c r="G1056" s="67"/>
      <c r="H1056" s="67"/>
      <c r="I1056" s="67"/>
      <c r="J1056" s="2"/>
    </row>
    <row r="1057" spans="3:10" x14ac:dyDescent="0.25">
      <c r="C1057" s="2"/>
      <c r="D1057" s="134"/>
      <c r="E1057" s="2"/>
      <c r="F1057" s="2"/>
      <c r="G1057" s="67"/>
      <c r="H1057" s="67"/>
      <c r="I1057" s="67"/>
      <c r="J1057" s="2"/>
    </row>
    <row r="1058" spans="3:10" x14ac:dyDescent="0.25">
      <c r="C1058" s="2"/>
      <c r="D1058" s="134"/>
      <c r="E1058" s="2"/>
      <c r="F1058" s="2"/>
      <c r="G1058" s="67"/>
      <c r="H1058" s="67"/>
      <c r="I1058" s="67"/>
      <c r="J1058" s="2"/>
    </row>
    <row r="1059" spans="3:10" x14ac:dyDescent="0.25">
      <c r="C1059" s="2"/>
      <c r="D1059" s="134"/>
      <c r="E1059" s="2"/>
      <c r="F1059" s="2"/>
      <c r="G1059" s="67"/>
      <c r="H1059" s="67"/>
      <c r="I1059" s="67"/>
      <c r="J1059" s="2"/>
    </row>
    <row r="1060" spans="3:10" x14ac:dyDescent="0.25">
      <c r="C1060" s="2"/>
      <c r="D1060" s="134"/>
      <c r="E1060" s="3"/>
      <c r="F1060" s="2"/>
      <c r="G1060" s="67"/>
      <c r="H1060" s="67"/>
      <c r="I1060" s="67"/>
      <c r="J1060" s="2"/>
    </row>
    <row r="1061" spans="3:10" x14ac:dyDescent="0.25">
      <c r="C1061" s="2"/>
      <c r="D1061" s="134"/>
      <c r="E1061" s="3"/>
      <c r="F1061" s="2"/>
      <c r="G1061" s="67"/>
      <c r="H1061" s="67"/>
      <c r="I1061" s="67"/>
      <c r="J1061" s="2"/>
    </row>
    <row r="1062" spans="3:10" x14ac:dyDescent="0.25">
      <c r="C1062" s="2"/>
      <c r="D1062" s="134"/>
      <c r="E1062" s="3"/>
      <c r="F1062" s="2"/>
      <c r="G1062" s="67"/>
      <c r="H1062" s="67"/>
      <c r="I1062" s="67"/>
      <c r="J1062" s="2"/>
    </row>
    <row r="1063" spans="3:10" x14ac:dyDescent="0.25">
      <c r="C1063" s="2"/>
      <c r="D1063" s="134"/>
      <c r="E1063" s="3"/>
      <c r="F1063" s="2"/>
      <c r="G1063" s="67"/>
      <c r="H1063" s="67"/>
      <c r="I1063" s="67"/>
      <c r="J1063" s="2"/>
    </row>
    <row r="1064" spans="3:10" x14ac:dyDescent="0.25">
      <c r="C1064" s="2"/>
      <c r="D1064" s="134"/>
      <c r="E1064" s="3"/>
      <c r="F1064" s="2"/>
      <c r="G1064" s="67"/>
      <c r="H1064" s="67"/>
      <c r="I1064" s="67"/>
      <c r="J1064" s="2"/>
    </row>
    <row r="1065" spans="3:10" x14ac:dyDescent="0.25">
      <c r="C1065" s="2"/>
      <c r="D1065" s="134"/>
      <c r="E1065" s="3"/>
      <c r="F1065" s="2"/>
      <c r="G1065" s="67"/>
      <c r="H1065" s="67"/>
      <c r="I1065" s="67"/>
      <c r="J1065" s="2"/>
    </row>
    <row r="1066" spans="3:10" x14ac:dyDescent="0.25">
      <c r="C1066" s="2"/>
      <c r="D1066" s="134"/>
      <c r="E1066" s="3"/>
      <c r="F1066" s="2"/>
      <c r="G1066" s="67"/>
      <c r="H1066" s="67"/>
      <c r="I1066" s="67"/>
      <c r="J1066" s="2"/>
    </row>
    <row r="1067" spans="3:10" x14ac:dyDescent="0.25">
      <c r="C1067" s="2"/>
      <c r="D1067" s="134"/>
      <c r="E1067" s="3"/>
      <c r="F1067" s="2"/>
      <c r="G1067" s="67"/>
      <c r="H1067" s="67"/>
      <c r="I1067" s="67"/>
      <c r="J1067" s="2"/>
    </row>
    <row r="1068" spans="3:10" x14ac:dyDescent="0.25">
      <c r="C1068" s="2"/>
      <c r="D1068" s="134"/>
      <c r="E1068" s="3"/>
      <c r="F1068" s="2"/>
      <c r="G1068" s="67"/>
      <c r="H1068" s="67"/>
      <c r="I1068" s="67"/>
      <c r="J1068" s="2"/>
    </row>
    <row r="1069" spans="3:10" x14ac:dyDescent="0.25">
      <c r="C1069" s="2"/>
      <c r="D1069" s="134"/>
      <c r="E1069" s="2"/>
      <c r="F1069" s="2"/>
      <c r="G1069" s="67"/>
      <c r="H1069" s="67"/>
      <c r="I1069" s="67"/>
      <c r="J1069" s="2"/>
    </row>
    <row r="1070" spans="3:10" x14ac:dyDescent="0.25">
      <c r="C1070" s="2"/>
      <c r="D1070" s="134"/>
      <c r="E1070" s="3"/>
      <c r="F1070" s="2"/>
      <c r="G1070" s="67"/>
      <c r="H1070" s="67"/>
      <c r="I1070" s="67"/>
      <c r="J1070" s="2"/>
    </row>
    <row r="1071" spans="3:10" x14ac:dyDescent="0.25">
      <c r="C1071" s="2"/>
      <c r="D1071" s="134"/>
      <c r="E1071" s="3"/>
      <c r="F1071" s="2"/>
      <c r="G1071" s="67"/>
      <c r="H1071" s="67"/>
      <c r="I1071" s="67"/>
      <c r="J1071" s="2"/>
    </row>
    <row r="1072" spans="3:10" x14ac:dyDescent="0.25">
      <c r="C1072" s="2"/>
      <c r="D1072" s="134"/>
      <c r="E1072" s="2"/>
      <c r="F1072" s="2"/>
      <c r="G1072" s="67"/>
      <c r="H1072" s="67"/>
      <c r="I1072" s="67"/>
      <c r="J1072" s="2"/>
    </row>
    <row r="1073" spans="3:10" x14ac:dyDescent="0.25">
      <c r="C1073" s="2"/>
      <c r="D1073" s="134"/>
      <c r="E1073" s="3"/>
      <c r="F1073" s="2"/>
      <c r="G1073" s="67"/>
      <c r="H1073" s="67"/>
      <c r="I1073" s="67"/>
      <c r="J1073" s="2"/>
    </row>
    <row r="1074" spans="3:10" x14ac:dyDescent="0.25">
      <c r="C1074" s="2"/>
      <c r="D1074" s="134"/>
      <c r="E1074" s="3"/>
      <c r="F1074" s="2"/>
      <c r="G1074" s="67"/>
      <c r="H1074" s="67"/>
      <c r="I1074" s="67"/>
      <c r="J1074" s="2"/>
    </row>
    <row r="1075" spans="3:10" x14ac:dyDescent="0.25">
      <c r="C1075" s="2"/>
      <c r="D1075" s="134"/>
      <c r="E1075" s="3"/>
      <c r="F1075" s="2"/>
      <c r="G1075" s="67"/>
      <c r="H1075" s="67"/>
      <c r="I1075" s="67"/>
      <c r="J1075" s="2"/>
    </row>
    <row r="1076" spans="3:10" x14ac:dyDescent="0.25">
      <c r="C1076" s="2"/>
      <c r="D1076" s="134"/>
      <c r="E1076" s="3"/>
      <c r="F1076" s="2"/>
      <c r="G1076" s="67"/>
      <c r="H1076" s="67"/>
      <c r="I1076" s="67"/>
      <c r="J1076" s="2"/>
    </row>
    <row r="1077" spans="3:10" x14ac:dyDescent="0.25">
      <c r="C1077" s="2"/>
      <c r="D1077" s="134"/>
      <c r="E1077" s="3"/>
      <c r="F1077" s="2"/>
      <c r="G1077" s="67"/>
      <c r="H1077" s="67"/>
      <c r="I1077" s="67"/>
      <c r="J1077" s="2"/>
    </row>
    <row r="1078" spans="3:10" x14ac:dyDescent="0.25">
      <c r="C1078" s="2"/>
      <c r="D1078" s="134"/>
      <c r="E1078" s="3"/>
      <c r="F1078" s="2"/>
      <c r="G1078" s="67"/>
      <c r="H1078" s="67"/>
      <c r="I1078" s="67"/>
      <c r="J1078" s="2"/>
    </row>
    <row r="1079" spans="3:10" x14ac:dyDescent="0.25">
      <c r="C1079" s="2"/>
      <c r="D1079" s="134"/>
      <c r="E1079" s="3"/>
      <c r="F1079" s="2"/>
      <c r="G1079" s="67"/>
      <c r="H1079" s="67"/>
      <c r="I1079" s="67"/>
      <c r="J1079" s="2"/>
    </row>
    <row r="1080" spans="3:10" x14ac:dyDescent="0.25">
      <c r="C1080" s="2"/>
      <c r="D1080" s="134"/>
      <c r="E1080" s="3"/>
      <c r="F1080" s="2"/>
      <c r="G1080" s="67"/>
      <c r="H1080" s="67"/>
      <c r="I1080" s="67"/>
      <c r="J1080" s="2"/>
    </row>
    <row r="1081" spans="3:10" x14ac:dyDescent="0.25">
      <c r="C1081" s="2"/>
      <c r="D1081" s="134"/>
      <c r="E1081" s="3"/>
      <c r="F1081" s="2"/>
      <c r="G1081" s="67"/>
      <c r="H1081" s="67"/>
      <c r="I1081" s="67"/>
      <c r="J1081" s="2"/>
    </row>
    <row r="1082" spans="3:10" x14ac:dyDescent="0.25">
      <c r="C1082" s="2"/>
      <c r="D1082" s="134"/>
      <c r="E1082" s="2"/>
      <c r="F1082" s="2"/>
      <c r="G1082" s="67"/>
      <c r="H1082" s="67"/>
      <c r="I1082" s="67"/>
      <c r="J1082" s="2"/>
    </row>
    <row r="1083" spans="3:10" x14ac:dyDescent="0.25">
      <c r="C1083" s="2"/>
      <c r="D1083" s="134"/>
      <c r="E1083" s="3"/>
      <c r="F1083" s="2"/>
      <c r="G1083" s="67"/>
      <c r="H1083" s="67"/>
      <c r="I1083" s="67"/>
      <c r="J1083" s="2"/>
    </row>
    <row r="1084" spans="3:10" x14ac:dyDescent="0.25">
      <c r="C1084" s="2"/>
      <c r="D1084" s="134"/>
      <c r="E1084" s="3"/>
      <c r="F1084" s="2"/>
      <c r="G1084" s="67"/>
      <c r="H1084" s="67"/>
      <c r="I1084" s="67"/>
      <c r="J1084" s="2"/>
    </row>
    <row r="1085" spans="3:10" x14ac:dyDescent="0.25">
      <c r="C1085" s="2"/>
      <c r="D1085" s="134"/>
      <c r="E1085" s="3"/>
      <c r="F1085" s="2"/>
      <c r="G1085" s="67"/>
      <c r="H1085" s="67"/>
      <c r="I1085" s="67"/>
      <c r="J1085" s="2"/>
    </row>
    <row r="1086" spans="3:10" x14ac:dyDescent="0.25">
      <c r="C1086" s="2"/>
      <c r="D1086" s="134"/>
      <c r="E1086" s="3"/>
      <c r="F1086" s="2"/>
      <c r="G1086" s="67"/>
      <c r="H1086" s="67"/>
      <c r="I1086" s="67"/>
      <c r="J1086" s="2"/>
    </row>
    <row r="1087" spans="3:10" x14ac:dyDescent="0.25">
      <c r="C1087" s="2"/>
      <c r="D1087" s="134"/>
      <c r="E1087" s="3"/>
      <c r="F1087" s="2"/>
      <c r="G1087" s="67"/>
      <c r="H1087" s="67"/>
      <c r="I1087" s="67"/>
      <c r="J1087" s="2"/>
    </row>
    <row r="1088" spans="3:10" x14ac:dyDescent="0.25">
      <c r="C1088" s="2"/>
      <c r="D1088" s="134"/>
      <c r="E1088" s="3"/>
      <c r="F1088" s="2"/>
      <c r="G1088" s="67"/>
      <c r="H1088" s="67"/>
      <c r="I1088" s="67"/>
      <c r="J1088" s="2"/>
    </row>
    <row r="1089" spans="3:10" x14ac:dyDescent="0.25">
      <c r="C1089" s="2"/>
      <c r="D1089" s="134"/>
      <c r="E1089" s="3"/>
      <c r="F1089" s="2"/>
      <c r="G1089" s="67"/>
      <c r="H1089" s="67"/>
      <c r="I1089" s="67"/>
      <c r="J1089" s="2"/>
    </row>
    <row r="1090" spans="3:10" x14ac:dyDescent="0.25">
      <c r="C1090" s="2"/>
      <c r="D1090" s="134"/>
      <c r="E1090" s="3"/>
      <c r="F1090" s="2"/>
      <c r="G1090" s="67"/>
      <c r="H1090" s="67"/>
      <c r="I1090" s="67"/>
      <c r="J1090" s="2"/>
    </row>
    <row r="1091" spans="3:10" x14ac:dyDescent="0.25">
      <c r="C1091" s="2"/>
      <c r="D1091" s="134"/>
      <c r="E1091" s="3"/>
      <c r="F1091" s="2"/>
      <c r="G1091" s="67"/>
      <c r="H1091" s="67"/>
      <c r="I1091" s="67"/>
      <c r="J1091" s="2"/>
    </row>
    <row r="1092" spans="3:10" x14ac:dyDescent="0.25">
      <c r="C1092" s="2"/>
      <c r="D1092" s="134"/>
      <c r="E1092" s="3"/>
      <c r="F1092" s="2"/>
      <c r="G1092" s="67"/>
      <c r="H1092" s="67"/>
      <c r="I1092" s="67"/>
      <c r="J1092" s="2"/>
    </row>
    <row r="1093" spans="3:10" x14ac:dyDescent="0.25">
      <c r="C1093" s="2"/>
      <c r="D1093" s="134"/>
      <c r="E1093" s="3"/>
      <c r="F1093" s="2"/>
      <c r="G1093" s="67"/>
      <c r="H1093" s="67"/>
      <c r="I1093" s="67"/>
      <c r="J1093" s="2"/>
    </row>
    <row r="1094" spans="3:10" x14ac:dyDescent="0.25">
      <c r="C1094" s="2"/>
      <c r="D1094" s="134"/>
      <c r="E1094" s="3"/>
      <c r="F1094" s="2"/>
      <c r="G1094" s="67"/>
      <c r="H1094" s="67"/>
      <c r="I1094" s="67"/>
      <c r="J1094" s="2"/>
    </row>
    <row r="1095" spans="3:10" x14ac:dyDescent="0.25">
      <c r="C1095" s="2"/>
      <c r="D1095" s="134"/>
      <c r="E1095" s="3"/>
      <c r="F1095" s="2"/>
      <c r="G1095" s="67"/>
      <c r="H1095" s="67"/>
      <c r="I1095" s="67"/>
      <c r="J1095" s="2"/>
    </row>
    <row r="1096" spans="3:10" x14ac:dyDescent="0.25">
      <c r="C1096" s="2"/>
      <c r="D1096" s="134"/>
      <c r="E1096" s="3"/>
      <c r="F1096" s="2"/>
      <c r="G1096" s="67"/>
      <c r="H1096" s="67"/>
      <c r="I1096" s="67"/>
      <c r="J1096" s="2"/>
    </row>
    <row r="1097" spans="3:10" x14ac:dyDescent="0.25">
      <c r="C1097" s="2"/>
      <c r="D1097" s="134"/>
      <c r="E1097" s="3"/>
      <c r="F1097" s="2"/>
      <c r="G1097" s="67"/>
      <c r="H1097" s="67"/>
      <c r="I1097" s="67"/>
      <c r="J1097" s="2"/>
    </row>
    <row r="1098" spans="3:10" x14ac:dyDescent="0.25">
      <c r="C1098" s="2"/>
      <c r="D1098" s="134"/>
      <c r="E1098" s="3"/>
      <c r="F1098" s="2"/>
      <c r="G1098" s="67"/>
      <c r="H1098" s="67"/>
      <c r="I1098" s="67"/>
      <c r="J1098" s="2"/>
    </row>
    <row r="1099" spans="3:10" x14ac:dyDescent="0.25">
      <c r="C1099" s="2"/>
      <c r="D1099" s="134"/>
      <c r="E1099" s="3"/>
      <c r="F1099" s="2"/>
      <c r="G1099" s="67"/>
      <c r="H1099" s="67"/>
      <c r="I1099" s="67"/>
      <c r="J1099" s="2"/>
    </row>
    <row r="1100" spans="3:10" x14ac:dyDescent="0.25">
      <c r="C1100" s="2"/>
      <c r="D1100" s="134"/>
      <c r="E1100" s="3"/>
      <c r="F1100" s="2"/>
      <c r="G1100" s="67"/>
      <c r="H1100" s="67"/>
      <c r="I1100" s="67"/>
      <c r="J1100" s="2"/>
    </row>
    <row r="1101" spans="3:10" x14ac:dyDescent="0.25">
      <c r="C1101" s="2"/>
      <c r="D1101" s="134"/>
      <c r="E1101" s="3"/>
      <c r="F1101" s="2"/>
      <c r="G1101" s="67"/>
      <c r="H1101" s="67"/>
      <c r="I1101" s="67"/>
      <c r="J1101" s="2"/>
    </row>
    <row r="1102" spans="3:10" x14ac:dyDescent="0.25">
      <c r="C1102" s="2"/>
      <c r="D1102" s="134"/>
      <c r="E1102" s="3"/>
      <c r="F1102" s="2"/>
      <c r="G1102" s="67"/>
      <c r="H1102" s="67"/>
      <c r="I1102" s="67"/>
      <c r="J1102" s="2"/>
    </row>
    <row r="1103" spans="3:10" x14ac:dyDescent="0.25">
      <c r="C1103" s="2"/>
      <c r="D1103" s="134"/>
      <c r="E1103" s="3"/>
      <c r="F1103" s="2"/>
      <c r="G1103" s="67"/>
      <c r="H1103" s="67"/>
      <c r="I1103" s="67"/>
      <c r="J1103" s="2"/>
    </row>
    <row r="1104" spans="3:10" x14ac:dyDescent="0.25">
      <c r="C1104" s="2"/>
      <c r="D1104" s="134"/>
      <c r="E1104" s="3"/>
      <c r="F1104" s="2"/>
      <c r="G1104" s="67"/>
      <c r="H1104" s="67"/>
      <c r="I1104" s="67"/>
      <c r="J1104" s="2"/>
    </row>
    <row r="1105" spans="3:10" x14ac:dyDescent="0.25">
      <c r="C1105" s="2"/>
      <c r="D1105" s="134"/>
      <c r="E1105" s="3"/>
      <c r="F1105" s="2"/>
      <c r="G1105" s="67"/>
      <c r="H1105" s="67"/>
      <c r="I1105" s="67"/>
      <c r="J1105" s="2"/>
    </row>
    <row r="1106" spans="3:10" x14ac:dyDescent="0.25">
      <c r="C1106" s="2"/>
      <c r="D1106" s="134"/>
      <c r="E1106" s="3"/>
      <c r="F1106" s="2"/>
      <c r="G1106" s="67"/>
      <c r="H1106" s="67"/>
      <c r="I1106" s="67"/>
      <c r="J1106" s="2"/>
    </row>
    <row r="1107" spans="3:10" x14ac:dyDescent="0.25">
      <c r="C1107" s="2"/>
      <c r="D1107" s="134"/>
      <c r="E1107" s="3"/>
      <c r="F1107" s="2"/>
      <c r="G1107" s="67"/>
      <c r="H1107" s="67"/>
      <c r="I1107" s="67"/>
      <c r="J1107" s="2"/>
    </row>
    <row r="1108" spans="3:10" x14ac:dyDescent="0.25">
      <c r="C1108" s="2"/>
      <c r="D1108" s="134"/>
      <c r="E1108" s="3"/>
      <c r="F1108" s="2"/>
      <c r="G1108" s="67"/>
      <c r="H1108" s="67"/>
      <c r="I1108" s="67"/>
      <c r="J1108" s="2"/>
    </row>
    <row r="1109" spans="3:10" x14ac:dyDescent="0.25">
      <c r="C1109" s="2"/>
      <c r="D1109" s="134"/>
      <c r="E1109" s="3"/>
      <c r="F1109" s="2"/>
      <c r="G1109" s="67"/>
      <c r="H1109" s="67"/>
      <c r="I1109" s="67"/>
      <c r="J1109" s="2"/>
    </row>
    <row r="1110" spans="3:10" x14ac:dyDescent="0.25">
      <c r="C1110" s="2"/>
      <c r="D1110" s="134"/>
      <c r="E1110" s="3"/>
      <c r="F1110" s="2"/>
      <c r="G1110" s="67"/>
      <c r="H1110" s="67"/>
      <c r="I1110" s="67"/>
      <c r="J1110" s="2"/>
    </row>
    <row r="1111" spans="3:10" x14ac:dyDescent="0.25">
      <c r="C1111" s="2"/>
      <c r="D1111" s="134"/>
      <c r="E1111" s="3"/>
      <c r="F1111" s="2"/>
      <c r="G1111" s="67"/>
      <c r="H1111" s="67"/>
      <c r="I1111" s="67"/>
      <c r="J1111" s="2"/>
    </row>
    <row r="1112" spans="3:10" x14ac:dyDescent="0.25">
      <c r="C1112" s="2"/>
      <c r="D1112" s="134"/>
      <c r="E1112" s="3"/>
      <c r="F1112" s="2"/>
      <c r="G1112" s="67"/>
      <c r="H1112" s="67"/>
      <c r="I1112" s="67"/>
      <c r="J1112" s="2"/>
    </row>
    <row r="1113" spans="3:10" x14ac:dyDescent="0.25">
      <c r="C1113" s="2"/>
      <c r="D1113" s="134"/>
      <c r="E1113" s="3"/>
      <c r="F1113" s="2"/>
      <c r="G1113" s="67"/>
      <c r="H1113" s="67"/>
      <c r="I1113" s="67"/>
      <c r="J1113" s="2"/>
    </row>
    <row r="1114" spans="3:10" x14ac:dyDescent="0.25">
      <c r="C1114" s="2"/>
      <c r="D1114" s="134"/>
      <c r="E1114" s="3"/>
      <c r="F1114" s="2"/>
      <c r="G1114" s="67"/>
      <c r="H1114" s="67"/>
      <c r="I1114" s="67"/>
      <c r="J1114" s="2"/>
    </row>
    <row r="1115" spans="3:10" x14ac:dyDescent="0.25">
      <c r="C1115" s="2"/>
      <c r="D1115" s="134"/>
      <c r="E1115" s="3"/>
      <c r="F1115" s="2"/>
      <c r="G1115" s="67"/>
      <c r="H1115" s="67"/>
      <c r="I1115" s="67"/>
      <c r="J1115" s="2"/>
    </row>
    <row r="1116" spans="3:10" x14ac:dyDescent="0.25">
      <c r="C1116" s="2"/>
      <c r="D1116" s="134"/>
      <c r="E1116" s="3"/>
      <c r="F1116" s="2"/>
      <c r="G1116" s="67"/>
      <c r="H1116" s="67"/>
      <c r="I1116" s="67"/>
      <c r="J1116" s="2"/>
    </row>
    <row r="1117" spans="3:10" x14ac:dyDescent="0.25">
      <c r="C1117" s="2"/>
      <c r="D1117" s="134"/>
      <c r="E1117" s="3"/>
      <c r="F1117" s="2"/>
      <c r="G1117" s="67"/>
      <c r="H1117" s="67"/>
      <c r="I1117" s="67"/>
      <c r="J1117" s="2"/>
    </row>
    <row r="1118" spans="3:10" x14ac:dyDescent="0.25">
      <c r="C1118" s="2"/>
      <c r="D1118" s="134"/>
      <c r="E1118" s="3"/>
      <c r="F1118" s="2"/>
      <c r="G1118" s="67"/>
      <c r="H1118" s="67"/>
      <c r="I1118" s="67"/>
      <c r="J1118" s="2"/>
    </row>
    <row r="1119" spans="3:10" x14ac:dyDescent="0.25">
      <c r="C1119" s="2"/>
      <c r="D1119" s="134"/>
      <c r="E1119" s="3"/>
      <c r="F1119" s="2"/>
      <c r="G1119" s="67"/>
      <c r="H1119" s="67"/>
      <c r="I1119" s="67"/>
      <c r="J1119" s="2"/>
    </row>
    <row r="1120" spans="3:10" x14ac:dyDescent="0.25">
      <c r="C1120" s="2"/>
      <c r="D1120" s="134"/>
      <c r="E1120" s="3"/>
      <c r="F1120" s="2"/>
      <c r="G1120" s="67"/>
      <c r="H1120" s="67"/>
      <c r="I1120" s="67"/>
      <c r="J1120" s="2"/>
    </row>
    <row r="1121" spans="3:10" x14ac:dyDescent="0.25">
      <c r="C1121" s="2"/>
      <c r="D1121" s="134"/>
      <c r="E1121" s="3"/>
      <c r="F1121" s="2"/>
      <c r="G1121" s="67"/>
      <c r="H1121" s="67"/>
      <c r="I1121" s="67"/>
      <c r="J1121" s="2"/>
    </row>
    <row r="1122" spans="3:10" x14ac:dyDescent="0.25">
      <c r="C1122" s="2"/>
      <c r="D1122" s="134"/>
      <c r="E1122" s="3"/>
      <c r="F1122" s="2"/>
      <c r="G1122" s="67"/>
      <c r="H1122" s="67"/>
      <c r="I1122" s="67"/>
      <c r="J1122" s="2"/>
    </row>
    <row r="1123" spans="3:10" x14ac:dyDescent="0.25">
      <c r="C1123" s="2"/>
      <c r="D1123" s="134"/>
      <c r="E1123" s="3"/>
      <c r="F1123" s="2"/>
      <c r="G1123" s="67"/>
      <c r="H1123" s="67"/>
      <c r="I1123" s="67"/>
      <c r="J1123" s="2"/>
    </row>
    <row r="1124" spans="3:10" x14ac:dyDescent="0.25">
      <c r="C1124" s="2"/>
      <c r="D1124" s="134"/>
      <c r="E1124" s="3"/>
      <c r="F1124" s="2"/>
      <c r="G1124" s="67"/>
      <c r="H1124" s="67"/>
      <c r="I1124" s="67"/>
      <c r="J1124" s="2"/>
    </row>
    <row r="1125" spans="3:10" x14ac:dyDescent="0.25">
      <c r="C1125" s="2"/>
      <c r="D1125" s="134"/>
      <c r="E1125" s="3"/>
      <c r="F1125" s="2"/>
      <c r="G1125" s="67"/>
      <c r="H1125" s="67"/>
      <c r="I1125" s="67"/>
      <c r="J1125" s="2"/>
    </row>
    <row r="1126" spans="3:10" x14ac:dyDescent="0.25">
      <c r="C1126" s="2"/>
      <c r="D1126" s="134"/>
      <c r="E1126" s="3"/>
      <c r="F1126" s="2"/>
      <c r="G1126" s="67"/>
      <c r="H1126" s="67"/>
      <c r="I1126" s="67"/>
      <c r="J1126" s="2"/>
    </row>
    <row r="1127" spans="3:10" x14ac:dyDescent="0.25">
      <c r="C1127" s="2"/>
      <c r="D1127" s="134"/>
      <c r="E1127" s="3"/>
      <c r="F1127" s="2"/>
      <c r="G1127" s="67"/>
      <c r="H1127" s="67"/>
      <c r="I1127" s="67"/>
      <c r="J1127" s="2"/>
    </row>
    <row r="1128" spans="3:10" x14ac:dyDescent="0.25">
      <c r="C1128" s="2"/>
      <c r="D1128" s="134"/>
      <c r="E1128" s="3"/>
      <c r="F1128" s="2"/>
      <c r="G1128" s="67"/>
      <c r="H1128" s="67"/>
      <c r="I1128" s="67"/>
      <c r="J1128" s="2"/>
    </row>
    <row r="1129" spans="3:10" x14ac:dyDescent="0.25">
      <c r="C1129" s="2"/>
      <c r="D1129" s="134"/>
      <c r="E1129" s="3"/>
      <c r="F1129" s="2"/>
      <c r="G1129" s="67"/>
      <c r="H1129" s="67"/>
      <c r="I1129" s="67"/>
      <c r="J1129" s="2"/>
    </row>
    <row r="1130" spans="3:10" x14ac:dyDescent="0.25">
      <c r="C1130" s="2"/>
      <c r="D1130" s="134"/>
      <c r="E1130" s="3"/>
      <c r="F1130" s="2"/>
      <c r="G1130" s="67"/>
      <c r="H1130" s="67"/>
      <c r="I1130" s="67"/>
      <c r="J1130" s="2"/>
    </row>
    <row r="1131" spans="3:10" x14ac:dyDescent="0.25">
      <c r="C1131" s="2"/>
      <c r="D1131" s="134"/>
      <c r="E1131" s="3"/>
      <c r="F1131" s="2"/>
      <c r="G1131" s="67"/>
      <c r="H1131" s="67"/>
      <c r="I1131" s="67"/>
      <c r="J1131" s="2"/>
    </row>
    <row r="1132" spans="3:10" x14ac:dyDescent="0.25">
      <c r="C1132" s="2"/>
      <c r="D1132" s="134"/>
      <c r="E1132" s="3"/>
      <c r="F1132" s="2"/>
      <c r="G1132" s="67"/>
      <c r="H1132" s="67"/>
      <c r="I1132" s="67"/>
      <c r="J1132" s="2"/>
    </row>
    <row r="1133" spans="3:10" x14ac:dyDescent="0.25">
      <c r="C1133" s="2"/>
      <c r="D1133" s="134"/>
      <c r="E1133" s="3"/>
      <c r="F1133" s="2"/>
      <c r="G1133" s="67"/>
      <c r="H1133" s="67"/>
      <c r="I1133" s="67"/>
      <c r="J1133" s="2"/>
    </row>
    <row r="1134" spans="3:10" x14ac:dyDescent="0.25">
      <c r="C1134" s="2"/>
      <c r="D1134" s="134"/>
      <c r="E1134" s="3"/>
      <c r="F1134" s="2"/>
      <c r="G1134" s="67"/>
      <c r="H1134" s="67"/>
      <c r="I1134" s="67"/>
      <c r="J1134" s="2"/>
    </row>
    <row r="1135" spans="3:10" x14ac:dyDescent="0.25">
      <c r="C1135" s="2"/>
      <c r="D1135" s="134"/>
      <c r="E1135" s="3"/>
      <c r="F1135" s="2"/>
      <c r="G1135" s="67"/>
      <c r="H1135" s="67"/>
      <c r="I1135" s="67"/>
      <c r="J1135" s="2"/>
    </row>
    <row r="1136" spans="3:10" x14ac:dyDescent="0.25">
      <c r="C1136" s="2"/>
      <c r="D1136" s="134"/>
      <c r="E1136" s="3"/>
      <c r="F1136" s="2"/>
      <c r="G1136" s="67"/>
      <c r="H1136" s="67"/>
      <c r="I1136" s="67"/>
      <c r="J1136" s="2"/>
    </row>
    <row r="1137" spans="3:10" x14ac:dyDescent="0.25">
      <c r="C1137" s="2"/>
      <c r="D1137" s="134"/>
      <c r="E1137" s="3"/>
      <c r="F1137" s="2"/>
      <c r="G1137" s="67"/>
      <c r="H1137" s="67"/>
      <c r="I1137" s="67"/>
      <c r="J1137" s="2"/>
    </row>
    <row r="1138" spans="3:10" x14ac:dyDescent="0.25">
      <c r="C1138" s="2"/>
      <c r="D1138" s="134"/>
      <c r="E1138" s="3"/>
      <c r="F1138" s="2"/>
      <c r="G1138" s="67"/>
      <c r="H1138" s="67"/>
      <c r="I1138" s="67"/>
      <c r="J1138" s="2"/>
    </row>
    <row r="1139" spans="3:10" x14ac:dyDescent="0.25">
      <c r="C1139" s="2"/>
      <c r="D1139" s="134"/>
      <c r="E1139" s="3"/>
      <c r="F1139" s="2"/>
      <c r="G1139" s="67"/>
      <c r="H1139" s="67"/>
      <c r="I1139" s="67"/>
      <c r="J1139" s="2"/>
    </row>
    <row r="1140" spans="3:10" x14ac:dyDescent="0.25">
      <c r="C1140" s="2"/>
      <c r="D1140" s="134"/>
      <c r="E1140" s="3"/>
      <c r="F1140" s="2"/>
      <c r="G1140" s="67"/>
      <c r="H1140" s="67"/>
      <c r="I1140" s="67"/>
      <c r="J1140" s="2"/>
    </row>
    <row r="1141" spans="3:10" x14ac:dyDescent="0.25">
      <c r="C1141" s="2"/>
      <c r="D1141" s="134"/>
      <c r="E1141" s="3"/>
      <c r="F1141" s="2"/>
      <c r="G1141" s="67"/>
      <c r="H1141" s="67"/>
      <c r="I1141" s="67"/>
      <c r="J1141" s="2"/>
    </row>
    <row r="1142" spans="3:10" x14ac:dyDescent="0.25">
      <c r="C1142" s="2"/>
      <c r="D1142" s="134"/>
      <c r="E1142" s="3"/>
      <c r="F1142" s="2"/>
      <c r="G1142" s="67"/>
      <c r="H1142" s="67"/>
      <c r="I1142" s="67"/>
      <c r="J1142" s="2"/>
    </row>
    <row r="1143" spans="3:10" x14ac:dyDescent="0.25">
      <c r="C1143" s="2"/>
      <c r="D1143" s="134"/>
      <c r="E1143" s="3"/>
      <c r="F1143" s="2"/>
      <c r="G1143" s="67"/>
      <c r="H1143" s="67"/>
      <c r="I1143" s="67"/>
      <c r="J1143" s="2"/>
    </row>
    <row r="1144" spans="3:10" x14ac:dyDescent="0.25">
      <c r="C1144" s="2"/>
      <c r="D1144" s="134"/>
      <c r="E1144" s="3"/>
      <c r="F1144" s="2"/>
      <c r="G1144" s="67"/>
      <c r="H1144" s="67"/>
      <c r="I1144" s="67"/>
      <c r="J1144" s="2"/>
    </row>
    <row r="1145" spans="3:10" x14ac:dyDescent="0.25">
      <c r="C1145" s="2"/>
      <c r="D1145" s="134"/>
      <c r="E1145" s="3"/>
      <c r="F1145" s="2"/>
      <c r="G1145" s="67"/>
      <c r="H1145" s="67"/>
      <c r="I1145" s="67"/>
      <c r="J1145" s="2"/>
    </row>
    <row r="1146" spans="3:10" x14ac:dyDescent="0.25">
      <c r="C1146" s="2"/>
      <c r="D1146" s="134"/>
      <c r="E1146" s="3"/>
      <c r="F1146" s="2"/>
      <c r="G1146" s="67"/>
      <c r="H1146" s="67"/>
      <c r="I1146" s="67"/>
      <c r="J1146" s="2"/>
    </row>
    <row r="1147" spans="3:10" x14ac:dyDescent="0.25">
      <c r="C1147" s="2"/>
      <c r="D1147" s="134"/>
      <c r="E1147" s="3"/>
      <c r="F1147" s="2"/>
      <c r="G1147" s="67"/>
      <c r="H1147" s="67"/>
      <c r="I1147" s="67"/>
      <c r="J1147" s="2"/>
    </row>
    <row r="1148" spans="3:10" x14ac:dyDescent="0.25">
      <c r="C1148" s="2"/>
      <c r="D1148" s="134"/>
      <c r="E1148" s="3"/>
      <c r="F1148" s="2"/>
      <c r="G1148" s="67"/>
      <c r="H1148" s="67"/>
      <c r="I1148" s="67"/>
      <c r="J1148" s="2"/>
    </row>
    <row r="1149" spans="3:10" x14ac:dyDescent="0.25">
      <c r="C1149" s="2"/>
      <c r="D1149" s="134"/>
      <c r="E1149" s="3"/>
      <c r="F1149" s="2"/>
      <c r="G1149" s="67"/>
      <c r="H1149" s="67"/>
      <c r="I1149" s="67"/>
      <c r="J1149" s="2"/>
    </row>
    <row r="1150" spans="3:10" x14ac:dyDescent="0.25">
      <c r="C1150" s="2"/>
      <c r="D1150" s="134"/>
      <c r="E1150" s="3"/>
      <c r="F1150" s="2"/>
      <c r="G1150" s="67"/>
      <c r="H1150" s="67"/>
      <c r="I1150" s="67"/>
      <c r="J1150" s="2"/>
    </row>
    <row r="1151" spans="3:10" x14ac:dyDescent="0.25">
      <c r="C1151" s="2"/>
      <c r="D1151" s="134"/>
      <c r="E1151" s="3"/>
      <c r="F1151" s="2"/>
      <c r="G1151" s="67"/>
      <c r="H1151" s="67"/>
      <c r="I1151" s="67"/>
      <c r="J1151" s="2"/>
    </row>
    <row r="1152" spans="3:10" x14ac:dyDescent="0.25">
      <c r="C1152" s="2"/>
      <c r="D1152" s="134"/>
      <c r="E1152" s="3"/>
      <c r="F1152" s="2"/>
      <c r="G1152" s="67"/>
      <c r="H1152" s="67"/>
      <c r="I1152" s="67"/>
      <c r="J1152" s="2"/>
    </row>
    <row r="1153" spans="3:10" x14ac:dyDescent="0.25">
      <c r="C1153" s="2"/>
      <c r="D1153" s="134"/>
      <c r="E1153" s="3"/>
      <c r="F1153" s="2"/>
      <c r="G1153" s="67"/>
      <c r="H1153" s="67"/>
      <c r="I1153" s="67"/>
      <c r="J1153" s="2"/>
    </row>
    <row r="1154" spans="3:10" x14ac:dyDescent="0.25">
      <c r="C1154" s="2"/>
      <c r="D1154" s="134"/>
      <c r="E1154" s="3"/>
      <c r="F1154" s="2"/>
      <c r="G1154" s="67"/>
      <c r="H1154" s="67"/>
      <c r="I1154" s="67"/>
      <c r="J1154" s="2"/>
    </row>
    <row r="1155" spans="3:10" x14ac:dyDescent="0.25">
      <c r="C1155" s="2"/>
      <c r="D1155" s="134"/>
      <c r="E1155" s="3"/>
      <c r="F1155" s="2"/>
      <c r="G1155" s="67"/>
      <c r="H1155" s="67"/>
      <c r="I1155" s="67"/>
      <c r="J1155" s="2"/>
    </row>
    <row r="1156" spans="3:10" x14ac:dyDescent="0.25">
      <c r="C1156" s="2"/>
      <c r="D1156" s="134"/>
      <c r="E1156" s="3"/>
      <c r="F1156" s="2"/>
      <c r="G1156" s="67"/>
      <c r="H1156" s="67"/>
      <c r="I1156" s="67"/>
      <c r="J1156" s="2"/>
    </row>
    <row r="1157" spans="3:10" x14ac:dyDescent="0.25">
      <c r="C1157" s="2"/>
      <c r="D1157" s="134"/>
      <c r="E1157" s="3"/>
      <c r="F1157" s="2"/>
      <c r="G1157" s="67"/>
      <c r="H1157" s="67"/>
      <c r="I1157" s="67"/>
      <c r="J1157" s="2"/>
    </row>
    <row r="1158" spans="3:10" x14ac:dyDescent="0.25">
      <c r="C1158" s="2"/>
      <c r="D1158" s="134"/>
      <c r="E1158" s="3"/>
      <c r="F1158" s="2"/>
      <c r="G1158" s="67"/>
      <c r="H1158" s="67"/>
      <c r="I1158" s="67"/>
      <c r="J1158" s="2"/>
    </row>
    <row r="1159" spans="3:10" x14ac:dyDescent="0.25">
      <c r="C1159" s="2"/>
      <c r="D1159" s="134"/>
      <c r="E1159" s="3"/>
      <c r="F1159" s="2"/>
      <c r="G1159" s="67"/>
      <c r="H1159" s="67"/>
      <c r="I1159" s="67"/>
      <c r="J1159" s="2"/>
    </row>
    <row r="1160" spans="3:10" x14ac:dyDescent="0.25">
      <c r="C1160" s="2"/>
      <c r="D1160" s="134"/>
      <c r="E1160" s="3"/>
      <c r="F1160" s="2"/>
      <c r="G1160" s="67"/>
      <c r="H1160" s="67"/>
      <c r="I1160" s="67"/>
      <c r="J1160" s="2"/>
    </row>
    <row r="1161" spans="3:10" x14ac:dyDescent="0.25">
      <c r="C1161" s="2"/>
      <c r="D1161" s="134"/>
      <c r="E1161" s="3"/>
      <c r="F1161" s="2"/>
      <c r="G1161" s="67"/>
      <c r="H1161" s="67"/>
      <c r="I1161" s="67"/>
      <c r="J1161" s="2"/>
    </row>
    <row r="1162" spans="3:10" x14ac:dyDescent="0.25">
      <c r="C1162" s="2"/>
      <c r="D1162" s="134"/>
      <c r="E1162" s="3"/>
      <c r="F1162" s="2"/>
      <c r="G1162" s="67"/>
      <c r="H1162" s="67"/>
      <c r="I1162" s="67"/>
      <c r="J1162" s="2"/>
    </row>
    <row r="1163" spans="3:10" x14ac:dyDescent="0.25">
      <c r="C1163" s="2"/>
      <c r="D1163" s="134"/>
      <c r="E1163" s="3"/>
      <c r="F1163" s="2"/>
      <c r="G1163" s="67"/>
      <c r="H1163" s="67"/>
      <c r="I1163" s="67"/>
      <c r="J1163" s="2"/>
    </row>
    <row r="1164" spans="3:10" x14ac:dyDescent="0.25">
      <c r="C1164" s="2"/>
      <c r="D1164" s="134"/>
      <c r="E1164" s="3"/>
      <c r="F1164" s="2"/>
      <c r="G1164" s="67"/>
      <c r="H1164" s="67"/>
      <c r="I1164" s="67"/>
      <c r="J1164" s="2"/>
    </row>
    <row r="1165" spans="3:10" x14ac:dyDescent="0.25">
      <c r="C1165" s="2"/>
      <c r="D1165" s="134"/>
      <c r="E1165" s="3"/>
      <c r="F1165" s="2"/>
      <c r="G1165" s="67"/>
      <c r="H1165" s="67"/>
      <c r="I1165" s="67"/>
      <c r="J1165" s="2"/>
    </row>
    <row r="1166" spans="3:10" x14ac:dyDescent="0.25">
      <c r="C1166" s="2"/>
      <c r="D1166" s="134"/>
      <c r="E1166" s="3"/>
      <c r="F1166" s="2"/>
      <c r="G1166" s="67"/>
      <c r="H1166" s="67"/>
      <c r="I1166" s="67"/>
      <c r="J1166" s="2"/>
    </row>
    <row r="1167" spans="3:10" x14ac:dyDescent="0.25">
      <c r="C1167" s="2"/>
      <c r="D1167" s="134"/>
      <c r="E1167" s="3"/>
      <c r="F1167" s="2"/>
      <c r="G1167" s="67"/>
      <c r="H1167" s="67"/>
      <c r="I1167" s="67"/>
      <c r="J1167" s="2"/>
    </row>
    <row r="1168" spans="3:10" x14ac:dyDescent="0.25">
      <c r="C1168" s="2"/>
      <c r="D1168" s="134"/>
      <c r="E1168" s="3"/>
      <c r="F1168" s="2"/>
      <c r="G1168" s="67"/>
      <c r="H1168" s="67"/>
      <c r="I1168" s="67"/>
      <c r="J1168" s="2"/>
    </row>
    <row r="1169" spans="3:10" x14ac:dyDescent="0.25">
      <c r="C1169" s="2"/>
      <c r="D1169" s="134"/>
      <c r="E1169" s="3"/>
      <c r="F1169" s="2"/>
      <c r="G1169" s="67"/>
      <c r="H1169" s="67"/>
      <c r="I1169" s="67"/>
      <c r="J1169" s="2"/>
    </row>
    <row r="1170" spans="3:10" x14ac:dyDescent="0.25">
      <c r="C1170" s="2"/>
      <c r="D1170" s="134"/>
      <c r="E1170" s="3"/>
      <c r="F1170" s="2"/>
      <c r="G1170" s="67"/>
      <c r="H1170" s="67"/>
      <c r="I1170" s="67"/>
      <c r="J1170" s="2"/>
    </row>
    <row r="1171" spans="3:10" x14ac:dyDescent="0.25">
      <c r="C1171" s="2"/>
      <c r="D1171" s="134"/>
      <c r="E1171" s="3"/>
      <c r="F1171" s="2"/>
      <c r="G1171" s="67"/>
      <c r="H1171" s="67"/>
      <c r="I1171" s="67"/>
      <c r="J1171" s="2"/>
    </row>
    <row r="1172" spans="3:10" x14ac:dyDescent="0.25">
      <c r="C1172" s="2"/>
      <c r="D1172" s="134"/>
      <c r="E1172" s="3"/>
      <c r="F1172" s="2"/>
      <c r="G1172" s="67"/>
      <c r="H1172" s="67"/>
      <c r="I1172" s="67"/>
      <c r="J1172" s="2"/>
    </row>
    <row r="1173" spans="3:10" x14ac:dyDescent="0.25">
      <c r="C1173" s="2"/>
      <c r="D1173" s="134"/>
      <c r="E1173" s="3"/>
      <c r="F1173" s="2"/>
      <c r="G1173" s="67"/>
      <c r="H1173" s="67"/>
      <c r="I1173" s="67"/>
      <c r="J1173" s="2"/>
    </row>
    <row r="1174" spans="3:10" x14ac:dyDescent="0.25">
      <c r="C1174" s="2"/>
      <c r="D1174" s="134"/>
      <c r="E1174" s="3"/>
      <c r="F1174" s="2"/>
      <c r="G1174" s="67"/>
      <c r="H1174" s="67"/>
      <c r="I1174" s="67"/>
      <c r="J1174" s="2"/>
    </row>
    <row r="1175" spans="3:10" x14ac:dyDescent="0.25">
      <c r="C1175" s="2"/>
      <c r="D1175" s="134"/>
      <c r="E1175" s="3"/>
      <c r="F1175" s="2"/>
      <c r="G1175" s="67"/>
      <c r="H1175" s="67"/>
      <c r="I1175" s="67"/>
      <c r="J1175" s="2"/>
    </row>
    <row r="1176" spans="3:10" x14ac:dyDescent="0.25">
      <c r="C1176" s="2"/>
      <c r="D1176" s="134"/>
      <c r="E1176" s="3"/>
      <c r="F1176" s="2"/>
      <c r="G1176" s="67"/>
      <c r="H1176" s="67"/>
      <c r="I1176" s="67"/>
      <c r="J1176" s="2"/>
    </row>
    <row r="1177" spans="3:10" x14ac:dyDescent="0.25">
      <c r="C1177" s="2"/>
      <c r="D1177" s="134"/>
      <c r="E1177" s="3"/>
      <c r="F1177" s="2"/>
      <c r="G1177" s="67"/>
      <c r="H1177" s="67"/>
      <c r="I1177" s="67"/>
      <c r="J1177" s="2"/>
    </row>
    <row r="1178" spans="3:10" x14ac:dyDescent="0.25">
      <c r="C1178" s="2"/>
      <c r="D1178" s="134"/>
      <c r="E1178" s="3"/>
      <c r="F1178" s="2"/>
      <c r="G1178" s="67"/>
      <c r="H1178" s="67"/>
      <c r="I1178" s="67"/>
      <c r="J1178" s="2"/>
    </row>
    <row r="1179" spans="3:10" x14ac:dyDescent="0.25">
      <c r="C1179" s="2"/>
      <c r="D1179" s="134"/>
      <c r="E1179" s="3"/>
      <c r="F1179" s="2"/>
      <c r="G1179" s="67"/>
      <c r="H1179" s="67"/>
      <c r="I1179" s="67"/>
      <c r="J1179" s="2"/>
    </row>
    <row r="1180" spans="3:10" x14ac:dyDescent="0.25">
      <c r="C1180" s="2"/>
      <c r="D1180" s="134"/>
      <c r="E1180" s="3"/>
      <c r="F1180" s="2"/>
      <c r="G1180" s="67"/>
      <c r="H1180" s="67"/>
      <c r="I1180" s="67"/>
      <c r="J1180" s="2"/>
    </row>
    <row r="1181" spans="3:10" x14ac:dyDescent="0.25">
      <c r="C1181" s="2"/>
      <c r="D1181" s="134"/>
      <c r="E1181" s="3"/>
      <c r="F1181" s="2"/>
      <c r="G1181" s="67"/>
      <c r="H1181" s="67"/>
      <c r="I1181" s="67"/>
      <c r="J1181" s="2"/>
    </row>
    <row r="1182" spans="3:10" x14ac:dyDescent="0.25">
      <c r="C1182" s="2"/>
      <c r="D1182" s="134"/>
      <c r="E1182" s="3"/>
      <c r="F1182" s="2"/>
      <c r="G1182" s="67"/>
      <c r="H1182" s="67"/>
      <c r="I1182" s="67"/>
      <c r="J1182" s="2"/>
    </row>
    <row r="1183" spans="3:10" x14ac:dyDescent="0.25">
      <c r="C1183" s="2"/>
      <c r="D1183" s="134"/>
      <c r="E1183" s="3"/>
      <c r="F1183" s="2"/>
      <c r="G1183" s="67"/>
      <c r="H1183" s="67"/>
      <c r="I1183" s="67"/>
      <c r="J1183" s="2"/>
    </row>
    <row r="1184" spans="3:10" x14ac:dyDescent="0.25">
      <c r="C1184" s="2"/>
      <c r="D1184" s="134"/>
      <c r="E1184" s="3"/>
      <c r="F1184" s="2"/>
      <c r="G1184" s="67"/>
      <c r="H1184" s="67"/>
      <c r="I1184" s="67"/>
      <c r="J1184" s="2"/>
    </row>
    <row r="1185" spans="3:10" x14ac:dyDescent="0.25">
      <c r="C1185" s="2"/>
      <c r="D1185" s="134"/>
      <c r="E1185" s="3"/>
      <c r="F1185" s="2"/>
      <c r="G1185" s="67"/>
      <c r="H1185" s="67"/>
      <c r="I1185" s="67"/>
      <c r="J1185" s="2"/>
    </row>
    <row r="1186" spans="3:10" x14ac:dyDescent="0.25">
      <c r="C1186" s="2"/>
      <c r="D1186" s="134"/>
      <c r="E1186" s="3"/>
      <c r="F1186" s="2"/>
      <c r="G1186" s="67"/>
      <c r="H1186" s="67"/>
      <c r="I1186" s="67"/>
      <c r="J1186" s="2"/>
    </row>
    <row r="1187" spans="3:10" x14ac:dyDescent="0.25">
      <c r="C1187" s="2"/>
      <c r="D1187" s="134"/>
      <c r="E1187" s="3"/>
      <c r="F1187" s="2"/>
      <c r="G1187" s="67"/>
      <c r="H1187" s="67"/>
      <c r="I1187" s="67"/>
      <c r="J1187" s="2"/>
    </row>
    <row r="1188" spans="3:10" x14ac:dyDescent="0.25">
      <c r="C1188" s="2"/>
      <c r="D1188" s="134"/>
      <c r="E1188" s="3"/>
      <c r="F1188" s="2"/>
      <c r="G1188" s="67"/>
      <c r="H1188" s="67"/>
      <c r="I1188" s="67"/>
      <c r="J1188" s="2"/>
    </row>
    <row r="1189" spans="3:10" x14ac:dyDescent="0.25">
      <c r="C1189" s="2"/>
      <c r="D1189" s="134"/>
      <c r="E1189" s="3"/>
      <c r="F1189" s="2"/>
      <c r="G1189" s="67"/>
      <c r="H1189" s="67"/>
      <c r="I1189" s="67"/>
      <c r="J1189" s="2"/>
    </row>
    <row r="1190" spans="3:10" x14ac:dyDescent="0.25">
      <c r="C1190" s="2"/>
      <c r="D1190" s="134"/>
      <c r="E1190" s="3"/>
      <c r="F1190" s="2"/>
      <c r="G1190" s="67"/>
      <c r="H1190" s="67"/>
      <c r="I1190" s="67"/>
      <c r="J1190" s="2"/>
    </row>
    <row r="1191" spans="3:10" x14ac:dyDescent="0.25">
      <c r="C1191" s="2"/>
      <c r="D1191" s="134"/>
      <c r="E1191" s="3"/>
      <c r="F1191" s="2"/>
      <c r="G1191" s="67"/>
      <c r="H1191" s="67"/>
      <c r="I1191" s="67"/>
      <c r="J1191" s="2"/>
    </row>
    <row r="1192" spans="3:10" x14ac:dyDescent="0.25">
      <c r="C1192" s="2"/>
      <c r="D1192" s="134"/>
      <c r="E1192" s="3"/>
      <c r="F1192" s="2"/>
      <c r="G1192" s="67"/>
      <c r="H1192" s="67"/>
      <c r="I1192" s="67"/>
      <c r="J1192" s="2"/>
    </row>
    <row r="1193" spans="3:10" x14ac:dyDescent="0.25">
      <c r="C1193" s="2"/>
      <c r="D1193" s="134"/>
      <c r="E1193" s="3"/>
      <c r="F1193" s="2"/>
      <c r="G1193" s="67"/>
      <c r="H1193" s="67"/>
      <c r="I1193" s="67"/>
      <c r="J1193" s="2"/>
    </row>
    <row r="1194" spans="3:10" x14ac:dyDescent="0.25">
      <c r="C1194" s="2"/>
      <c r="D1194" s="134"/>
      <c r="E1194" s="3"/>
      <c r="F1194" s="2"/>
      <c r="G1194" s="67"/>
      <c r="H1194" s="67"/>
      <c r="I1194" s="67"/>
      <c r="J1194" s="2"/>
    </row>
    <row r="1195" spans="3:10" x14ac:dyDescent="0.25">
      <c r="C1195" s="2"/>
      <c r="D1195" s="134"/>
      <c r="E1195" s="3"/>
      <c r="F1195" s="2"/>
      <c r="G1195" s="67"/>
      <c r="H1195" s="67"/>
      <c r="I1195" s="67"/>
      <c r="J1195" s="2"/>
    </row>
    <row r="1196" spans="3:10" x14ac:dyDescent="0.25">
      <c r="C1196" s="2"/>
      <c r="D1196" s="134"/>
      <c r="E1196" s="3"/>
      <c r="F1196" s="2"/>
      <c r="G1196" s="67"/>
      <c r="H1196" s="67"/>
      <c r="I1196" s="67"/>
      <c r="J1196" s="2"/>
    </row>
    <row r="1197" spans="3:10" x14ac:dyDescent="0.25">
      <c r="C1197" s="2"/>
      <c r="D1197" s="134"/>
      <c r="E1197" s="3"/>
      <c r="F1197" s="2"/>
      <c r="G1197" s="67"/>
      <c r="H1197" s="67"/>
      <c r="I1197" s="67"/>
      <c r="J1197" s="2"/>
    </row>
    <row r="1198" spans="3:10" x14ac:dyDescent="0.25">
      <c r="C1198" s="2"/>
      <c r="D1198" s="134"/>
      <c r="E1198" s="3"/>
      <c r="F1198" s="2"/>
      <c r="G1198" s="67"/>
      <c r="H1198" s="67"/>
      <c r="I1198" s="67"/>
      <c r="J1198" s="2"/>
    </row>
    <row r="1199" spans="3:10" x14ac:dyDescent="0.25">
      <c r="C1199" s="2"/>
      <c r="D1199" s="134"/>
      <c r="E1199" s="3"/>
      <c r="F1199" s="2"/>
      <c r="G1199" s="67"/>
      <c r="H1199" s="67"/>
      <c r="I1199" s="67"/>
      <c r="J1199" s="2"/>
    </row>
    <row r="1200" spans="3:10" x14ac:dyDescent="0.25">
      <c r="C1200" s="2"/>
      <c r="D1200" s="134"/>
      <c r="E1200" s="3"/>
      <c r="F1200" s="2"/>
      <c r="G1200" s="67"/>
      <c r="H1200" s="67"/>
      <c r="I1200" s="67"/>
      <c r="J1200" s="2"/>
    </row>
    <row r="1201" spans="3:10" x14ac:dyDescent="0.25">
      <c r="C1201" s="2"/>
      <c r="D1201" s="134"/>
      <c r="E1201" s="3"/>
      <c r="F1201" s="2"/>
      <c r="G1201" s="67"/>
      <c r="H1201" s="67"/>
      <c r="I1201" s="67"/>
      <c r="J1201" s="2"/>
    </row>
    <row r="1202" spans="3:10" x14ac:dyDescent="0.25">
      <c r="C1202" s="2"/>
      <c r="D1202" s="134"/>
      <c r="E1202" s="3"/>
      <c r="F1202" s="2"/>
      <c r="G1202" s="67"/>
      <c r="H1202" s="67"/>
      <c r="I1202" s="67"/>
      <c r="J1202" s="2"/>
    </row>
    <row r="1203" spans="3:10" x14ac:dyDescent="0.25">
      <c r="C1203" s="2"/>
      <c r="D1203" s="134"/>
      <c r="E1203" s="3"/>
      <c r="F1203" s="2"/>
      <c r="G1203" s="67"/>
      <c r="H1203" s="67"/>
      <c r="I1203" s="67"/>
      <c r="J1203" s="2"/>
    </row>
    <row r="1204" spans="3:10" x14ac:dyDescent="0.25">
      <c r="C1204" s="2"/>
      <c r="D1204" s="134"/>
      <c r="E1204" s="3"/>
      <c r="F1204" s="2"/>
      <c r="G1204" s="67"/>
      <c r="H1204" s="67"/>
      <c r="I1204" s="67"/>
      <c r="J1204" s="2"/>
    </row>
    <row r="1205" spans="3:10" x14ac:dyDescent="0.25">
      <c r="C1205" s="2"/>
      <c r="D1205" s="134"/>
      <c r="E1205" s="3"/>
      <c r="F1205" s="2"/>
      <c r="G1205" s="67"/>
      <c r="H1205" s="67"/>
      <c r="I1205" s="67"/>
      <c r="J1205" s="2"/>
    </row>
    <row r="1206" spans="3:10" x14ac:dyDescent="0.25">
      <c r="C1206" s="2"/>
      <c r="D1206" s="134"/>
      <c r="E1206" s="3"/>
      <c r="F1206" s="2"/>
      <c r="G1206" s="67"/>
      <c r="H1206" s="67"/>
      <c r="I1206" s="67"/>
      <c r="J1206" s="2"/>
    </row>
    <row r="1207" spans="3:10" x14ac:dyDescent="0.25">
      <c r="C1207" s="2"/>
      <c r="D1207" s="134"/>
      <c r="E1207" s="3"/>
      <c r="F1207" s="2"/>
      <c r="G1207" s="67"/>
      <c r="H1207" s="67"/>
      <c r="I1207" s="67"/>
      <c r="J1207" s="2"/>
    </row>
    <row r="1208" spans="3:10" x14ac:dyDescent="0.25">
      <c r="C1208" s="2"/>
      <c r="D1208" s="134"/>
      <c r="E1208" s="3"/>
      <c r="F1208" s="2"/>
      <c r="G1208" s="67"/>
      <c r="H1208" s="67"/>
      <c r="I1208" s="67"/>
      <c r="J1208" s="2"/>
    </row>
    <row r="1209" spans="3:10" x14ac:dyDescent="0.25">
      <c r="C1209" s="2"/>
      <c r="D1209" s="134"/>
      <c r="E1209" s="3"/>
      <c r="F1209" s="2"/>
      <c r="G1209" s="67"/>
      <c r="H1209" s="67"/>
      <c r="I1209" s="67"/>
      <c r="J1209" s="2"/>
    </row>
    <row r="1210" spans="3:10" x14ac:dyDescent="0.25">
      <c r="C1210" s="2"/>
      <c r="D1210" s="134"/>
      <c r="E1210" s="3"/>
      <c r="F1210" s="2"/>
      <c r="G1210" s="67"/>
      <c r="H1210" s="67"/>
      <c r="I1210" s="67"/>
      <c r="J1210" s="2"/>
    </row>
    <row r="1211" spans="3:10" x14ac:dyDescent="0.25">
      <c r="C1211" s="2"/>
      <c r="D1211" s="134"/>
      <c r="E1211" s="3"/>
      <c r="F1211" s="2"/>
      <c r="G1211" s="67"/>
      <c r="H1211" s="67"/>
      <c r="I1211" s="67"/>
      <c r="J1211" s="2"/>
    </row>
    <row r="1212" spans="3:10" x14ac:dyDescent="0.25">
      <c r="C1212" s="2"/>
      <c r="D1212" s="134"/>
      <c r="E1212" s="3"/>
      <c r="F1212" s="2"/>
      <c r="G1212" s="67"/>
      <c r="H1212" s="67"/>
      <c r="I1212" s="67"/>
      <c r="J1212" s="2"/>
    </row>
    <row r="1213" spans="3:10" x14ac:dyDescent="0.25">
      <c r="C1213" s="2"/>
      <c r="D1213" s="134"/>
      <c r="E1213" s="3"/>
      <c r="F1213" s="2"/>
      <c r="G1213" s="67"/>
      <c r="H1213" s="67"/>
      <c r="I1213" s="67"/>
      <c r="J1213" s="2"/>
    </row>
    <row r="1214" spans="3:10" x14ac:dyDescent="0.25">
      <c r="C1214" s="2"/>
      <c r="D1214" s="134"/>
      <c r="E1214" s="3"/>
      <c r="F1214" s="2"/>
      <c r="G1214" s="67"/>
      <c r="H1214" s="67"/>
      <c r="I1214" s="67"/>
      <c r="J1214" s="2"/>
    </row>
    <row r="1215" spans="3:10" x14ac:dyDescent="0.25">
      <c r="C1215" s="2"/>
      <c r="D1215" s="134"/>
      <c r="E1215" s="3"/>
      <c r="F1215" s="2"/>
      <c r="G1215" s="67"/>
      <c r="H1215" s="67"/>
      <c r="I1215" s="67"/>
      <c r="J1215" s="2"/>
    </row>
    <row r="1216" spans="3:10" x14ac:dyDescent="0.25">
      <c r="C1216" s="2"/>
      <c r="D1216" s="134"/>
      <c r="E1216" s="3"/>
      <c r="F1216" s="2"/>
      <c r="G1216" s="67"/>
      <c r="H1216" s="67"/>
      <c r="I1216" s="67"/>
      <c r="J1216" s="2"/>
    </row>
    <row r="1217" spans="3:10" x14ac:dyDescent="0.25">
      <c r="C1217" s="2"/>
      <c r="D1217" s="134"/>
      <c r="E1217" s="3"/>
      <c r="F1217" s="2"/>
      <c r="G1217" s="67"/>
      <c r="H1217" s="67"/>
      <c r="I1217" s="67"/>
      <c r="J1217" s="2"/>
    </row>
    <row r="1218" spans="3:10" x14ac:dyDescent="0.25">
      <c r="C1218" s="2"/>
      <c r="D1218" s="134"/>
      <c r="E1218" s="3"/>
      <c r="F1218" s="2"/>
      <c r="G1218" s="67"/>
      <c r="H1218" s="67"/>
      <c r="I1218" s="67"/>
      <c r="J1218" s="2"/>
    </row>
    <row r="1219" spans="3:10" x14ac:dyDescent="0.25">
      <c r="C1219" s="2"/>
      <c r="D1219" s="134"/>
      <c r="E1219" s="3"/>
      <c r="F1219" s="2"/>
      <c r="G1219" s="67"/>
      <c r="H1219" s="67"/>
      <c r="I1219" s="67"/>
      <c r="J1219" s="2"/>
    </row>
    <row r="1220" spans="3:10" x14ac:dyDescent="0.25">
      <c r="C1220" s="2"/>
      <c r="D1220" s="134"/>
      <c r="E1220" s="3"/>
      <c r="F1220" s="2"/>
      <c r="G1220" s="67"/>
      <c r="H1220" s="67"/>
      <c r="I1220" s="67"/>
      <c r="J1220" s="2"/>
    </row>
    <row r="1221" spans="3:10" x14ac:dyDescent="0.25">
      <c r="C1221" s="2"/>
      <c r="D1221" s="134"/>
      <c r="E1221" s="3"/>
      <c r="F1221" s="2"/>
      <c r="G1221" s="67"/>
      <c r="H1221" s="67"/>
      <c r="I1221" s="67"/>
      <c r="J1221" s="2"/>
    </row>
    <row r="1222" spans="3:10" x14ac:dyDescent="0.25">
      <c r="C1222" s="2"/>
      <c r="D1222" s="134"/>
      <c r="E1222" s="3"/>
      <c r="F1222" s="2"/>
      <c r="G1222" s="67"/>
      <c r="H1222" s="67"/>
      <c r="I1222" s="67"/>
      <c r="J1222" s="2"/>
    </row>
    <row r="1223" spans="3:10" x14ac:dyDescent="0.25">
      <c r="C1223" s="2"/>
      <c r="D1223" s="134"/>
      <c r="E1223" s="3"/>
      <c r="F1223" s="2"/>
      <c r="G1223" s="67"/>
      <c r="H1223" s="67"/>
      <c r="I1223" s="67"/>
      <c r="J1223" s="2"/>
    </row>
    <row r="1224" spans="3:10" x14ac:dyDescent="0.25">
      <c r="C1224" s="2"/>
      <c r="D1224" s="134"/>
      <c r="E1224" s="3"/>
      <c r="F1224" s="2"/>
      <c r="G1224" s="67"/>
      <c r="H1224" s="67"/>
      <c r="I1224" s="67"/>
      <c r="J1224" s="2"/>
    </row>
    <row r="1225" spans="3:10" x14ac:dyDescent="0.25">
      <c r="C1225" s="2"/>
      <c r="D1225" s="134"/>
      <c r="E1225" s="3"/>
      <c r="F1225" s="2"/>
      <c r="G1225" s="67"/>
      <c r="H1225" s="67"/>
      <c r="I1225" s="67"/>
      <c r="J1225" s="2"/>
    </row>
    <row r="1226" spans="3:10" x14ac:dyDescent="0.25">
      <c r="C1226" s="2"/>
      <c r="D1226" s="134"/>
      <c r="E1226" s="3"/>
      <c r="F1226" s="2"/>
      <c r="G1226" s="67"/>
      <c r="H1226" s="67"/>
      <c r="I1226" s="67"/>
      <c r="J1226" s="2"/>
    </row>
    <row r="1227" spans="3:10" x14ac:dyDescent="0.25">
      <c r="C1227" s="2"/>
      <c r="D1227" s="134"/>
      <c r="E1227" s="3"/>
      <c r="F1227" s="2"/>
      <c r="G1227" s="67"/>
      <c r="H1227" s="67"/>
      <c r="I1227" s="67"/>
      <c r="J1227" s="2"/>
    </row>
    <row r="1228" spans="3:10" x14ac:dyDescent="0.25">
      <c r="C1228" s="2"/>
      <c r="D1228" s="134"/>
      <c r="E1228" s="3"/>
      <c r="F1228" s="2"/>
      <c r="G1228" s="67"/>
      <c r="H1228" s="67"/>
      <c r="I1228" s="67"/>
      <c r="J1228" s="2"/>
    </row>
    <row r="1229" spans="3:10" x14ac:dyDescent="0.25">
      <c r="C1229" s="2"/>
      <c r="D1229" s="134"/>
      <c r="E1229" s="3"/>
      <c r="F1229" s="2"/>
      <c r="G1229" s="67"/>
      <c r="H1229" s="67"/>
      <c r="I1229" s="67"/>
      <c r="J1229" s="2"/>
    </row>
    <row r="1230" spans="3:10" x14ac:dyDescent="0.25">
      <c r="C1230" s="2"/>
      <c r="D1230" s="134"/>
      <c r="E1230" s="3"/>
      <c r="F1230" s="2"/>
      <c r="G1230" s="67"/>
      <c r="H1230" s="67"/>
      <c r="I1230" s="67"/>
      <c r="J1230" s="2"/>
    </row>
    <row r="1231" spans="3:10" x14ac:dyDescent="0.25">
      <c r="C1231" s="2"/>
      <c r="D1231" s="134"/>
      <c r="E1231" s="3"/>
      <c r="F1231" s="2"/>
      <c r="G1231" s="67"/>
      <c r="H1231" s="67"/>
      <c r="I1231" s="67"/>
      <c r="J1231" s="2"/>
    </row>
    <row r="1232" spans="3:10" x14ac:dyDescent="0.25">
      <c r="C1232" s="2"/>
      <c r="D1232" s="134"/>
      <c r="E1232" s="3"/>
      <c r="F1232" s="2"/>
      <c r="G1232" s="67"/>
      <c r="H1232" s="67"/>
      <c r="I1232" s="67"/>
      <c r="J1232" s="2"/>
    </row>
    <row r="1233" spans="3:10" x14ac:dyDescent="0.25">
      <c r="C1233" s="2"/>
      <c r="D1233" s="134"/>
      <c r="E1233" s="3"/>
      <c r="F1233" s="2"/>
      <c r="G1233" s="67"/>
      <c r="H1233" s="67"/>
      <c r="I1233" s="67"/>
      <c r="J1233" s="2"/>
    </row>
    <row r="1234" spans="3:10" x14ac:dyDescent="0.25">
      <c r="C1234" s="2"/>
      <c r="D1234" s="134"/>
      <c r="E1234" s="3"/>
      <c r="F1234" s="2"/>
      <c r="G1234" s="67"/>
      <c r="H1234" s="67"/>
      <c r="I1234" s="67"/>
      <c r="J1234" s="2"/>
    </row>
    <row r="1235" spans="3:10" x14ac:dyDescent="0.25">
      <c r="C1235" s="2"/>
      <c r="D1235" s="134"/>
      <c r="E1235" s="3"/>
      <c r="F1235" s="2"/>
      <c r="G1235" s="67"/>
      <c r="H1235" s="67"/>
      <c r="I1235" s="67"/>
      <c r="J1235" s="2"/>
    </row>
    <row r="1236" spans="3:10" x14ac:dyDescent="0.25">
      <c r="C1236" s="2"/>
      <c r="D1236" s="134"/>
      <c r="E1236" s="3"/>
      <c r="F1236" s="2"/>
      <c r="G1236" s="67"/>
      <c r="H1236" s="67"/>
      <c r="I1236" s="67"/>
      <c r="J1236" s="2"/>
    </row>
    <row r="1237" spans="3:10" x14ac:dyDescent="0.25">
      <c r="C1237" s="2"/>
      <c r="D1237" s="134"/>
      <c r="E1237" s="3"/>
      <c r="F1237" s="2"/>
      <c r="G1237" s="67"/>
      <c r="H1237" s="67"/>
      <c r="I1237" s="67"/>
      <c r="J1237" s="2"/>
    </row>
    <row r="1238" spans="3:10" x14ac:dyDescent="0.25">
      <c r="C1238" s="2"/>
      <c r="D1238" s="134"/>
      <c r="E1238" s="3"/>
      <c r="F1238" s="2"/>
      <c r="G1238" s="67"/>
      <c r="H1238" s="67"/>
      <c r="I1238" s="67"/>
      <c r="J1238" s="2"/>
    </row>
    <row r="1239" spans="3:10" x14ac:dyDescent="0.25">
      <c r="C1239" s="2"/>
      <c r="D1239" s="134"/>
      <c r="E1239" s="3"/>
      <c r="F1239" s="2"/>
      <c r="G1239" s="67"/>
      <c r="H1239" s="67"/>
      <c r="I1239" s="67"/>
      <c r="J1239" s="2"/>
    </row>
    <row r="1240" spans="3:10" x14ac:dyDescent="0.25">
      <c r="C1240" s="2"/>
      <c r="D1240" s="134"/>
      <c r="E1240" s="3"/>
      <c r="F1240" s="2"/>
      <c r="G1240" s="67"/>
      <c r="H1240" s="67"/>
      <c r="I1240" s="67"/>
      <c r="J1240" s="2"/>
    </row>
    <row r="1241" spans="3:10" x14ac:dyDescent="0.25">
      <c r="C1241" s="2"/>
      <c r="D1241" s="134"/>
      <c r="E1241" s="3"/>
      <c r="F1241" s="2"/>
      <c r="G1241" s="67"/>
      <c r="H1241" s="67"/>
      <c r="I1241" s="67"/>
      <c r="J1241" s="2"/>
    </row>
    <row r="1242" spans="3:10" x14ac:dyDescent="0.25">
      <c r="C1242" s="2"/>
      <c r="D1242" s="134"/>
      <c r="E1242" s="3"/>
      <c r="F1242" s="2"/>
      <c r="G1242" s="67"/>
      <c r="H1242" s="67"/>
      <c r="I1242" s="67"/>
      <c r="J1242" s="2"/>
    </row>
    <row r="1243" spans="3:10" x14ac:dyDescent="0.25">
      <c r="C1243" s="2"/>
      <c r="D1243" s="134"/>
      <c r="E1243" s="3"/>
      <c r="F1243" s="2"/>
      <c r="G1243" s="67"/>
      <c r="H1243" s="67"/>
      <c r="I1243" s="67"/>
      <c r="J1243" s="2"/>
    </row>
    <row r="1244" spans="3:10" x14ac:dyDescent="0.25">
      <c r="C1244" s="2"/>
      <c r="D1244" s="134"/>
      <c r="E1244" s="3"/>
      <c r="F1244" s="2"/>
      <c r="G1244" s="67"/>
      <c r="H1244" s="67"/>
      <c r="I1244" s="67"/>
      <c r="J1244" s="2"/>
    </row>
    <row r="1245" spans="3:10" x14ac:dyDescent="0.25">
      <c r="C1245" s="2"/>
      <c r="D1245" s="134"/>
      <c r="E1245" s="3"/>
      <c r="F1245" s="2"/>
      <c r="G1245" s="67"/>
      <c r="H1245" s="67"/>
      <c r="I1245" s="67"/>
      <c r="J1245" s="2"/>
    </row>
    <row r="1246" spans="3:10" x14ac:dyDescent="0.25">
      <c r="C1246" s="2"/>
      <c r="D1246" s="134"/>
      <c r="E1246" s="3"/>
      <c r="F1246" s="2"/>
      <c r="G1246" s="67"/>
      <c r="H1246" s="67"/>
      <c r="I1246" s="67"/>
      <c r="J1246" s="2"/>
    </row>
    <row r="1247" spans="3:10" x14ac:dyDescent="0.25">
      <c r="C1247" s="2"/>
      <c r="D1247" s="134"/>
      <c r="E1247" s="3"/>
      <c r="F1247" s="2"/>
      <c r="G1247" s="67"/>
      <c r="H1247" s="67"/>
      <c r="I1247" s="67"/>
      <c r="J1247" s="2"/>
    </row>
    <row r="1248" spans="3:10" x14ac:dyDescent="0.25">
      <c r="C1248" s="2"/>
      <c r="D1248" s="134"/>
      <c r="E1248" s="3"/>
      <c r="F1248" s="2"/>
      <c r="G1248" s="67"/>
      <c r="H1248" s="67"/>
      <c r="I1248" s="67"/>
      <c r="J1248" s="2"/>
    </row>
    <row r="1249" spans="3:10" x14ac:dyDescent="0.25">
      <c r="C1249" s="2"/>
      <c r="D1249" s="134"/>
      <c r="E1249" s="3"/>
      <c r="F1249" s="2"/>
      <c r="G1249" s="67"/>
      <c r="H1249" s="67"/>
      <c r="I1249" s="67"/>
      <c r="J1249" s="2"/>
    </row>
    <row r="1250" spans="3:10" x14ac:dyDescent="0.25">
      <c r="C1250" s="2"/>
      <c r="D1250" s="134"/>
      <c r="E1250" s="3"/>
      <c r="F1250" s="2"/>
      <c r="G1250" s="67"/>
      <c r="H1250" s="67"/>
      <c r="I1250" s="67"/>
      <c r="J1250" s="2"/>
    </row>
    <row r="1251" spans="3:10" x14ac:dyDescent="0.25">
      <c r="C1251" s="2"/>
      <c r="D1251" s="134"/>
      <c r="E1251" s="3"/>
      <c r="F1251" s="2"/>
      <c r="G1251" s="67"/>
      <c r="H1251" s="67"/>
      <c r="I1251" s="67"/>
      <c r="J1251" s="2"/>
    </row>
    <row r="1252" spans="3:10" x14ac:dyDescent="0.25">
      <c r="C1252" s="2"/>
      <c r="D1252" s="134"/>
      <c r="E1252" s="3"/>
      <c r="F1252" s="2"/>
      <c r="G1252" s="67"/>
      <c r="H1252" s="67"/>
      <c r="I1252" s="67"/>
      <c r="J1252" s="2"/>
    </row>
    <row r="1253" spans="3:10" x14ac:dyDescent="0.25">
      <c r="C1253" s="2"/>
      <c r="D1253" s="134"/>
      <c r="E1253" s="3"/>
      <c r="F1253" s="2"/>
      <c r="G1253" s="67"/>
      <c r="H1253" s="67"/>
      <c r="I1253" s="67"/>
      <c r="J1253" s="2"/>
    </row>
    <row r="1254" spans="3:10" x14ac:dyDescent="0.25">
      <c r="C1254" s="2"/>
      <c r="D1254" s="134"/>
      <c r="E1254" s="3"/>
      <c r="F1254" s="2"/>
      <c r="G1254" s="67"/>
      <c r="H1254" s="67"/>
      <c r="I1254" s="67"/>
      <c r="J1254" s="2"/>
    </row>
    <row r="1255" spans="3:10" x14ac:dyDescent="0.25">
      <c r="C1255" s="2"/>
      <c r="D1255" s="134"/>
      <c r="E1255" s="3"/>
      <c r="F1255" s="2"/>
      <c r="G1255" s="67"/>
      <c r="H1255" s="67"/>
      <c r="I1255" s="67"/>
      <c r="J1255" s="2"/>
    </row>
    <row r="1256" spans="3:10" x14ac:dyDescent="0.25">
      <c r="C1256" s="2"/>
      <c r="D1256" s="134"/>
      <c r="E1256" s="3"/>
      <c r="F1256" s="2"/>
      <c r="G1256" s="67"/>
      <c r="H1256" s="67"/>
      <c r="I1256" s="67"/>
      <c r="J1256" s="2"/>
    </row>
    <row r="1257" spans="3:10" x14ac:dyDescent="0.25">
      <c r="C1257" s="2"/>
      <c r="D1257" s="134"/>
      <c r="E1257" s="3"/>
      <c r="F1257" s="2"/>
      <c r="G1257" s="67"/>
      <c r="H1257" s="67"/>
      <c r="I1257" s="67"/>
      <c r="J1257" s="2"/>
    </row>
    <row r="1258" spans="3:10" x14ac:dyDescent="0.25">
      <c r="C1258" s="2"/>
      <c r="D1258" s="134"/>
      <c r="E1258" s="3"/>
      <c r="F1258" s="2"/>
      <c r="G1258" s="67"/>
      <c r="H1258" s="67"/>
      <c r="I1258" s="67"/>
      <c r="J1258" s="2"/>
    </row>
    <row r="1259" spans="3:10" x14ac:dyDescent="0.25">
      <c r="C1259" s="2"/>
      <c r="D1259" s="134"/>
      <c r="E1259" s="3"/>
      <c r="F1259" s="2"/>
      <c r="G1259" s="67"/>
      <c r="H1259" s="67"/>
      <c r="I1259" s="67"/>
      <c r="J1259" s="2"/>
    </row>
    <row r="1260" spans="3:10" x14ac:dyDescent="0.25">
      <c r="C1260" s="2"/>
      <c r="D1260" s="134"/>
      <c r="E1260" s="3"/>
      <c r="F1260" s="2"/>
      <c r="G1260" s="67"/>
      <c r="H1260" s="67"/>
      <c r="I1260" s="67"/>
      <c r="J1260" s="2"/>
    </row>
    <row r="1261" spans="3:10" x14ac:dyDescent="0.25">
      <c r="C1261" s="2"/>
      <c r="D1261" s="134"/>
      <c r="E1261" s="3"/>
      <c r="F1261" s="2"/>
      <c r="G1261" s="67"/>
      <c r="H1261" s="67"/>
      <c r="I1261" s="67"/>
      <c r="J1261" s="2"/>
    </row>
    <row r="1262" spans="3:10" x14ac:dyDescent="0.25">
      <c r="C1262" s="2"/>
      <c r="D1262" s="134"/>
      <c r="E1262" s="3"/>
      <c r="F1262" s="2"/>
      <c r="G1262" s="67"/>
      <c r="H1262" s="67"/>
      <c r="I1262" s="67"/>
      <c r="J1262" s="2"/>
    </row>
    <row r="1263" spans="3:10" x14ac:dyDescent="0.25">
      <c r="C1263" s="2"/>
      <c r="D1263" s="134"/>
      <c r="E1263" s="3"/>
      <c r="F1263" s="2"/>
      <c r="G1263" s="67"/>
      <c r="H1263" s="67"/>
      <c r="I1263" s="67"/>
      <c r="J1263" s="2"/>
    </row>
    <row r="1264" spans="3:10" x14ac:dyDescent="0.25">
      <c r="C1264" s="2"/>
      <c r="D1264" s="134"/>
      <c r="E1264" s="3"/>
      <c r="F1264" s="2"/>
      <c r="G1264" s="67"/>
      <c r="H1264" s="67"/>
      <c r="I1264" s="67"/>
      <c r="J1264" s="2"/>
    </row>
    <row r="1265" spans="3:10" x14ac:dyDescent="0.25">
      <c r="C1265" s="2"/>
      <c r="D1265" s="134"/>
      <c r="E1265" s="3"/>
      <c r="F1265" s="2"/>
      <c r="G1265" s="67"/>
      <c r="H1265" s="67"/>
      <c r="I1265" s="67"/>
      <c r="J1265" s="2"/>
    </row>
    <row r="1266" spans="3:10" x14ac:dyDescent="0.25">
      <c r="C1266" s="2"/>
      <c r="D1266" s="134"/>
      <c r="E1266" s="3"/>
      <c r="F1266" s="2"/>
      <c r="G1266" s="67"/>
      <c r="H1266" s="67"/>
      <c r="I1266" s="67"/>
      <c r="J1266" s="2"/>
    </row>
    <row r="1267" spans="3:10" x14ac:dyDescent="0.25">
      <c r="C1267" s="2"/>
      <c r="D1267" s="134"/>
      <c r="E1267" s="3"/>
      <c r="F1267" s="2"/>
      <c r="G1267" s="67"/>
      <c r="H1267" s="67"/>
      <c r="I1267" s="67"/>
      <c r="J1267" s="2"/>
    </row>
    <row r="1268" spans="3:10" x14ac:dyDescent="0.25">
      <c r="C1268" s="2"/>
      <c r="D1268" s="134"/>
      <c r="E1268" s="3"/>
      <c r="F1268" s="2"/>
      <c r="G1268" s="67"/>
      <c r="H1268" s="67"/>
      <c r="I1268" s="67"/>
      <c r="J1268" s="2"/>
    </row>
    <row r="1269" spans="3:10" x14ac:dyDescent="0.25">
      <c r="C1269" s="2"/>
      <c r="D1269" s="134"/>
      <c r="E1269" s="3"/>
      <c r="F1269" s="2"/>
      <c r="G1269" s="67"/>
      <c r="H1269" s="67"/>
      <c r="I1269" s="67"/>
      <c r="J1269" s="2"/>
    </row>
    <row r="1270" spans="3:10" x14ac:dyDescent="0.25">
      <c r="C1270" s="2"/>
      <c r="D1270" s="134"/>
      <c r="E1270" s="3"/>
      <c r="F1270" s="2"/>
      <c r="G1270" s="67"/>
      <c r="H1270" s="67"/>
      <c r="I1270" s="67"/>
      <c r="J1270" s="2"/>
    </row>
    <row r="1271" spans="3:10" x14ac:dyDescent="0.25">
      <c r="C1271" s="2"/>
      <c r="D1271" s="134"/>
      <c r="E1271" s="3"/>
      <c r="F1271" s="2"/>
      <c r="G1271" s="67"/>
      <c r="H1271" s="67"/>
      <c r="I1271" s="67"/>
      <c r="J1271" s="2"/>
    </row>
    <row r="1272" spans="3:10" x14ac:dyDescent="0.25">
      <c r="C1272" s="2"/>
      <c r="D1272" s="134"/>
      <c r="E1272" s="3"/>
      <c r="F1272" s="2"/>
      <c r="G1272" s="67"/>
      <c r="H1272" s="67"/>
      <c r="I1272" s="67"/>
      <c r="J1272" s="2"/>
    </row>
    <row r="1273" spans="3:10" x14ac:dyDescent="0.25">
      <c r="C1273" s="2"/>
      <c r="D1273" s="134"/>
      <c r="E1273" s="3"/>
      <c r="F1273" s="2"/>
      <c r="G1273" s="67"/>
      <c r="H1273" s="67"/>
      <c r="I1273" s="67"/>
      <c r="J1273" s="2"/>
    </row>
    <row r="1274" spans="3:10" x14ac:dyDescent="0.25">
      <c r="C1274" s="2"/>
      <c r="D1274" s="134"/>
      <c r="E1274" s="3"/>
      <c r="F1274" s="2"/>
      <c r="G1274" s="67"/>
      <c r="H1274" s="67"/>
      <c r="I1274" s="67"/>
      <c r="J1274" s="2"/>
    </row>
    <row r="1275" spans="3:10" x14ac:dyDescent="0.25">
      <c r="C1275" s="2"/>
      <c r="D1275" s="134"/>
      <c r="E1275" s="3"/>
      <c r="F1275" s="2"/>
      <c r="G1275" s="67"/>
      <c r="H1275" s="67"/>
      <c r="I1275" s="67"/>
      <c r="J1275" s="2"/>
    </row>
    <row r="1276" spans="3:10" x14ac:dyDescent="0.25">
      <c r="C1276" s="2"/>
      <c r="D1276" s="134"/>
      <c r="E1276" s="3"/>
      <c r="F1276" s="2"/>
      <c r="G1276" s="67"/>
      <c r="H1276" s="67"/>
      <c r="I1276" s="67"/>
      <c r="J1276" s="2"/>
    </row>
    <row r="1277" spans="3:10" x14ac:dyDescent="0.25">
      <c r="C1277" s="2"/>
      <c r="D1277" s="134"/>
      <c r="E1277" s="3"/>
      <c r="F1277" s="2"/>
      <c r="G1277" s="67"/>
      <c r="H1277" s="67"/>
      <c r="I1277" s="67"/>
      <c r="J1277" s="2"/>
    </row>
    <row r="1278" spans="3:10" x14ac:dyDescent="0.25">
      <c r="C1278" s="2"/>
      <c r="D1278" s="134"/>
      <c r="E1278" s="3"/>
      <c r="F1278" s="2"/>
      <c r="G1278" s="67"/>
      <c r="H1278" s="67"/>
      <c r="I1278" s="67"/>
      <c r="J1278" s="2"/>
    </row>
    <row r="1279" spans="3:10" x14ac:dyDescent="0.25">
      <c r="C1279" s="2"/>
      <c r="D1279" s="134"/>
      <c r="E1279" s="3"/>
      <c r="F1279" s="2"/>
      <c r="G1279" s="67"/>
      <c r="H1279" s="67"/>
      <c r="I1279" s="67"/>
      <c r="J1279" s="2"/>
    </row>
    <row r="1280" spans="3:10" x14ac:dyDescent="0.25">
      <c r="C1280" s="2"/>
      <c r="D1280" s="134"/>
      <c r="E1280" s="3"/>
      <c r="F1280" s="2"/>
      <c r="G1280" s="67"/>
      <c r="H1280" s="67"/>
      <c r="I1280" s="67"/>
      <c r="J1280" s="2"/>
    </row>
    <row r="1281" spans="3:10" x14ac:dyDescent="0.25">
      <c r="C1281" s="2"/>
      <c r="D1281" s="134"/>
      <c r="E1281" s="3"/>
      <c r="F1281" s="2"/>
      <c r="G1281" s="67"/>
      <c r="H1281" s="67"/>
      <c r="I1281" s="67"/>
      <c r="J1281" s="2"/>
    </row>
    <row r="1282" spans="3:10" x14ac:dyDescent="0.25">
      <c r="C1282" s="2"/>
      <c r="D1282" s="134"/>
      <c r="E1282" s="3"/>
      <c r="F1282" s="2"/>
      <c r="G1282" s="67"/>
      <c r="H1282" s="67"/>
      <c r="I1282" s="67"/>
      <c r="J1282" s="2"/>
    </row>
    <row r="1283" spans="3:10" x14ac:dyDescent="0.25">
      <c r="C1283" s="2"/>
      <c r="D1283" s="134"/>
      <c r="E1283" s="3"/>
      <c r="F1283" s="2"/>
      <c r="G1283" s="67"/>
      <c r="H1283" s="67"/>
      <c r="I1283" s="67"/>
      <c r="J1283" s="2"/>
    </row>
    <row r="1284" spans="3:10" x14ac:dyDescent="0.25">
      <c r="C1284" s="2"/>
      <c r="D1284" s="134"/>
      <c r="E1284" s="3"/>
      <c r="F1284" s="2"/>
      <c r="G1284" s="67"/>
      <c r="H1284" s="67"/>
      <c r="I1284" s="67"/>
      <c r="J1284" s="2"/>
    </row>
    <row r="1285" spans="3:10" x14ac:dyDescent="0.25">
      <c r="C1285" s="2"/>
      <c r="D1285" s="134"/>
      <c r="E1285" s="3"/>
      <c r="F1285" s="2"/>
      <c r="G1285" s="67"/>
      <c r="H1285" s="67"/>
      <c r="I1285" s="67"/>
      <c r="J1285" s="2"/>
    </row>
    <row r="1286" spans="3:10" x14ac:dyDescent="0.25">
      <c r="C1286" s="2"/>
      <c r="D1286" s="134"/>
      <c r="E1286" s="3"/>
      <c r="F1286" s="2"/>
      <c r="G1286" s="67"/>
      <c r="H1286" s="67"/>
      <c r="I1286" s="67"/>
      <c r="J1286" s="2"/>
    </row>
    <row r="1287" spans="3:10" x14ac:dyDescent="0.25">
      <c r="C1287" s="2"/>
      <c r="D1287" s="134"/>
      <c r="E1287" s="3"/>
      <c r="F1287" s="2"/>
      <c r="G1287" s="67"/>
      <c r="H1287" s="67"/>
      <c r="I1287" s="67"/>
      <c r="J1287" s="2"/>
    </row>
    <row r="1288" spans="3:10" x14ac:dyDescent="0.25">
      <c r="C1288" s="2"/>
      <c r="D1288" s="134"/>
      <c r="E1288" s="3"/>
      <c r="F1288" s="2"/>
      <c r="G1288" s="67"/>
      <c r="H1288" s="67"/>
      <c r="I1288" s="67"/>
      <c r="J1288" s="2"/>
    </row>
    <row r="1289" spans="3:10" x14ac:dyDescent="0.25">
      <c r="C1289" s="2"/>
      <c r="D1289" s="134"/>
      <c r="E1289" s="3"/>
      <c r="F1289" s="2"/>
      <c r="G1289" s="67"/>
      <c r="H1289" s="67"/>
      <c r="I1289" s="67"/>
      <c r="J1289" s="2"/>
    </row>
    <row r="1290" spans="3:10" x14ac:dyDescent="0.25">
      <c r="C1290" s="2"/>
      <c r="D1290" s="134"/>
      <c r="E1290" s="3"/>
      <c r="F1290" s="2"/>
      <c r="G1290" s="67"/>
      <c r="H1290" s="67"/>
      <c r="I1290" s="67"/>
      <c r="J1290" s="2"/>
    </row>
    <row r="1291" spans="3:10" x14ac:dyDescent="0.25">
      <c r="C1291" s="2"/>
      <c r="D1291" s="134"/>
      <c r="E1291" s="3"/>
      <c r="F1291" s="2"/>
      <c r="G1291" s="67"/>
      <c r="H1291" s="67"/>
      <c r="I1291" s="67"/>
      <c r="J1291" s="2"/>
    </row>
    <row r="1292" spans="3:10" x14ac:dyDescent="0.25">
      <c r="C1292" s="2"/>
      <c r="D1292" s="134"/>
      <c r="E1292" s="3"/>
      <c r="F1292" s="2"/>
      <c r="G1292" s="67"/>
      <c r="H1292" s="67"/>
      <c r="I1292" s="67"/>
      <c r="J1292" s="2"/>
    </row>
    <row r="1293" spans="3:10" x14ac:dyDescent="0.25">
      <c r="C1293" s="2"/>
      <c r="D1293" s="134"/>
      <c r="E1293" s="3"/>
      <c r="F1293" s="2"/>
      <c r="G1293" s="67"/>
      <c r="H1293" s="67"/>
      <c r="I1293" s="67"/>
      <c r="J1293" s="2"/>
    </row>
    <row r="1294" spans="3:10" x14ac:dyDescent="0.25">
      <c r="C1294" s="2"/>
      <c r="D1294" s="134"/>
      <c r="E1294" s="3"/>
      <c r="F1294" s="2"/>
      <c r="G1294" s="67"/>
      <c r="H1294" s="67"/>
      <c r="I1294" s="67"/>
      <c r="J1294" s="2"/>
    </row>
    <row r="1295" spans="3:10" x14ac:dyDescent="0.25">
      <c r="C1295" s="2"/>
      <c r="D1295" s="134"/>
      <c r="E1295" s="3"/>
      <c r="F1295" s="2"/>
      <c r="G1295" s="67"/>
      <c r="H1295" s="67"/>
      <c r="I1295" s="67"/>
      <c r="J1295" s="2"/>
    </row>
    <row r="1296" spans="3:10" x14ac:dyDescent="0.25">
      <c r="C1296" s="2"/>
      <c r="D1296" s="134"/>
      <c r="E1296" s="3"/>
      <c r="F1296" s="2"/>
      <c r="G1296" s="67"/>
      <c r="H1296" s="67"/>
      <c r="I1296" s="67"/>
      <c r="J1296" s="2"/>
    </row>
    <row r="1297" spans="3:10" x14ac:dyDescent="0.25">
      <c r="C1297" s="2"/>
      <c r="D1297" s="134"/>
      <c r="E1297" s="3"/>
      <c r="F1297" s="2"/>
      <c r="G1297" s="67"/>
      <c r="H1297" s="67"/>
      <c r="I1297" s="67"/>
      <c r="J1297" s="2"/>
    </row>
    <row r="1298" spans="3:10" x14ac:dyDescent="0.25">
      <c r="C1298" s="2"/>
      <c r="D1298" s="134"/>
      <c r="E1298" s="3"/>
      <c r="F1298" s="2"/>
      <c r="G1298" s="67"/>
      <c r="H1298" s="67"/>
      <c r="I1298" s="67"/>
      <c r="J1298" s="2"/>
    </row>
    <row r="1299" spans="3:10" x14ac:dyDescent="0.25">
      <c r="C1299" s="2"/>
      <c r="D1299" s="134"/>
      <c r="E1299" s="3"/>
      <c r="F1299" s="2"/>
      <c r="G1299" s="67"/>
      <c r="H1299" s="67"/>
      <c r="I1299" s="67"/>
      <c r="J1299" s="2"/>
    </row>
    <row r="1300" spans="3:10" x14ac:dyDescent="0.25">
      <c r="C1300" s="2"/>
      <c r="D1300" s="134"/>
      <c r="E1300" s="3"/>
      <c r="F1300" s="2"/>
      <c r="G1300" s="67"/>
      <c r="H1300" s="67"/>
      <c r="I1300" s="67"/>
      <c r="J1300" s="2"/>
    </row>
    <row r="1301" spans="3:10" x14ac:dyDescent="0.25">
      <c r="C1301" s="2"/>
      <c r="D1301" s="134"/>
      <c r="E1301" s="3"/>
      <c r="F1301" s="2"/>
      <c r="G1301" s="67"/>
      <c r="H1301" s="67"/>
      <c r="I1301" s="67"/>
      <c r="J1301" s="2"/>
    </row>
    <row r="1302" spans="3:10" x14ac:dyDescent="0.25">
      <c r="C1302" s="2"/>
      <c r="D1302" s="134"/>
      <c r="E1302" s="3"/>
      <c r="F1302" s="2"/>
      <c r="G1302" s="67"/>
      <c r="H1302" s="67"/>
      <c r="I1302" s="67"/>
      <c r="J1302" s="2"/>
    </row>
    <row r="1303" spans="3:10" x14ac:dyDescent="0.25">
      <c r="C1303" s="2"/>
      <c r="D1303" s="134"/>
      <c r="E1303" s="3"/>
      <c r="F1303" s="2"/>
      <c r="G1303" s="67"/>
      <c r="H1303" s="67"/>
      <c r="I1303" s="67"/>
      <c r="J1303" s="2"/>
    </row>
    <row r="1304" spans="3:10" x14ac:dyDescent="0.25">
      <c r="C1304" s="2"/>
      <c r="D1304" s="134"/>
      <c r="E1304" s="3"/>
      <c r="F1304" s="2"/>
      <c r="G1304" s="67"/>
      <c r="H1304" s="67"/>
      <c r="I1304" s="67"/>
      <c r="J1304" s="2"/>
    </row>
    <row r="1305" spans="3:10" x14ac:dyDescent="0.25">
      <c r="C1305" s="2"/>
      <c r="D1305" s="134"/>
      <c r="E1305" s="3"/>
      <c r="F1305" s="2"/>
      <c r="G1305" s="67"/>
      <c r="H1305" s="67"/>
      <c r="I1305" s="67"/>
      <c r="J1305" s="2"/>
    </row>
    <row r="1306" spans="3:10" x14ac:dyDescent="0.25">
      <c r="C1306" s="2"/>
      <c r="D1306" s="134"/>
      <c r="E1306" s="3"/>
      <c r="F1306" s="2"/>
      <c r="G1306" s="67"/>
      <c r="H1306" s="67"/>
      <c r="I1306" s="67"/>
      <c r="J1306" s="2"/>
    </row>
    <row r="1307" spans="3:10" x14ac:dyDescent="0.25">
      <c r="C1307" s="2"/>
      <c r="D1307" s="134"/>
      <c r="E1307" s="3"/>
      <c r="F1307" s="2"/>
      <c r="G1307" s="67"/>
      <c r="H1307" s="67"/>
      <c r="I1307" s="67"/>
      <c r="J1307" s="2"/>
    </row>
    <row r="1308" spans="3:10" x14ac:dyDescent="0.25">
      <c r="C1308" s="2"/>
      <c r="D1308" s="134"/>
      <c r="E1308" s="3"/>
      <c r="F1308" s="2"/>
      <c r="G1308" s="67"/>
      <c r="H1308" s="67"/>
      <c r="I1308" s="67"/>
      <c r="J1308" s="2"/>
    </row>
    <row r="1309" spans="3:10" x14ac:dyDescent="0.25">
      <c r="C1309" s="2"/>
      <c r="D1309" s="134"/>
      <c r="E1309" s="3"/>
      <c r="F1309" s="2"/>
      <c r="G1309" s="67"/>
      <c r="H1309" s="67"/>
      <c r="I1309" s="67"/>
      <c r="J1309" s="2"/>
    </row>
    <row r="1310" spans="3:10" x14ac:dyDescent="0.25">
      <c r="C1310" s="2"/>
      <c r="D1310" s="134"/>
      <c r="E1310" s="3"/>
      <c r="F1310" s="2"/>
      <c r="G1310" s="67"/>
      <c r="H1310" s="67"/>
      <c r="I1310" s="67"/>
      <c r="J1310" s="2"/>
    </row>
    <row r="1311" spans="3:10" x14ac:dyDescent="0.25">
      <c r="C1311" s="2"/>
      <c r="D1311" s="134"/>
      <c r="E1311" s="3"/>
      <c r="F1311" s="2"/>
      <c r="G1311" s="67"/>
      <c r="H1311" s="67"/>
      <c r="I1311" s="67"/>
      <c r="J1311" s="2"/>
    </row>
    <row r="1312" spans="3:10" x14ac:dyDescent="0.25">
      <c r="C1312" s="2"/>
      <c r="D1312" s="134"/>
      <c r="E1312" s="3"/>
      <c r="F1312" s="2"/>
      <c r="G1312" s="67"/>
      <c r="H1312" s="67"/>
      <c r="I1312" s="67"/>
      <c r="J1312" s="2"/>
    </row>
    <row r="1313" spans="3:10" x14ac:dyDescent="0.25">
      <c r="C1313" s="2"/>
      <c r="D1313" s="134"/>
      <c r="E1313" s="3"/>
      <c r="F1313" s="2"/>
      <c r="G1313" s="67"/>
      <c r="H1313" s="67"/>
      <c r="I1313" s="67"/>
      <c r="J1313" s="2"/>
    </row>
    <row r="1314" spans="3:10" x14ac:dyDescent="0.25">
      <c r="C1314" s="2"/>
      <c r="D1314" s="134"/>
      <c r="E1314" s="3"/>
      <c r="F1314" s="2"/>
      <c r="G1314" s="67"/>
      <c r="H1314" s="67"/>
      <c r="I1314" s="67"/>
      <c r="J1314" s="2"/>
    </row>
    <row r="1315" spans="3:10" x14ac:dyDescent="0.25">
      <c r="C1315" s="2"/>
      <c r="D1315" s="134"/>
      <c r="E1315" s="3"/>
      <c r="F1315" s="2"/>
      <c r="G1315" s="67"/>
      <c r="H1315" s="67"/>
      <c r="I1315" s="67"/>
      <c r="J1315" s="2"/>
    </row>
    <row r="1316" spans="3:10" x14ac:dyDescent="0.25">
      <c r="C1316" s="2"/>
      <c r="D1316" s="134"/>
      <c r="E1316" s="3"/>
      <c r="F1316" s="2"/>
      <c r="G1316" s="67"/>
      <c r="H1316" s="67"/>
      <c r="I1316" s="67"/>
      <c r="J1316" s="2"/>
    </row>
    <row r="1317" spans="3:10" x14ac:dyDescent="0.25">
      <c r="C1317" s="2"/>
      <c r="D1317" s="134"/>
      <c r="E1317" s="3"/>
      <c r="F1317" s="2"/>
      <c r="G1317" s="67"/>
      <c r="H1317" s="67"/>
      <c r="I1317" s="67"/>
      <c r="J1317" s="2"/>
    </row>
    <row r="1318" spans="3:10" x14ac:dyDescent="0.25">
      <c r="C1318" s="2"/>
      <c r="D1318" s="134"/>
      <c r="E1318" s="3"/>
      <c r="F1318" s="2"/>
      <c r="G1318" s="67"/>
      <c r="H1318" s="67"/>
      <c r="I1318" s="67"/>
      <c r="J1318" s="2"/>
    </row>
    <row r="1319" spans="3:10" x14ac:dyDescent="0.25">
      <c r="C1319" s="2"/>
      <c r="D1319" s="134"/>
      <c r="E1319" s="3"/>
      <c r="F1319" s="2"/>
      <c r="G1319" s="67"/>
      <c r="H1319" s="67"/>
      <c r="I1319" s="67"/>
      <c r="J1319" s="2"/>
    </row>
    <row r="1320" spans="3:10" x14ac:dyDescent="0.25">
      <c r="C1320" s="2"/>
      <c r="D1320" s="134"/>
      <c r="E1320" s="3"/>
      <c r="F1320" s="2"/>
      <c r="G1320" s="67"/>
      <c r="H1320" s="67"/>
      <c r="I1320" s="67"/>
      <c r="J1320" s="2"/>
    </row>
    <row r="1321" spans="3:10" x14ac:dyDescent="0.25">
      <c r="C1321" s="2"/>
      <c r="D1321" s="134"/>
      <c r="E1321" s="3"/>
      <c r="F1321" s="2"/>
      <c r="G1321" s="67"/>
      <c r="H1321" s="67"/>
      <c r="I1321" s="67"/>
      <c r="J1321" s="2"/>
    </row>
    <row r="1322" spans="3:10" x14ac:dyDescent="0.25">
      <c r="C1322" s="2"/>
      <c r="D1322" s="134"/>
      <c r="E1322" s="3"/>
      <c r="F1322" s="2"/>
      <c r="G1322" s="67"/>
      <c r="H1322" s="67"/>
      <c r="I1322" s="67"/>
      <c r="J1322" s="2"/>
    </row>
    <row r="1323" spans="3:10" x14ac:dyDescent="0.25">
      <c r="C1323" s="2"/>
      <c r="D1323" s="134"/>
      <c r="E1323" s="3"/>
      <c r="F1323" s="2"/>
      <c r="G1323" s="67"/>
      <c r="H1323" s="67"/>
      <c r="I1323" s="67"/>
      <c r="J1323" s="2"/>
    </row>
    <row r="1324" spans="3:10" x14ac:dyDescent="0.25">
      <c r="C1324" s="2"/>
      <c r="D1324" s="134"/>
      <c r="E1324" s="3"/>
      <c r="F1324" s="2"/>
      <c r="G1324" s="67"/>
      <c r="H1324" s="67"/>
      <c r="I1324" s="67"/>
      <c r="J1324" s="2"/>
    </row>
    <row r="1325" spans="3:10" x14ac:dyDescent="0.25">
      <c r="C1325" s="2"/>
      <c r="D1325" s="134"/>
      <c r="E1325" s="3"/>
      <c r="F1325" s="2"/>
      <c r="G1325" s="67"/>
      <c r="H1325" s="67"/>
      <c r="I1325" s="67"/>
      <c r="J1325" s="2"/>
    </row>
    <row r="1326" spans="3:10" x14ac:dyDescent="0.25">
      <c r="C1326" s="2"/>
      <c r="D1326" s="134"/>
      <c r="E1326" s="3"/>
      <c r="F1326" s="2"/>
      <c r="G1326" s="67"/>
      <c r="H1326" s="67"/>
      <c r="I1326" s="67"/>
      <c r="J1326" s="2"/>
    </row>
    <row r="1327" spans="3:10" x14ac:dyDescent="0.25">
      <c r="C1327" s="2"/>
      <c r="D1327" s="134"/>
      <c r="E1327" s="3"/>
      <c r="F1327" s="2"/>
      <c r="G1327" s="67"/>
      <c r="H1327" s="67"/>
      <c r="I1327" s="67"/>
      <c r="J1327" s="2"/>
    </row>
    <row r="1328" spans="3:10" x14ac:dyDescent="0.25">
      <c r="C1328" s="2"/>
      <c r="D1328" s="134"/>
      <c r="E1328" s="3"/>
      <c r="F1328" s="2"/>
      <c r="G1328" s="67"/>
      <c r="H1328" s="67"/>
      <c r="I1328" s="67"/>
      <c r="J1328" s="2"/>
    </row>
    <row r="1329" spans="3:10" x14ac:dyDescent="0.25">
      <c r="C1329" s="2"/>
      <c r="D1329" s="134"/>
      <c r="E1329" s="3"/>
      <c r="F1329" s="2"/>
      <c r="G1329" s="67"/>
      <c r="H1329" s="67"/>
      <c r="I1329" s="67"/>
      <c r="J1329" s="2"/>
    </row>
    <row r="1330" spans="3:10" x14ac:dyDescent="0.25">
      <c r="C1330" s="2"/>
      <c r="D1330" s="134"/>
      <c r="E1330" s="3"/>
      <c r="F1330" s="2"/>
      <c r="G1330" s="67"/>
      <c r="H1330" s="67"/>
      <c r="I1330" s="67"/>
      <c r="J1330" s="2"/>
    </row>
    <row r="1331" spans="3:10" x14ac:dyDescent="0.25">
      <c r="C1331" s="2"/>
      <c r="D1331" s="134"/>
      <c r="E1331" s="3"/>
      <c r="F1331" s="2"/>
      <c r="G1331" s="67"/>
      <c r="H1331" s="67"/>
      <c r="I1331" s="67"/>
      <c r="J1331" s="2"/>
    </row>
    <row r="1332" spans="3:10" x14ac:dyDescent="0.25">
      <c r="C1332" s="2"/>
      <c r="D1332" s="134"/>
      <c r="E1332" s="3"/>
      <c r="F1332" s="2"/>
      <c r="G1332" s="67"/>
      <c r="H1332" s="67"/>
      <c r="I1332" s="67"/>
      <c r="J1332" s="2"/>
    </row>
    <row r="1333" spans="3:10" x14ac:dyDescent="0.25">
      <c r="C1333" s="2"/>
      <c r="D1333" s="134"/>
      <c r="E1333" s="3"/>
      <c r="F1333" s="2"/>
      <c r="G1333" s="67"/>
      <c r="H1333" s="67"/>
      <c r="I1333" s="67"/>
      <c r="J1333" s="2"/>
    </row>
    <row r="1334" spans="3:10" x14ac:dyDescent="0.25">
      <c r="C1334" s="2"/>
      <c r="D1334" s="134"/>
      <c r="E1334" s="3"/>
      <c r="F1334" s="2"/>
      <c r="G1334" s="67"/>
      <c r="H1334" s="67"/>
      <c r="I1334" s="67"/>
      <c r="J1334" s="2"/>
    </row>
    <row r="1335" spans="3:10" x14ac:dyDescent="0.25">
      <c r="C1335" s="2"/>
      <c r="D1335" s="134"/>
      <c r="E1335" s="3"/>
      <c r="F1335" s="2"/>
      <c r="G1335" s="67"/>
      <c r="H1335" s="67"/>
      <c r="I1335" s="67"/>
      <c r="J1335" s="2"/>
    </row>
    <row r="1336" spans="3:10" x14ac:dyDescent="0.25">
      <c r="C1336" s="2"/>
      <c r="D1336" s="134"/>
      <c r="E1336" s="3"/>
      <c r="F1336" s="2"/>
      <c r="G1336" s="67"/>
      <c r="H1336" s="67"/>
      <c r="I1336" s="67"/>
      <c r="J1336" s="2"/>
    </row>
    <row r="1337" spans="3:10" x14ac:dyDescent="0.25">
      <c r="C1337" s="2"/>
      <c r="D1337" s="134"/>
      <c r="E1337" s="3"/>
      <c r="F1337" s="2"/>
      <c r="G1337" s="67"/>
      <c r="H1337" s="67"/>
      <c r="I1337" s="67"/>
      <c r="J1337" s="2"/>
    </row>
    <row r="1338" spans="3:10" x14ac:dyDescent="0.25">
      <c r="C1338" s="2"/>
      <c r="D1338" s="134"/>
      <c r="E1338" s="3"/>
      <c r="F1338" s="2"/>
      <c r="G1338" s="67"/>
      <c r="H1338" s="67"/>
      <c r="I1338" s="67"/>
      <c r="J1338" s="2"/>
    </row>
    <row r="1339" spans="3:10" x14ac:dyDescent="0.25">
      <c r="C1339" s="2"/>
      <c r="D1339" s="134"/>
      <c r="E1339" s="3"/>
      <c r="F1339" s="2"/>
      <c r="G1339" s="67"/>
      <c r="H1339" s="67"/>
      <c r="I1339" s="67"/>
      <c r="J1339" s="2"/>
    </row>
    <row r="1340" spans="3:10" x14ac:dyDescent="0.25">
      <c r="C1340" s="2"/>
      <c r="D1340" s="134"/>
      <c r="E1340" s="3"/>
      <c r="F1340" s="2"/>
      <c r="G1340" s="67"/>
      <c r="H1340" s="67"/>
      <c r="I1340" s="67"/>
      <c r="J1340" s="2"/>
    </row>
    <row r="1341" spans="3:10" x14ac:dyDescent="0.25">
      <c r="C1341" s="2"/>
      <c r="D1341" s="134"/>
      <c r="E1341" s="3"/>
      <c r="F1341" s="2"/>
      <c r="G1341" s="67"/>
      <c r="H1341" s="67"/>
      <c r="I1341" s="67"/>
      <c r="J1341" s="2"/>
    </row>
    <row r="1342" spans="3:10" x14ac:dyDescent="0.25">
      <c r="C1342" s="2"/>
      <c r="D1342" s="134"/>
      <c r="E1342" s="3"/>
      <c r="F1342" s="2"/>
      <c r="G1342" s="67"/>
      <c r="H1342" s="67"/>
      <c r="I1342" s="67"/>
      <c r="J1342" s="2"/>
    </row>
    <row r="1343" spans="3:10" x14ac:dyDescent="0.25">
      <c r="C1343" s="2"/>
      <c r="D1343" s="134"/>
      <c r="E1343" s="3"/>
      <c r="F1343" s="2"/>
      <c r="G1343" s="67"/>
      <c r="H1343" s="67"/>
      <c r="I1343" s="67"/>
      <c r="J1343" s="2"/>
    </row>
    <row r="1344" spans="3:10" x14ac:dyDescent="0.25">
      <c r="C1344" s="2"/>
      <c r="D1344" s="134"/>
      <c r="E1344" s="3"/>
      <c r="F1344" s="2"/>
      <c r="G1344" s="67"/>
      <c r="H1344" s="67"/>
      <c r="I1344" s="67"/>
      <c r="J1344" s="2"/>
    </row>
    <row r="1345" spans="3:10" x14ac:dyDescent="0.25">
      <c r="C1345" s="2"/>
      <c r="D1345" s="134"/>
      <c r="E1345" s="3"/>
      <c r="F1345" s="2"/>
      <c r="G1345" s="67"/>
      <c r="H1345" s="67"/>
      <c r="I1345" s="67"/>
      <c r="J1345" s="2"/>
    </row>
    <row r="1346" spans="3:10" x14ac:dyDescent="0.25">
      <c r="C1346" s="2"/>
      <c r="D1346" s="134"/>
      <c r="E1346" s="3"/>
      <c r="F1346" s="2"/>
      <c r="G1346" s="67"/>
      <c r="H1346" s="67"/>
      <c r="I1346" s="67"/>
      <c r="J1346" s="2"/>
    </row>
    <row r="1347" spans="3:10" x14ac:dyDescent="0.25">
      <c r="C1347" s="2"/>
      <c r="D1347" s="134"/>
      <c r="E1347" s="3"/>
      <c r="F1347" s="2"/>
      <c r="G1347" s="67"/>
      <c r="H1347" s="67"/>
      <c r="I1347" s="67"/>
      <c r="J1347" s="2"/>
    </row>
    <row r="1348" spans="3:10" x14ac:dyDescent="0.25">
      <c r="C1348" s="2"/>
      <c r="D1348" s="134"/>
      <c r="E1348" s="3"/>
      <c r="F1348" s="2"/>
      <c r="G1348" s="67"/>
      <c r="H1348" s="67"/>
      <c r="I1348" s="67"/>
      <c r="J1348" s="2"/>
    </row>
    <row r="1349" spans="3:10" x14ac:dyDescent="0.25">
      <c r="C1349" s="2"/>
      <c r="D1349" s="134"/>
      <c r="E1349" s="3"/>
      <c r="F1349" s="2"/>
      <c r="G1349" s="67"/>
      <c r="H1349" s="67"/>
      <c r="I1349" s="67"/>
      <c r="J1349" s="2"/>
    </row>
    <row r="1350" spans="3:10" x14ac:dyDescent="0.25">
      <c r="C1350" s="2"/>
      <c r="D1350" s="134"/>
      <c r="E1350" s="3"/>
      <c r="F1350" s="2"/>
      <c r="G1350" s="67"/>
      <c r="H1350" s="67"/>
      <c r="I1350" s="67"/>
      <c r="J1350" s="2"/>
    </row>
    <row r="1351" spans="3:10" x14ac:dyDescent="0.25">
      <c r="C1351" s="2"/>
      <c r="D1351" s="134"/>
      <c r="E1351" s="3"/>
      <c r="F1351" s="2"/>
      <c r="G1351" s="67"/>
      <c r="H1351" s="67"/>
      <c r="I1351" s="67"/>
      <c r="J1351" s="2"/>
    </row>
    <row r="1352" spans="3:10" x14ac:dyDescent="0.25">
      <c r="C1352" s="2"/>
      <c r="D1352" s="134"/>
      <c r="E1352" s="3"/>
      <c r="F1352" s="2"/>
      <c r="G1352" s="67"/>
      <c r="H1352" s="67"/>
      <c r="I1352" s="67"/>
      <c r="J1352" s="2"/>
    </row>
    <row r="1353" spans="3:10" x14ac:dyDescent="0.25">
      <c r="C1353" s="2"/>
      <c r="D1353" s="134"/>
      <c r="E1353" s="3"/>
      <c r="F1353" s="2"/>
      <c r="G1353" s="67"/>
      <c r="H1353" s="67"/>
      <c r="I1353" s="67"/>
      <c r="J1353" s="2"/>
    </row>
    <row r="1354" spans="3:10" x14ac:dyDescent="0.25">
      <c r="C1354" s="2"/>
      <c r="D1354" s="134"/>
      <c r="E1354" s="3"/>
      <c r="F1354" s="2"/>
      <c r="G1354" s="67"/>
      <c r="H1354" s="67"/>
      <c r="I1354" s="67"/>
      <c r="J1354" s="2"/>
    </row>
    <row r="1355" spans="3:10" x14ac:dyDescent="0.25">
      <c r="C1355" s="2"/>
      <c r="D1355" s="134"/>
      <c r="E1355" s="3"/>
      <c r="F1355" s="2"/>
      <c r="G1355" s="67"/>
      <c r="H1355" s="67"/>
      <c r="I1355" s="67"/>
      <c r="J1355" s="2"/>
    </row>
    <row r="1356" spans="3:10" x14ac:dyDescent="0.25">
      <c r="C1356" s="2"/>
      <c r="D1356" s="134"/>
      <c r="E1356" s="3"/>
      <c r="F1356" s="2"/>
      <c r="G1356" s="67"/>
      <c r="H1356" s="67"/>
      <c r="I1356" s="67"/>
      <c r="J1356" s="2"/>
    </row>
    <row r="1357" spans="3:10" x14ac:dyDescent="0.25">
      <c r="C1357" s="2"/>
      <c r="D1357" s="134"/>
      <c r="E1357" s="3"/>
      <c r="F1357" s="2"/>
      <c r="G1357" s="67"/>
      <c r="H1357" s="67"/>
      <c r="I1357" s="67"/>
      <c r="J1357" s="2"/>
    </row>
    <row r="1358" spans="3:10" x14ac:dyDescent="0.25">
      <c r="C1358" s="2"/>
      <c r="D1358" s="134"/>
      <c r="E1358" s="3"/>
      <c r="F1358" s="2"/>
      <c r="G1358" s="67"/>
      <c r="H1358" s="67"/>
      <c r="I1358" s="67"/>
      <c r="J1358" s="2"/>
    </row>
    <row r="1359" spans="3:10" x14ac:dyDescent="0.25">
      <c r="C1359" s="2"/>
      <c r="D1359" s="134"/>
      <c r="E1359" s="3"/>
      <c r="F1359" s="2"/>
      <c r="G1359" s="67"/>
      <c r="H1359" s="67"/>
      <c r="I1359" s="67"/>
      <c r="J1359" s="2"/>
    </row>
    <row r="1360" spans="3:10" x14ac:dyDescent="0.25">
      <c r="C1360" s="2"/>
      <c r="D1360" s="134"/>
      <c r="E1360" s="3"/>
      <c r="F1360" s="2"/>
      <c r="G1360" s="67"/>
      <c r="H1360" s="67"/>
      <c r="I1360" s="67"/>
      <c r="J1360" s="2"/>
    </row>
    <row r="1361" spans="3:10" x14ac:dyDescent="0.25">
      <c r="C1361" s="2"/>
      <c r="D1361" s="134"/>
      <c r="E1361" s="3"/>
      <c r="F1361" s="2"/>
      <c r="G1361" s="67"/>
      <c r="H1361" s="67"/>
      <c r="I1361" s="67"/>
      <c r="J1361" s="2"/>
    </row>
    <row r="1362" spans="3:10" x14ac:dyDescent="0.25">
      <c r="C1362" s="2"/>
      <c r="D1362" s="134"/>
      <c r="E1362" s="3"/>
      <c r="F1362" s="2"/>
      <c r="G1362" s="67"/>
      <c r="H1362" s="67"/>
      <c r="I1362" s="67"/>
      <c r="J1362" s="2"/>
    </row>
    <row r="1363" spans="3:10" x14ac:dyDescent="0.25">
      <c r="C1363" s="2"/>
      <c r="D1363" s="134"/>
      <c r="E1363" s="2"/>
      <c r="F1363" s="2"/>
      <c r="G1363" s="67"/>
      <c r="H1363" s="67"/>
      <c r="I1363" s="67"/>
      <c r="J1363" s="2"/>
    </row>
    <row r="1364" spans="3:10" x14ac:dyDescent="0.25">
      <c r="C1364" s="2"/>
      <c r="D1364" s="134"/>
      <c r="E1364" s="2"/>
      <c r="F1364" s="2"/>
      <c r="G1364" s="67"/>
      <c r="H1364" s="67"/>
      <c r="I1364" s="67"/>
      <c r="J1364" s="2"/>
    </row>
    <row r="1365" spans="3:10" x14ac:dyDescent="0.25">
      <c r="C1365" s="2"/>
      <c r="D1365" s="134"/>
      <c r="E1365" s="3"/>
      <c r="F1365" s="2"/>
      <c r="G1365" s="67"/>
      <c r="H1365" s="67"/>
      <c r="I1365" s="67"/>
      <c r="J1365" s="2"/>
    </row>
    <row r="1366" spans="3:10" x14ac:dyDescent="0.25">
      <c r="C1366" s="2"/>
      <c r="D1366" s="134"/>
      <c r="E1366" s="3"/>
      <c r="F1366" s="2"/>
      <c r="G1366" s="67"/>
      <c r="H1366" s="67"/>
      <c r="I1366" s="67"/>
      <c r="J1366" s="2"/>
    </row>
    <row r="1367" spans="3:10" x14ac:dyDescent="0.25">
      <c r="C1367" s="2"/>
      <c r="D1367" s="134"/>
      <c r="E1367" s="3"/>
      <c r="F1367" s="2"/>
      <c r="G1367" s="67"/>
      <c r="H1367" s="67"/>
      <c r="I1367" s="67"/>
      <c r="J1367" s="2"/>
    </row>
    <row r="1368" spans="3:10" x14ac:dyDescent="0.25">
      <c r="C1368" s="2"/>
      <c r="D1368" s="134"/>
      <c r="E1368" s="3"/>
      <c r="F1368" s="2"/>
      <c r="G1368" s="67"/>
      <c r="H1368" s="67"/>
      <c r="I1368" s="67"/>
      <c r="J1368" s="2"/>
    </row>
    <row r="1369" spans="3:10" x14ac:dyDescent="0.25">
      <c r="C1369" s="2"/>
      <c r="D1369" s="134"/>
      <c r="E1369" s="3"/>
      <c r="F1369" s="2"/>
      <c r="G1369" s="67"/>
      <c r="H1369" s="67"/>
      <c r="I1369" s="67"/>
      <c r="J1369" s="2"/>
    </row>
    <row r="1370" spans="3:10" x14ac:dyDescent="0.25">
      <c r="C1370" s="2"/>
      <c r="D1370" s="134"/>
      <c r="E1370" s="3"/>
      <c r="F1370" s="2"/>
      <c r="G1370" s="67"/>
      <c r="H1370" s="67"/>
      <c r="I1370" s="67"/>
      <c r="J1370" s="2"/>
    </row>
    <row r="1371" spans="3:10" x14ac:dyDescent="0.25">
      <c r="C1371" s="2"/>
      <c r="D1371" s="134"/>
      <c r="E1371" s="3"/>
      <c r="F1371" s="2"/>
      <c r="G1371" s="67"/>
      <c r="H1371" s="67"/>
      <c r="I1371" s="67"/>
      <c r="J1371" s="2"/>
    </row>
    <row r="1372" spans="3:10" x14ac:dyDescent="0.25">
      <c r="C1372" s="2"/>
      <c r="D1372" s="134"/>
      <c r="E1372" s="3"/>
      <c r="F1372" s="2"/>
      <c r="G1372" s="67"/>
      <c r="H1372" s="67"/>
      <c r="I1372" s="67"/>
      <c r="J1372" s="2"/>
    </row>
    <row r="1373" spans="3:10" x14ac:dyDescent="0.25">
      <c r="C1373" s="2"/>
      <c r="D1373" s="134"/>
      <c r="E1373" s="3"/>
      <c r="F1373" s="2"/>
      <c r="G1373" s="67"/>
      <c r="H1373" s="67"/>
      <c r="I1373" s="67"/>
      <c r="J1373" s="2"/>
    </row>
    <row r="1374" spans="3:10" x14ac:dyDescent="0.25">
      <c r="C1374" s="2"/>
      <c r="D1374" s="134"/>
      <c r="E1374" s="3"/>
      <c r="F1374" s="2"/>
      <c r="G1374" s="67"/>
      <c r="H1374" s="67"/>
      <c r="I1374" s="67"/>
      <c r="J1374" s="2"/>
    </row>
    <row r="1375" spans="3:10" x14ac:dyDescent="0.25">
      <c r="C1375" s="2"/>
      <c r="D1375" s="134"/>
      <c r="E1375" s="3"/>
      <c r="F1375" s="2"/>
      <c r="G1375" s="67"/>
      <c r="H1375" s="67"/>
      <c r="I1375" s="67"/>
      <c r="J1375" s="2"/>
    </row>
    <row r="1376" spans="3:10" x14ac:dyDescent="0.25">
      <c r="C1376" s="2"/>
      <c r="D1376" s="134"/>
      <c r="E1376" s="3"/>
      <c r="F1376" s="2"/>
      <c r="G1376" s="67"/>
      <c r="H1376" s="67"/>
      <c r="I1376" s="67"/>
      <c r="J1376" s="2"/>
    </row>
    <row r="1377" spans="3:10" x14ac:dyDescent="0.25">
      <c r="C1377" s="2"/>
      <c r="D1377" s="134"/>
      <c r="E1377" s="3"/>
      <c r="F1377" s="2"/>
      <c r="G1377" s="67"/>
      <c r="H1377" s="67"/>
      <c r="I1377" s="67"/>
      <c r="J1377" s="2"/>
    </row>
    <row r="1378" spans="3:10" x14ac:dyDescent="0.25">
      <c r="C1378" s="2"/>
      <c r="D1378" s="134"/>
      <c r="E1378" s="3"/>
      <c r="F1378" s="2"/>
      <c r="G1378" s="67"/>
      <c r="H1378" s="67"/>
      <c r="I1378" s="67"/>
      <c r="J1378" s="2"/>
    </row>
    <row r="1379" spans="3:10" x14ac:dyDescent="0.25">
      <c r="C1379" s="2"/>
      <c r="D1379" s="134"/>
      <c r="E1379" s="3"/>
      <c r="F1379" s="2"/>
      <c r="G1379" s="67"/>
      <c r="H1379" s="67"/>
      <c r="I1379" s="67"/>
      <c r="J1379" s="2"/>
    </row>
    <row r="1380" spans="3:10" x14ac:dyDescent="0.25">
      <c r="C1380" s="2"/>
      <c r="D1380" s="134"/>
      <c r="E1380" s="3"/>
      <c r="F1380" s="2"/>
      <c r="G1380" s="67"/>
      <c r="H1380" s="67"/>
      <c r="I1380" s="67"/>
      <c r="J1380" s="2"/>
    </row>
    <row r="1381" spans="3:10" x14ac:dyDescent="0.25">
      <c r="C1381" s="2"/>
      <c r="D1381" s="134"/>
      <c r="E1381" s="3"/>
      <c r="F1381" s="2"/>
      <c r="G1381" s="67"/>
      <c r="H1381" s="67"/>
      <c r="I1381" s="67"/>
      <c r="J1381" s="2"/>
    </row>
    <row r="1382" spans="3:10" x14ac:dyDescent="0.25">
      <c r="C1382" s="2"/>
      <c r="D1382" s="134"/>
      <c r="E1382" s="3"/>
      <c r="F1382" s="2"/>
      <c r="G1382" s="67"/>
      <c r="H1382" s="67"/>
      <c r="I1382" s="67"/>
      <c r="J1382" s="2"/>
    </row>
    <row r="1383" spans="3:10" x14ac:dyDescent="0.25">
      <c r="C1383" s="2"/>
      <c r="D1383" s="134"/>
      <c r="E1383" s="3"/>
      <c r="F1383" s="2"/>
      <c r="G1383" s="67"/>
      <c r="H1383" s="67"/>
      <c r="I1383" s="67"/>
      <c r="J1383" s="2"/>
    </row>
    <row r="1384" spans="3:10" x14ac:dyDescent="0.25">
      <c r="C1384" s="2"/>
      <c r="D1384" s="134"/>
      <c r="E1384" s="3"/>
      <c r="F1384" s="2"/>
      <c r="G1384" s="67"/>
      <c r="H1384" s="67"/>
      <c r="I1384" s="67"/>
      <c r="J1384" s="2"/>
    </row>
    <row r="1385" spans="3:10" x14ac:dyDescent="0.25">
      <c r="C1385" s="2"/>
      <c r="D1385" s="134"/>
      <c r="E1385" s="3"/>
      <c r="F1385" s="2"/>
      <c r="G1385" s="67"/>
      <c r="H1385" s="67"/>
      <c r="I1385" s="67"/>
      <c r="J1385" s="2"/>
    </row>
    <row r="1386" spans="3:10" x14ac:dyDescent="0.25">
      <c r="C1386" s="2"/>
      <c r="D1386" s="134"/>
      <c r="E1386" s="3"/>
      <c r="F1386" s="2"/>
      <c r="G1386" s="67"/>
      <c r="H1386" s="67"/>
      <c r="I1386" s="67"/>
      <c r="J1386" s="2"/>
    </row>
    <row r="1387" spans="3:10" x14ac:dyDescent="0.25">
      <c r="C1387" s="2"/>
      <c r="D1387" s="134"/>
      <c r="E1387" s="3"/>
      <c r="F1387" s="2"/>
      <c r="G1387" s="67"/>
      <c r="H1387" s="67"/>
      <c r="I1387" s="67"/>
      <c r="J1387" s="2"/>
    </row>
    <row r="1388" spans="3:10" x14ac:dyDescent="0.25">
      <c r="C1388" s="2"/>
      <c r="D1388" s="134"/>
      <c r="E1388" s="3"/>
      <c r="F1388" s="2"/>
      <c r="G1388" s="67"/>
      <c r="H1388" s="67"/>
      <c r="I1388" s="67"/>
      <c r="J1388" s="2"/>
    </row>
    <row r="1389" spans="3:10" x14ac:dyDescent="0.25">
      <c r="C1389" s="2"/>
      <c r="D1389" s="134"/>
      <c r="E1389" s="3"/>
      <c r="F1389" s="2"/>
      <c r="G1389" s="67"/>
      <c r="H1389" s="67"/>
      <c r="I1389" s="67"/>
      <c r="J1389" s="2"/>
    </row>
    <row r="1390" spans="3:10" x14ac:dyDescent="0.25">
      <c r="C1390" s="2"/>
      <c r="D1390" s="134"/>
      <c r="E1390" s="3"/>
      <c r="F1390" s="2"/>
      <c r="G1390" s="67"/>
      <c r="H1390" s="67"/>
      <c r="I1390" s="67"/>
      <c r="J1390" s="2"/>
    </row>
    <row r="1391" spans="3:10" x14ac:dyDescent="0.25">
      <c r="C1391" s="2"/>
      <c r="D1391" s="134"/>
      <c r="E1391" s="3"/>
      <c r="F1391" s="2"/>
      <c r="G1391" s="67"/>
      <c r="H1391" s="67"/>
      <c r="I1391" s="67"/>
      <c r="J1391" s="2"/>
    </row>
    <row r="1392" spans="3:10" x14ac:dyDescent="0.25">
      <c r="C1392" s="2"/>
      <c r="D1392" s="134"/>
      <c r="E1392" s="3"/>
      <c r="F1392" s="2"/>
      <c r="G1392" s="67"/>
      <c r="H1392" s="67"/>
      <c r="I1392" s="67"/>
      <c r="J1392" s="2"/>
    </row>
    <row r="1393" spans="3:10" x14ac:dyDescent="0.25">
      <c r="C1393" s="2"/>
      <c r="D1393" s="134"/>
      <c r="E1393" s="2"/>
      <c r="F1393" s="2"/>
      <c r="G1393" s="67"/>
      <c r="H1393" s="67"/>
      <c r="I1393" s="67"/>
      <c r="J1393" s="2"/>
    </row>
    <row r="1394" spans="3:10" x14ac:dyDescent="0.25">
      <c r="C1394" s="2"/>
      <c r="D1394" s="134"/>
      <c r="E1394" s="2"/>
      <c r="F1394" s="2"/>
      <c r="G1394" s="67"/>
      <c r="H1394" s="67"/>
      <c r="I1394" s="67"/>
      <c r="J1394" s="2"/>
    </row>
    <row r="1395" spans="3:10" x14ac:dyDescent="0.25">
      <c r="C1395" s="2"/>
      <c r="D1395" s="134"/>
      <c r="E1395" s="3"/>
      <c r="F1395" s="2"/>
      <c r="G1395" s="67"/>
      <c r="H1395" s="67"/>
      <c r="I1395" s="67"/>
      <c r="J1395" s="2"/>
    </row>
    <row r="1396" spans="3:10" x14ac:dyDescent="0.25">
      <c r="C1396" s="2"/>
      <c r="D1396" s="134"/>
      <c r="E1396" s="3"/>
      <c r="F1396" s="2"/>
      <c r="G1396" s="67"/>
      <c r="H1396" s="67"/>
      <c r="I1396" s="67"/>
      <c r="J1396" s="2"/>
    </row>
    <row r="1397" spans="3:10" x14ac:dyDescent="0.25">
      <c r="C1397" s="2"/>
      <c r="D1397" s="134"/>
      <c r="E1397" s="3"/>
      <c r="F1397" s="2"/>
      <c r="G1397" s="67"/>
      <c r="H1397" s="67"/>
      <c r="I1397" s="67"/>
      <c r="J1397" s="2"/>
    </row>
    <row r="1398" spans="3:10" x14ac:dyDescent="0.25">
      <c r="C1398" s="2"/>
      <c r="D1398" s="134"/>
      <c r="E1398" s="3"/>
      <c r="F1398" s="2"/>
      <c r="G1398" s="67"/>
      <c r="H1398" s="67"/>
      <c r="I1398" s="67"/>
      <c r="J1398" s="2"/>
    </row>
    <row r="1399" spans="3:10" x14ac:dyDescent="0.25">
      <c r="C1399" s="2"/>
      <c r="D1399" s="134"/>
      <c r="E1399" s="3"/>
      <c r="F1399" s="2"/>
      <c r="G1399" s="67"/>
      <c r="H1399" s="67"/>
      <c r="I1399" s="67"/>
      <c r="J1399" s="2"/>
    </row>
    <row r="1400" spans="3:10" x14ac:dyDescent="0.25">
      <c r="C1400" s="2"/>
      <c r="D1400" s="134"/>
      <c r="E1400" s="3"/>
      <c r="F1400" s="2"/>
      <c r="G1400" s="67"/>
      <c r="H1400" s="67"/>
      <c r="I1400" s="67"/>
      <c r="J1400" s="2"/>
    </row>
    <row r="1401" spans="3:10" x14ac:dyDescent="0.25">
      <c r="C1401" s="2"/>
      <c r="D1401" s="134"/>
      <c r="E1401" s="3"/>
      <c r="F1401" s="2"/>
      <c r="G1401" s="67"/>
      <c r="H1401" s="67"/>
      <c r="I1401" s="67"/>
      <c r="J1401" s="2"/>
    </row>
    <row r="1402" spans="3:10" x14ac:dyDescent="0.25">
      <c r="C1402" s="2"/>
      <c r="D1402" s="134"/>
      <c r="E1402" s="3"/>
      <c r="F1402" s="2"/>
      <c r="G1402" s="67"/>
      <c r="H1402" s="67"/>
      <c r="I1402" s="67"/>
      <c r="J1402" s="2"/>
    </row>
    <row r="1403" spans="3:10" x14ac:dyDescent="0.25">
      <c r="C1403" s="2"/>
      <c r="D1403" s="134"/>
      <c r="E1403" s="3"/>
      <c r="F1403" s="2"/>
      <c r="G1403" s="67"/>
      <c r="H1403" s="67"/>
      <c r="I1403" s="67"/>
      <c r="J1403" s="2"/>
    </row>
    <row r="1404" spans="3:10" x14ac:dyDescent="0.25">
      <c r="C1404" s="2"/>
      <c r="D1404" s="134"/>
      <c r="E1404" s="3"/>
      <c r="F1404" s="2"/>
      <c r="G1404" s="67"/>
      <c r="H1404" s="67"/>
      <c r="I1404" s="67"/>
      <c r="J1404" s="2"/>
    </row>
    <row r="1405" spans="3:10" x14ac:dyDescent="0.25">
      <c r="C1405" s="2"/>
      <c r="D1405" s="134"/>
      <c r="E1405" s="3"/>
      <c r="F1405" s="2"/>
      <c r="G1405" s="67"/>
      <c r="H1405" s="67"/>
      <c r="I1405" s="67"/>
      <c r="J1405" s="2"/>
    </row>
    <row r="1406" spans="3:10" x14ac:dyDescent="0.25">
      <c r="C1406" s="2"/>
      <c r="D1406" s="134"/>
      <c r="E1406" s="3"/>
      <c r="F1406" s="2"/>
      <c r="G1406" s="67"/>
      <c r="H1406" s="67"/>
      <c r="I1406" s="67"/>
      <c r="J1406" s="2"/>
    </row>
    <row r="1407" spans="3:10" x14ac:dyDescent="0.25">
      <c r="C1407" s="2"/>
      <c r="D1407" s="134"/>
      <c r="E1407" s="3"/>
      <c r="F1407" s="2"/>
      <c r="G1407" s="67"/>
      <c r="H1407" s="67"/>
      <c r="I1407" s="67"/>
      <c r="J1407" s="2"/>
    </row>
    <row r="1408" spans="3:10" x14ac:dyDescent="0.25">
      <c r="C1408" s="2"/>
      <c r="D1408" s="134"/>
      <c r="E1408" s="3"/>
      <c r="F1408" s="2"/>
      <c r="G1408" s="67"/>
      <c r="H1408" s="67"/>
      <c r="I1408" s="67"/>
      <c r="J1408" s="2"/>
    </row>
    <row r="1409" spans="3:10" x14ac:dyDescent="0.25">
      <c r="C1409" s="2"/>
      <c r="D1409" s="134"/>
      <c r="E1409" s="3"/>
      <c r="F1409" s="2"/>
      <c r="G1409" s="67"/>
      <c r="H1409" s="67"/>
      <c r="I1409" s="67"/>
      <c r="J1409" s="2"/>
    </row>
    <row r="1410" spans="3:10" x14ac:dyDescent="0.25">
      <c r="C1410" s="2"/>
      <c r="D1410" s="134"/>
      <c r="E1410" s="3"/>
      <c r="F1410" s="2"/>
      <c r="G1410" s="67"/>
      <c r="H1410" s="67"/>
      <c r="I1410" s="67"/>
      <c r="J1410" s="2"/>
    </row>
    <row r="1411" spans="3:10" x14ac:dyDescent="0.25">
      <c r="C1411" s="2"/>
      <c r="D1411" s="134"/>
      <c r="E1411" s="3"/>
      <c r="F1411" s="2"/>
      <c r="G1411" s="67"/>
      <c r="H1411" s="67"/>
      <c r="I1411" s="67"/>
      <c r="J1411" s="2"/>
    </row>
    <row r="1412" spans="3:10" x14ac:dyDescent="0.25">
      <c r="C1412" s="2"/>
      <c r="D1412" s="134"/>
      <c r="E1412" s="3"/>
      <c r="F1412" s="2"/>
      <c r="G1412" s="67"/>
      <c r="H1412" s="67"/>
      <c r="I1412" s="67"/>
      <c r="J1412" s="2"/>
    </row>
    <row r="1413" spans="3:10" x14ac:dyDescent="0.25">
      <c r="C1413" s="2"/>
      <c r="D1413" s="134"/>
      <c r="E1413" s="3"/>
      <c r="F1413" s="2"/>
      <c r="G1413" s="67"/>
      <c r="H1413" s="67"/>
      <c r="I1413" s="67"/>
      <c r="J1413" s="2"/>
    </row>
    <row r="1414" spans="3:10" x14ac:dyDescent="0.25">
      <c r="C1414" s="2"/>
      <c r="D1414" s="134"/>
      <c r="E1414" s="3"/>
      <c r="F1414" s="2"/>
      <c r="G1414" s="67"/>
      <c r="H1414" s="67"/>
      <c r="I1414" s="67"/>
      <c r="J1414" s="2"/>
    </row>
    <row r="1415" spans="3:10" x14ac:dyDescent="0.25">
      <c r="C1415" s="2"/>
      <c r="D1415" s="134"/>
      <c r="E1415" s="3"/>
      <c r="F1415" s="2"/>
      <c r="G1415" s="67"/>
      <c r="H1415" s="67"/>
      <c r="I1415" s="67"/>
      <c r="J1415" s="2"/>
    </row>
    <row r="1416" spans="3:10" x14ac:dyDescent="0.25">
      <c r="C1416" s="2"/>
      <c r="D1416" s="134"/>
      <c r="E1416" s="3"/>
      <c r="F1416" s="2"/>
      <c r="G1416" s="67"/>
      <c r="H1416" s="67"/>
      <c r="I1416" s="67"/>
      <c r="J1416" s="2"/>
    </row>
    <row r="1417" spans="3:10" x14ac:dyDescent="0.25">
      <c r="C1417" s="2"/>
      <c r="D1417" s="134"/>
      <c r="E1417" s="3"/>
      <c r="F1417" s="2"/>
      <c r="G1417" s="67"/>
      <c r="H1417" s="67"/>
      <c r="I1417" s="67"/>
      <c r="J1417" s="2"/>
    </row>
    <row r="1418" spans="3:10" x14ac:dyDescent="0.25">
      <c r="C1418" s="2"/>
      <c r="D1418" s="134"/>
      <c r="E1418" s="3"/>
      <c r="F1418" s="2"/>
      <c r="G1418" s="67"/>
      <c r="H1418" s="67"/>
      <c r="I1418" s="67"/>
      <c r="J1418" s="2"/>
    </row>
    <row r="1419" spans="3:10" x14ac:dyDescent="0.25">
      <c r="C1419" s="2"/>
      <c r="D1419" s="134"/>
      <c r="E1419" s="3"/>
      <c r="F1419" s="2"/>
      <c r="G1419" s="67"/>
      <c r="H1419" s="67"/>
      <c r="I1419" s="67"/>
      <c r="J1419" s="2"/>
    </row>
    <row r="1420" spans="3:10" x14ac:dyDescent="0.25">
      <c r="C1420" s="2"/>
      <c r="D1420" s="134"/>
      <c r="E1420" s="3"/>
      <c r="F1420" s="2"/>
      <c r="G1420" s="67"/>
      <c r="H1420" s="67"/>
      <c r="I1420" s="67"/>
      <c r="J1420" s="2"/>
    </row>
    <row r="1421" spans="3:10" x14ac:dyDescent="0.25">
      <c r="C1421" s="2"/>
      <c r="D1421" s="134"/>
      <c r="E1421" s="3"/>
      <c r="F1421" s="2"/>
      <c r="G1421" s="67"/>
      <c r="H1421" s="67"/>
      <c r="I1421" s="67"/>
      <c r="J1421" s="2"/>
    </row>
    <row r="1422" spans="3:10" x14ac:dyDescent="0.25">
      <c r="C1422" s="2"/>
      <c r="D1422" s="134"/>
      <c r="E1422" s="3"/>
      <c r="F1422" s="2"/>
      <c r="G1422" s="67"/>
      <c r="H1422" s="67"/>
      <c r="I1422" s="67"/>
      <c r="J1422" s="2"/>
    </row>
    <row r="1423" spans="3:10" x14ac:dyDescent="0.25">
      <c r="C1423" s="2"/>
      <c r="D1423" s="134"/>
      <c r="E1423" s="3"/>
      <c r="F1423" s="2"/>
      <c r="G1423" s="67"/>
      <c r="H1423" s="67"/>
      <c r="I1423" s="67"/>
      <c r="J1423" s="2"/>
    </row>
    <row r="1424" spans="3:10" x14ac:dyDescent="0.25">
      <c r="C1424" s="2"/>
      <c r="D1424" s="134"/>
      <c r="E1424" s="3"/>
      <c r="F1424" s="2"/>
      <c r="G1424" s="67"/>
      <c r="H1424" s="67"/>
      <c r="I1424" s="67"/>
      <c r="J1424" s="2"/>
    </row>
    <row r="1425" spans="3:10" x14ac:dyDescent="0.25">
      <c r="C1425" s="2"/>
      <c r="D1425" s="134"/>
      <c r="E1425" s="2"/>
      <c r="F1425" s="2"/>
      <c r="G1425" s="67"/>
      <c r="H1425" s="67"/>
      <c r="I1425" s="67"/>
      <c r="J1425" s="2"/>
    </row>
    <row r="1426" spans="3:10" x14ac:dyDescent="0.25">
      <c r="C1426" s="2"/>
      <c r="D1426" s="134"/>
      <c r="E1426" s="2"/>
      <c r="F1426" s="2"/>
      <c r="G1426" s="67"/>
      <c r="H1426" s="67"/>
      <c r="I1426" s="67"/>
      <c r="J1426" s="2"/>
    </row>
    <row r="1427" spans="3:10" x14ac:dyDescent="0.25">
      <c r="C1427" s="2"/>
      <c r="D1427" s="134"/>
      <c r="E1427" s="2"/>
      <c r="F1427" s="2"/>
      <c r="G1427" s="67"/>
      <c r="H1427" s="67"/>
      <c r="I1427" s="67"/>
      <c r="J1427" s="2"/>
    </row>
    <row r="1428" spans="3:10" x14ac:dyDescent="0.25">
      <c r="C1428" s="2"/>
      <c r="D1428" s="134"/>
      <c r="E1428" s="2"/>
      <c r="F1428" s="2"/>
      <c r="G1428" s="67"/>
      <c r="H1428" s="67"/>
      <c r="I1428" s="67"/>
      <c r="J1428" s="2"/>
    </row>
    <row r="1429" spans="3:10" x14ac:dyDescent="0.25">
      <c r="C1429" s="2"/>
      <c r="D1429" s="134"/>
      <c r="E1429" s="2"/>
      <c r="F1429" s="2"/>
      <c r="G1429" s="67"/>
      <c r="H1429" s="67"/>
      <c r="I1429" s="67"/>
      <c r="J1429" s="2"/>
    </row>
    <row r="1430" spans="3:10" x14ac:dyDescent="0.25">
      <c r="C1430" s="2"/>
      <c r="D1430" s="134"/>
      <c r="E1430" s="2"/>
      <c r="F1430" s="2"/>
      <c r="G1430" s="67"/>
      <c r="H1430" s="67"/>
      <c r="I1430" s="67"/>
      <c r="J1430" s="2"/>
    </row>
    <row r="1431" spans="3:10" x14ac:dyDescent="0.25">
      <c r="C1431" s="2"/>
      <c r="D1431" s="134"/>
      <c r="E1431" s="2"/>
      <c r="F1431" s="2"/>
      <c r="G1431" s="67"/>
      <c r="H1431" s="67"/>
      <c r="I1431" s="67"/>
      <c r="J1431" s="2"/>
    </row>
    <row r="1432" spans="3:10" x14ac:dyDescent="0.25">
      <c r="C1432" s="2"/>
      <c r="D1432" s="134"/>
      <c r="E1432" s="2"/>
      <c r="F1432" s="2"/>
      <c r="G1432" s="67"/>
      <c r="H1432" s="67"/>
      <c r="I1432" s="67"/>
      <c r="J1432" s="2"/>
    </row>
    <row r="1433" spans="3:10" x14ac:dyDescent="0.25">
      <c r="C1433" s="2"/>
      <c r="D1433" s="134"/>
      <c r="E1433" s="2"/>
      <c r="F1433" s="2"/>
      <c r="G1433" s="67"/>
      <c r="H1433" s="67"/>
      <c r="I1433" s="67"/>
      <c r="J1433" s="2"/>
    </row>
    <row r="1434" spans="3:10" x14ac:dyDescent="0.25">
      <c r="C1434" s="2"/>
      <c r="D1434" s="134"/>
      <c r="E1434" s="2"/>
      <c r="F1434" s="2"/>
      <c r="G1434" s="67"/>
      <c r="H1434" s="67"/>
      <c r="I1434" s="67"/>
      <c r="J1434" s="2"/>
    </row>
    <row r="1435" spans="3:10" x14ac:dyDescent="0.25">
      <c r="C1435" s="2"/>
      <c r="D1435" s="134"/>
      <c r="E1435" s="2"/>
      <c r="F1435" s="2"/>
      <c r="G1435" s="67"/>
      <c r="H1435" s="67"/>
      <c r="I1435" s="67"/>
      <c r="J1435" s="2"/>
    </row>
    <row r="1436" spans="3:10" x14ac:dyDescent="0.25">
      <c r="C1436" s="2"/>
      <c r="D1436" s="134"/>
      <c r="E1436" s="2"/>
      <c r="F1436" s="2"/>
      <c r="G1436" s="67"/>
      <c r="H1436" s="67"/>
      <c r="I1436" s="67"/>
      <c r="J1436" s="2"/>
    </row>
    <row r="1437" spans="3:10" x14ac:dyDescent="0.25">
      <c r="C1437" s="2"/>
      <c r="D1437" s="134"/>
      <c r="E1437" s="2"/>
      <c r="F1437" s="2"/>
      <c r="G1437" s="67"/>
      <c r="H1437" s="67"/>
      <c r="I1437" s="67"/>
      <c r="J1437" s="2"/>
    </row>
    <row r="1438" spans="3:10" x14ac:dyDescent="0.25">
      <c r="C1438" s="2"/>
      <c r="D1438" s="134"/>
      <c r="E1438" s="2"/>
      <c r="F1438" s="2"/>
      <c r="G1438" s="67"/>
      <c r="H1438" s="67"/>
      <c r="I1438" s="67"/>
      <c r="J1438" s="2"/>
    </row>
    <row r="1439" spans="3:10" x14ac:dyDescent="0.25">
      <c r="C1439" s="2"/>
      <c r="D1439" s="134"/>
      <c r="E1439" s="2"/>
      <c r="F1439" s="2"/>
      <c r="G1439" s="67"/>
      <c r="H1439" s="67"/>
      <c r="I1439" s="67"/>
      <c r="J1439" s="2"/>
    </row>
    <row r="1440" spans="3:10" x14ac:dyDescent="0.25">
      <c r="C1440" s="2"/>
      <c r="D1440" s="134"/>
      <c r="E1440" s="2"/>
      <c r="F1440" s="2"/>
      <c r="G1440" s="67"/>
      <c r="H1440" s="67"/>
      <c r="I1440" s="67"/>
      <c r="J1440" s="2"/>
    </row>
    <row r="1441" spans="3:10" x14ac:dyDescent="0.25">
      <c r="C1441" s="2"/>
      <c r="D1441" s="134"/>
      <c r="E1441" s="2"/>
      <c r="F1441" s="2"/>
      <c r="G1441" s="67"/>
      <c r="H1441" s="67"/>
      <c r="I1441" s="67"/>
      <c r="J1441" s="2"/>
    </row>
    <row r="1442" spans="3:10" x14ac:dyDescent="0.25">
      <c r="C1442" s="2"/>
      <c r="D1442" s="134"/>
      <c r="E1442" s="2"/>
      <c r="F1442" s="2"/>
      <c r="G1442" s="67"/>
      <c r="H1442" s="67"/>
      <c r="I1442" s="67"/>
      <c r="J1442" s="2"/>
    </row>
    <row r="1443" spans="3:10" x14ac:dyDescent="0.25">
      <c r="C1443" s="2"/>
      <c r="D1443" s="134"/>
      <c r="E1443" s="2"/>
      <c r="F1443" s="2"/>
      <c r="G1443" s="67"/>
      <c r="H1443" s="67"/>
      <c r="I1443" s="67"/>
      <c r="J1443" s="2"/>
    </row>
    <row r="1444" spans="3:10" x14ac:dyDescent="0.25">
      <c r="C1444" s="2"/>
      <c r="D1444" s="134"/>
      <c r="E1444" s="2"/>
      <c r="F1444" s="2"/>
      <c r="G1444" s="67"/>
      <c r="H1444" s="67"/>
      <c r="I1444" s="67"/>
      <c r="J1444" s="2"/>
    </row>
    <row r="1445" spans="3:10" x14ac:dyDescent="0.25">
      <c r="C1445" s="2"/>
      <c r="D1445" s="134"/>
      <c r="E1445" s="2"/>
      <c r="F1445" s="2"/>
      <c r="G1445" s="67"/>
      <c r="H1445" s="67"/>
      <c r="I1445" s="67"/>
      <c r="J1445" s="2"/>
    </row>
    <row r="1446" spans="3:10" x14ac:dyDescent="0.25">
      <c r="C1446" s="2"/>
      <c r="D1446" s="134"/>
      <c r="E1446" s="2"/>
      <c r="F1446" s="2"/>
      <c r="G1446" s="67"/>
      <c r="H1446" s="67"/>
      <c r="I1446" s="67"/>
      <c r="J1446" s="2"/>
    </row>
    <row r="1447" spans="3:10" x14ac:dyDescent="0.25">
      <c r="C1447" s="2"/>
      <c r="D1447" s="134"/>
      <c r="E1447" s="2"/>
      <c r="F1447" s="2"/>
      <c r="G1447" s="67"/>
      <c r="H1447" s="67"/>
      <c r="I1447" s="67"/>
      <c r="J1447" s="2"/>
    </row>
    <row r="1448" spans="3:10" x14ac:dyDescent="0.25">
      <c r="C1448" s="2"/>
      <c r="D1448" s="134"/>
      <c r="E1448" s="2"/>
      <c r="F1448" s="2"/>
      <c r="G1448" s="67"/>
      <c r="H1448" s="67"/>
      <c r="I1448" s="67"/>
      <c r="J1448" s="2"/>
    </row>
    <row r="1449" spans="3:10" x14ac:dyDescent="0.25">
      <c r="C1449" s="2"/>
      <c r="D1449" s="134"/>
      <c r="E1449" s="2"/>
      <c r="F1449" s="2"/>
      <c r="G1449" s="67"/>
      <c r="H1449" s="67"/>
      <c r="I1449" s="67"/>
      <c r="J1449" s="2"/>
    </row>
    <row r="1450" spans="3:10" x14ac:dyDescent="0.25">
      <c r="C1450" s="2"/>
      <c r="D1450" s="134"/>
      <c r="E1450" s="2"/>
      <c r="F1450" s="2"/>
      <c r="G1450" s="67"/>
      <c r="H1450" s="67"/>
      <c r="I1450" s="67"/>
      <c r="J1450" s="2"/>
    </row>
    <row r="1451" spans="3:10" x14ac:dyDescent="0.25">
      <c r="C1451" s="2"/>
      <c r="D1451" s="134"/>
      <c r="E1451" s="2"/>
      <c r="F1451" s="2"/>
      <c r="G1451" s="67"/>
      <c r="H1451" s="67"/>
      <c r="I1451" s="67"/>
      <c r="J1451" s="2"/>
    </row>
    <row r="1452" spans="3:10" x14ac:dyDescent="0.25">
      <c r="C1452" s="2"/>
      <c r="D1452" s="134"/>
      <c r="E1452" s="2"/>
      <c r="F1452" s="2"/>
      <c r="G1452" s="67"/>
      <c r="H1452" s="67"/>
      <c r="I1452" s="67"/>
      <c r="J1452" s="2"/>
    </row>
    <row r="1453" spans="3:10" x14ac:dyDescent="0.25">
      <c r="C1453" s="2"/>
      <c r="D1453" s="134"/>
      <c r="E1453" s="2"/>
      <c r="F1453" s="2"/>
      <c r="G1453" s="67"/>
      <c r="H1453" s="67"/>
      <c r="I1453" s="67"/>
      <c r="J1453" s="2"/>
    </row>
    <row r="1454" spans="3:10" x14ac:dyDescent="0.25">
      <c r="C1454" s="2"/>
      <c r="D1454" s="134"/>
      <c r="E1454" s="2"/>
      <c r="F1454" s="2"/>
      <c r="G1454" s="67"/>
      <c r="H1454" s="67"/>
      <c r="I1454" s="67"/>
      <c r="J1454" s="2"/>
    </row>
    <row r="1455" spans="3:10" x14ac:dyDescent="0.25">
      <c r="C1455" s="2"/>
      <c r="D1455" s="134"/>
      <c r="E1455" s="2"/>
      <c r="F1455" s="2"/>
      <c r="G1455" s="67"/>
      <c r="H1455" s="67"/>
      <c r="I1455" s="67"/>
      <c r="J1455" s="2"/>
    </row>
    <row r="1456" spans="3:10" x14ac:dyDescent="0.25">
      <c r="C1456" s="2"/>
      <c r="D1456" s="134"/>
      <c r="E1456" s="2"/>
      <c r="F1456" s="2"/>
      <c r="G1456" s="67"/>
      <c r="H1456" s="67"/>
      <c r="I1456" s="67"/>
      <c r="J1456" s="2"/>
    </row>
    <row r="1457" spans="3:10" x14ac:dyDescent="0.25">
      <c r="C1457" s="2"/>
      <c r="D1457" s="134"/>
      <c r="E1457" s="2"/>
      <c r="F1457" s="2"/>
      <c r="G1457" s="67"/>
      <c r="H1457" s="67"/>
      <c r="I1457" s="67"/>
      <c r="J1457" s="2"/>
    </row>
    <row r="1458" spans="3:10" x14ac:dyDescent="0.25">
      <c r="C1458" s="2"/>
      <c r="D1458" s="134"/>
      <c r="E1458" s="2"/>
      <c r="F1458" s="2"/>
      <c r="G1458" s="67"/>
      <c r="H1458" s="67"/>
      <c r="I1458" s="67"/>
      <c r="J1458" s="2"/>
    </row>
    <row r="1459" spans="3:10" x14ac:dyDescent="0.25">
      <c r="C1459" s="2"/>
      <c r="D1459" s="134"/>
      <c r="E1459" s="2"/>
      <c r="F1459" s="2"/>
      <c r="G1459" s="67"/>
      <c r="H1459" s="67"/>
      <c r="I1459" s="67"/>
      <c r="J1459" s="2"/>
    </row>
    <row r="1460" spans="3:10" x14ac:dyDescent="0.25">
      <c r="C1460" s="2"/>
      <c r="D1460" s="134"/>
      <c r="E1460" s="2"/>
      <c r="F1460" s="2"/>
      <c r="G1460" s="67"/>
      <c r="H1460" s="67"/>
      <c r="I1460" s="67"/>
      <c r="J1460" s="2"/>
    </row>
    <row r="1461" spans="3:10" x14ac:dyDescent="0.25">
      <c r="C1461" s="2"/>
      <c r="D1461" s="134"/>
      <c r="E1461" s="2"/>
      <c r="F1461" s="2"/>
      <c r="G1461" s="67"/>
      <c r="H1461" s="67"/>
      <c r="I1461" s="67"/>
      <c r="J1461" s="2"/>
    </row>
    <row r="1462" spans="3:10" x14ac:dyDescent="0.25">
      <c r="C1462" s="2"/>
      <c r="D1462" s="134"/>
      <c r="E1462" s="2"/>
      <c r="F1462" s="2"/>
      <c r="G1462" s="67"/>
      <c r="H1462" s="67"/>
      <c r="I1462" s="67"/>
      <c r="J1462" s="2"/>
    </row>
    <row r="1463" spans="3:10" x14ac:dyDescent="0.25">
      <c r="C1463" s="2"/>
      <c r="D1463" s="134"/>
      <c r="E1463" s="2"/>
      <c r="F1463" s="2"/>
      <c r="G1463" s="67"/>
      <c r="H1463" s="67"/>
      <c r="I1463" s="67"/>
      <c r="J1463" s="2"/>
    </row>
    <row r="1464" spans="3:10" x14ac:dyDescent="0.25">
      <c r="C1464" s="2"/>
      <c r="D1464" s="134"/>
      <c r="E1464" s="2"/>
      <c r="F1464" s="2"/>
      <c r="G1464" s="67"/>
      <c r="H1464" s="67"/>
      <c r="I1464" s="67"/>
      <c r="J1464" s="2"/>
    </row>
    <row r="1465" spans="3:10" x14ac:dyDescent="0.25">
      <c r="C1465" s="2"/>
      <c r="D1465" s="134"/>
      <c r="E1465" s="2"/>
      <c r="F1465" s="2"/>
      <c r="G1465" s="67"/>
      <c r="H1465" s="67"/>
      <c r="I1465" s="67"/>
      <c r="J1465" s="2"/>
    </row>
    <row r="1466" spans="3:10" x14ac:dyDescent="0.25">
      <c r="C1466" s="2"/>
      <c r="D1466" s="134"/>
      <c r="E1466" s="2"/>
      <c r="F1466" s="2"/>
      <c r="G1466" s="67"/>
      <c r="H1466" s="67"/>
      <c r="I1466" s="67"/>
      <c r="J1466" s="2"/>
    </row>
    <row r="1467" spans="3:10" x14ac:dyDescent="0.25">
      <c r="C1467" s="2"/>
      <c r="D1467" s="134"/>
      <c r="E1467" s="2"/>
      <c r="F1467" s="2"/>
      <c r="G1467" s="67"/>
      <c r="H1467" s="67"/>
      <c r="I1467" s="67"/>
      <c r="J1467" s="2"/>
    </row>
    <row r="1468" spans="3:10" x14ac:dyDescent="0.25">
      <c r="C1468" s="2"/>
      <c r="D1468" s="134"/>
      <c r="E1468" s="2"/>
      <c r="F1468" s="2"/>
      <c r="G1468" s="67"/>
      <c r="H1468" s="67"/>
      <c r="I1468" s="67"/>
      <c r="J1468" s="2"/>
    </row>
    <row r="1469" spans="3:10" x14ac:dyDescent="0.25">
      <c r="C1469" s="2"/>
      <c r="D1469" s="134"/>
      <c r="E1469" s="2"/>
      <c r="F1469" s="2"/>
      <c r="G1469" s="67"/>
      <c r="H1469" s="67"/>
      <c r="I1469" s="67"/>
      <c r="J1469" s="2"/>
    </row>
    <row r="1470" spans="3:10" x14ac:dyDescent="0.25">
      <c r="C1470" s="2"/>
      <c r="D1470" s="134"/>
      <c r="E1470" s="2"/>
      <c r="F1470" s="2"/>
      <c r="G1470" s="67"/>
      <c r="H1470" s="67"/>
      <c r="I1470" s="67"/>
      <c r="J1470" s="2"/>
    </row>
    <row r="1471" spans="3:10" x14ac:dyDescent="0.25">
      <c r="C1471" s="2"/>
      <c r="D1471" s="134"/>
      <c r="E1471" s="2"/>
      <c r="F1471" s="2"/>
      <c r="G1471" s="67"/>
      <c r="H1471" s="67"/>
      <c r="I1471" s="67"/>
      <c r="J1471" s="2"/>
    </row>
    <row r="1472" spans="3:10" x14ac:dyDescent="0.25">
      <c r="C1472" s="2"/>
      <c r="D1472" s="134"/>
      <c r="E1472" s="2"/>
      <c r="F1472" s="2"/>
      <c r="G1472" s="67"/>
      <c r="H1472" s="67"/>
      <c r="I1472" s="67"/>
      <c r="J1472" s="2"/>
    </row>
    <row r="1473" spans="3:10" x14ac:dyDescent="0.25">
      <c r="C1473" s="2"/>
      <c r="D1473" s="134"/>
      <c r="E1473" s="2"/>
      <c r="F1473" s="2"/>
      <c r="G1473" s="67"/>
      <c r="H1473" s="67"/>
      <c r="I1473" s="67"/>
      <c r="J1473" s="2"/>
    </row>
    <row r="1474" spans="3:10" x14ac:dyDescent="0.25">
      <c r="C1474" s="2"/>
      <c r="D1474" s="134"/>
      <c r="E1474" s="2"/>
      <c r="F1474" s="2"/>
      <c r="G1474" s="67"/>
      <c r="H1474" s="67"/>
      <c r="I1474" s="67"/>
      <c r="J1474" s="2"/>
    </row>
    <row r="1475" spans="3:10" x14ac:dyDescent="0.25">
      <c r="C1475" s="2"/>
      <c r="D1475" s="134"/>
      <c r="E1475" s="2"/>
      <c r="F1475" s="2"/>
      <c r="G1475" s="67"/>
      <c r="H1475" s="67"/>
      <c r="I1475" s="67"/>
      <c r="J1475" s="2"/>
    </row>
    <row r="1476" spans="3:10" x14ac:dyDescent="0.25">
      <c r="C1476" s="2"/>
      <c r="D1476" s="134"/>
      <c r="E1476" s="2"/>
      <c r="F1476" s="2"/>
      <c r="G1476" s="67"/>
      <c r="H1476" s="67"/>
      <c r="I1476" s="67"/>
      <c r="J1476" s="2"/>
    </row>
    <row r="1477" spans="3:10" x14ac:dyDescent="0.25">
      <c r="C1477" s="2"/>
      <c r="D1477" s="134"/>
      <c r="E1477" s="2"/>
      <c r="F1477" s="2"/>
      <c r="G1477" s="67"/>
      <c r="H1477" s="67"/>
      <c r="I1477" s="67"/>
      <c r="J1477" s="2"/>
    </row>
    <row r="1478" spans="3:10" x14ac:dyDescent="0.25">
      <c r="C1478" s="2"/>
      <c r="D1478" s="134"/>
      <c r="E1478" s="2"/>
      <c r="F1478" s="2"/>
      <c r="G1478" s="67"/>
      <c r="H1478" s="67"/>
      <c r="I1478" s="67"/>
      <c r="J1478" s="2"/>
    </row>
    <row r="1479" spans="3:10" x14ac:dyDescent="0.25">
      <c r="C1479" s="2"/>
      <c r="D1479" s="134"/>
      <c r="E1479" s="2"/>
      <c r="F1479" s="2"/>
      <c r="G1479" s="67"/>
      <c r="H1479" s="67"/>
      <c r="I1479" s="67"/>
      <c r="J1479" s="2"/>
    </row>
    <row r="1480" spans="3:10" x14ac:dyDescent="0.25">
      <c r="C1480" s="2"/>
      <c r="D1480" s="134"/>
      <c r="E1480" s="2"/>
      <c r="F1480" s="2"/>
      <c r="G1480" s="67"/>
      <c r="H1480" s="67"/>
      <c r="I1480" s="67"/>
      <c r="J1480" s="2"/>
    </row>
    <row r="1481" spans="3:10" x14ac:dyDescent="0.25">
      <c r="C1481" s="2"/>
      <c r="D1481" s="134"/>
      <c r="E1481" s="2"/>
      <c r="F1481" s="2"/>
      <c r="G1481" s="67"/>
      <c r="H1481" s="67"/>
      <c r="I1481" s="67"/>
      <c r="J1481" s="2"/>
    </row>
    <row r="1482" spans="3:10" x14ac:dyDescent="0.25">
      <c r="C1482" s="2"/>
      <c r="D1482" s="134"/>
      <c r="E1482" s="2"/>
      <c r="F1482" s="2"/>
      <c r="G1482" s="67"/>
      <c r="H1482" s="67"/>
      <c r="I1482" s="67"/>
      <c r="J1482" s="2"/>
    </row>
    <row r="1483" spans="3:10" x14ac:dyDescent="0.25">
      <c r="C1483" s="2"/>
      <c r="D1483" s="134"/>
      <c r="E1483" s="2"/>
      <c r="F1483" s="2"/>
      <c r="G1483" s="67"/>
      <c r="H1483" s="67"/>
      <c r="I1483" s="67"/>
      <c r="J1483" s="2"/>
    </row>
    <row r="1484" spans="3:10" x14ac:dyDescent="0.25">
      <c r="C1484" s="2"/>
      <c r="D1484" s="134"/>
      <c r="E1484" s="2"/>
      <c r="F1484" s="2"/>
      <c r="G1484" s="67"/>
      <c r="H1484" s="67"/>
      <c r="I1484" s="67"/>
      <c r="J1484" s="2"/>
    </row>
    <row r="1485" spans="3:10" x14ac:dyDescent="0.25">
      <c r="C1485" s="2"/>
      <c r="D1485" s="134"/>
      <c r="E1485" s="2"/>
      <c r="F1485" s="2"/>
      <c r="G1485" s="67"/>
      <c r="H1485" s="67"/>
      <c r="I1485" s="67"/>
      <c r="J1485" s="2"/>
    </row>
    <row r="1486" spans="3:10" x14ac:dyDescent="0.25">
      <c r="C1486" s="2"/>
      <c r="D1486" s="134"/>
      <c r="E1486" s="2"/>
      <c r="F1486" s="2"/>
      <c r="G1486" s="67"/>
      <c r="H1486" s="67"/>
      <c r="I1486" s="67"/>
      <c r="J1486" s="2"/>
    </row>
    <row r="1487" spans="3:10" x14ac:dyDescent="0.25">
      <c r="C1487" s="2"/>
      <c r="D1487" s="134"/>
      <c r="E1487" s="2"/>
      <c r="F1487" s="2"/>
      <c r="G1487" s="67"/>
      <c r="H1487" s="67"/>
      <c r="I1487" s="67"/>
      <c r="J1487" s="2"/>
    </row>
    <row r="1488" spans="3:10" x14ac:dyDescent="0.25">
      <c r="C1488" s="2"/>
      <c r="D1488" s="134"/>
      <c r="E1488" s="2"/>
      <c r="F1488" s="2"/>
      <c r="G1488" s="67"/>
      <c r="H1488" s="67"/>
      <c r="I1488" s="67"/>
      <c r="J1488" s="2"/>
    </row>
    <row r="1489" spans="3:10" x14ac:dyDescent="0.25">
      <c r="C1489" s="2"/>
      <c r="D1489" s="134"/>
      <c r="E1489" s="2"/>
      <c r="F1489" s="2"/>
      <c r="G1489" s="67"/>
      <c r="H1489" s="67"/>
      <c r="I1489" s="67"/>
      <c r="J1489" s="2"/>
    </row>
    <row r="1490" spans="3:10" x14ac:dyDescent="0.25">
      <c r="C1490" s="2"/>
      <c r="D1490" s="134"/>
      <c r="E1490" s="2"/>
      <c r="F1490" s="2"/>
      <c r="G1490" s="67"/>
      <c r="H1490" s="67"/>
      <c r="I1490" s="67"/>
      <c r="J1490" s="2"/>
    </row>
    <row r="1491" spans="3:10" x14ac:dyDescent="0.25">
      <c r="C1491" s="2"/>
      <c r="D1491" s="134"/>
      <c r="E1491" s="2"/>
      <c r="F1491" s="2"/>
      <c r="G1491" s="67"/>
      <c r="H1491" s="67"/>
      <c r="I1491" s="67"/>
      <c r="J1491" s="2"/>
    </row>
    <row r="1492" spans="3:10" x14ac:dyDescent="0.25">
      <c r="C1492" s="2"/>
      <c r="D1492" s="134"/>
      <c r="E1492" s="2"/>
      <c r="F1492" s="2"/>
      <c r="G1492" s="67"/>
      <c r="H1492" s="67"/>
      <c r="I1492" s="67"/>
      <c r="J1492" s="2"/>
    </row>
    <row r="1493" spans="3:10" x14ac:dyDescent="0.25">
      <c r="C1493" s="2"/>
      <c r="D1493" s="134"/>
      <c r="E1493" s="2"/>
      <c r="F1493" s="2"/>
      <c r="G1493" s="67"/>
      <c r="H1493" s="67"/>
      <c r="I1493" s="67"/>
      <c r="J1493" s="2"/>
    </row>
    <row r="1494" spans="3:10" x14ac:dyDescent="0.25">
      <c r="C1494" s="2"/>
      <c r="D1494" s="134"/>
      <c r="E1494" s="2"/>
      <c r="F1494" s="2"/>
      <c r="G1494" s="67"/>
      <c r="H1494" s="67"/>
      <c r="I1494" s="67"/>
      <c r="J1494" s="2"/>
    </row>
    <row r="1495" spans="3:10" x14ac:dyDescent="0.25">
      <c r="C1495" s="2"/>
      <c r="D1495" s="134"/>
      <c r="E1495" s="2"/>
      <c r="F1495" s="2"/>
      <c r="G1495" s="67"/>
      <c r="H1495" s="67"/>
      <c r="I1495" s="67"/>
      <c r="J1495" s="2"/>
    </row>
    <row r="1496" spans="3:10" x14ac:dyDescent="0.25">
      <c r="C1496" s="2"/>
      <c r="D1496" s="134"/>
      <c r="E1496" s="2"/>
      <c r="F1496" s="2"/>
      <c r="G1496" s="67"/>
      <c r="H1496" s="67"/>
      <c r="I1496" s="67"/>
      <c r="J1496" s="2"/>
    </row>
    <row r="1497" spans="3:10" x14ac:dyDescent="0.25">
      <c r="C1497" s="2"/>
      <c r="D1497" s="134"/>
      <c r="E1497" s="2"/>
      <c r="F1497" s="2"/>
      <c r="G1497" s="67"/>
      <c r="H1497" s="67"/>
      <c r="I1497" s="67"/>
      <c r="J1497" s="2"/>
    </row>
    <row r="1498" spans="3:10" x14ac:dyDescent="0.25">
      <c r="C1498" s="2"/>
      <c r="D1498" s="134"/>
      <c r="E1498" s="2"/>
      <c r="F1498" s="2"/>
      <c r="G1498" s="67"/>
      <c r="H1498" s="67"/>
      <c r="I1498" s="67"/>
      <c r="J1498" s="2"/>
    </row>
    <row r="1499" spans="3:10" x14ac:dyDescent="0.25">
      <c r="C1499" s="2"/>
      <c r="D1499" s="134"/>
      <c r="E1499" s="2"/>
      <c r="F1499" s="2"/>
      <c r="G1499" s="67"/>
      <c r="H1499" s="67"/>
      <c r="I1499" s="67"/>
      <c r="J1499" s="2"/>
    </row>
    <row r="1500" spans="3:10" x14ac:dyDescent="0.25">
      <c r="C1500" s="2"/>
      <c r="D1500" s="134"/>
      <c r="E1500" s="2"/>
      <c r="F1500" s="2"/>
      <c r="G1500" s="67"/>
      <c r="H1500" s="67"/>
      <c r="I1500" s="67"/>
      <c r="J1500" s="2"/>
    </row>
    <row r="1501" spans="3:10" x14ac:dyDescent="0.25">
      <c r="C1501" s="2"/>
      <c r="D1501" s="134"/>
      <c r="E1501" s="2"/>
      <c r="F1501" s="2"/>
      <c r="G1501" s="67"/>
      <c r="H1501" s="67"/>
      <c r="I1501" s="67"/>
      <c r="J1501" s="2"/>
    </row>
    <row r="1502" spans="3:10" x14ac:dyDescent="0.25">
      <c r="C1502" s="2"/>
      <c r="D1502" s="134"/>
      <c r="E1502" s="2"/>
      <c r="F1502" s="2"/>
      <c r="G1502" s="67"/>
      <c r="H1502" s="67"/>
      <c r="I1502" s="67"/>
      <c r="J1502" s="2"/>
    </row>
    <row r="1503" spans="3:10" x14ac:dyDescent="0.25">
      <c r="C1503" s="2"/>
      <c r="D1503" s="134"/>
      <c r="E1503" s="2"/>
      <c r="F1503" s="2"/>
      <c r="G1503" s="67"/>
      <c r="H1503" s="67"/>
      <c r="I1503" s="67"/>
      <c r="J1503" s="2"/>
    </row>
    <row r="1504" spans="3:10" x14ac:dyDescent="0.25">
      <c r="C1504" s="2"/>
      <c r="D1504" s="134"/>
      <c r="E1504" s="2"/>
      <c r="F1504" s="2"/>
      <c r="G1504" s="67"/>
      <c r="H1504" s="67"/>
      <c r="I1504" s="67"/>
      <c r="J1504" s="2"/>
    </row>
    <row r="1505" spans="3:10" x14ac:dyDescent="0.25">
      <c r="C1505" s="2"/>
      <c r="D1505" s="134"/>
      <c r="E1505" s="2"/>
      <c r="F1505" s="2"/>
      <c r="G1505" s="67"/>
      <c r="H1505" s="67"/>
      <c r="I1505" s="67"/>
      <c r="J1505" s="2"/>
    </row>
    <row r="1506" spans="3:10" x14ac:dyDescent="0.25">
      <c r="C1506" s="2"/>
      <c r="D1506" s="134"/>
      <c r="E1506" s="2"/>
      <c r="F1506" s="2"/>
      <c r="G1506" s="67"/>
      <c r="H1506" s="67"/>
      <c r="I1506" s="67"/>
      <c r="J1506" s="2"/>
    </row>
    <row r="1507" spans="3:10" x14ac:dyDescent="0.25">
      <c r="C1507" s="2"/>
      <c r="D1507" s="134"/>
      <c r="E1507" s="2"/>
      <c r="F1507" s="2"/>
      <c r="G1507" s="67"/>
      <c r="H1507" s="67"/>
      <c r="I1507" s="67"/>
      <c r="J1507" s="2"/>
    </row>
    <row r="1508" spans="3:10" x14ac:dyDescent="0.25">
      <c r="C1508" s="2"/>
      <c r="D1508" s="134"/>
      <c r="E1508" s="2"/>
      <c r="F1508" s="2"/>
      <c r="G1508" s="67"/>
      <c r="H1508" s="67"/>
      <c r="I1508" s="67"/>
      <c r="J1508" s="2"/>
    </row>
    <row r="1509" spans="3:10" x14ac:dyDescent="0.25">
      <c r="C1509" s="2"/>
      <c r="D1509" s="134"/>
      <c r="E1509" s="2"/>
      <c r="F1509" s="2"/>
      <c r="G1509" s="67"/>
      <c r="H1509" s="67"/>
      <c r="I1509" s="67"/>
      <c r="J1509" s="2"/>
    </row>
    <row r="1510" spans="3:10" x14ac:dyDescent="0.25">
      <c r="C1510" s="2"/>
      <c r="D1510" s="134"/>
      <c r="E1510" s="2"/>
      <c r="F1510" s="2"/>
      <c r="G1510" s="67"/>
      <c r="H1510" s="67"/>
      <c r="I1510" s="67"/>
      <c r="J1510" s="2"/>
    </row>
    <row r="1511" spans="3:10" x14ac:dyDescent="0.25">
      <c r="C1511" s="2"/>
      <c r="D1511" s="134"/>
      <c r="E1511" s="2"/>
      <c r="F1511" s="2"/>
      <c r="G1511" s="67"/>
      <c r="H1511" s="67"/>
      <c r="I1511" s="67"/>
      <c r="J1511" s="2"/>
    </row>
    <row r="1512" spans="3:10" x14ac:dyDescent="0.25">
      <c r="C1512" s="2"/>
      <c r="D1512" s="134"/>
      <c r="E1512" s="2"/>
      <c r="F1512" s="2"/>
      <c r="G1512" s="67"/>
      <c r="H1512" s="67"/>
      <c r="I1512" s="67"/>
      <c r="J1512" s="2"/>
    </row>
    <row r="1513" spans="3:10" x14ac:dyDescent="0.25">
      <c r="C1513" s="2"/>
      <c r="D1513" s="134"/>
      <c r="E1513" s="2"/>
      <c r="F1513" s="2"/>
      <c r="G1513" s="67"/>
      <c r="H1513" s="67"/>
      <c r="I1513" s="67"/>
      <c r="J1513" s="2"/>
    </row>
    <row r="1514" spans="3:10" x14ac:dyDescent="0.25">
      <c r="C1514" s="2"/>
      <c r="D1514" s="134"/>
      <c r="E1514" s="2"/>
      <c r="F1514" s="2"/>
      <c r="G1514" s="67"/>
      <c r="H1514" s="67"/>
      <c r="I1514" s="67"/>
      <c r="J1514" s="2"/>
    </row>
    <row r="1515" spans="3:10" x14ac:dyDescent="0.25">
      <c r="C1515" s="2"/>
      <c r="D1515" s="134"/>
      <c r="E1515" s="2"/>
      <c r="F1515" s="2"/>
      <c r="G1515" s="67"/>
      <c r="H1515" s="67"/>
      <c r="I1515" s="67"/>
      <c r="J1515" s="2"/>
    </row>
    <row r="1516" spans="3:10" x14ac:dyDescent="0.25">
      <c r="C1516" s="2"/>
      <c r="D1516" s="134"/>
      <c r="E1516" s="2"/>
      <c r="F1516" s="2"/>
      <c r="G1516" s="67"/>
      <c r="H1516" s="67"/>
      <c r="I1516" s="67"/>
      <c r="J1516" s="2"/>
    </row>
    <row r="1517" spans="3:10" x14ac:dyDescent="0.25">
      <c r="C1517" s="2"/>
      <c r="D1517" s="134"/>
      <c r="E1517" s="2"/>
      <c r="F1517" s="2"/>
      <c r="G1517" s="67"/>
      <c r="H1517" s="67"/>
      <c r="I1517" s="67"/>
      <c r="J1517" s="2"/>
    </row>
    <row r="1518" spans="3:10" x14ac:dyDescent="0.25">
      <c r="C1518" s="2"/>
      <c r="D1518" s="134"/>
      <c r="E1518" s="2"/>
      <c r="F1518" s="2"/>
      <c r="G1518" s="67"/>
      <c r="H1518" s="67"/>
      <c r="I1518" s="67"/>
      <c r="J1518" s="2"/>
    </row>
    <row r="1519" spans="3:10" x14ac:dyDescent="0.25">
      <c r="C1519" s="2"/>
      <c r="D1519" s="134"/>
      <c r="E1519" s="2"/>
      <c r="F1519" s="2"/>
      <c r="G1519" s="67"/>
      <c r="H1519" s="67"/>
      <c r="I1519" s="67"/>
      <c r="J1519" s="2"/>
    </row>
    <row r="1520" spans="3:10" x14ac:dyDescent="0.25">
      <c r="C1520" s="2"/>
      <c r="D1520" s="134"/>
      <c r="E1520" s="2"/>
      <c r="F1520" s="2"/>
      <c r="G1520" s="67"/>
      <c r="H1520" s="67"/>
      <c r="I1520" s="67"/>
      <c r="J1520" s="2"/>
    </row>
    <row r="1521" spans="3:10" x14ac:dyDescent="0.25">
      <c r="C1521" s="2"/>
      <c r="D1521" s="134"/>
      <c r="E1521" s="2"/>
      <c r="F1521" s="2"/>
      <c r="G1521" s="67"/>
      <c r="H1521" s="67"/>
      <c r="I1521" s="67"/>
      <c r="J1521" s="2"/>
    </row>
    <row r="1522" spans="3:10" x14ac:dyDescent="0.25">
      <c r="C1522" s="2"/>
      <c r="D1522" s="134"/>
      <c r="E1522" s="2"/>
      <c r="F1522" s="2"/>
      <c r="G1522" s="67"/>
      <c r="H1522" s="67"/>
      <c r="I1522" s="67"/>
      <c r="J1522" s="2"/>
    </row>
    <row r="1523" spans="3:10" x14ac:dyDescent="0.25">
      <c r="C1523" s="2"/>
      <c r="D1523" s="134"/>
      <c r="E1523" s="2"/>
      <c r="F1523" s="2"/>
      <c r="G1523" s="67"/>
      <c r="H1523" s="67"/>
      <c r="I1523" s="67"/>
      <c r="J1523" s="2"/>
    </row>
    <row r="1524" spans="3:10" x14ac:dyDescent="0.25">
      <c r="C1524" s="2"/>
      <c r="D1524" s="134"/>
      <c r="E1524" s="2"/>
      <c r="F1524" s="2"/>
      <c r="G1524" s="67"/>
      <c r="H1524" s="67"/>
      <c r="I1524" s="67"/>
      <c r="J1524" s="2"/>
    </row>
    <row r="1525" spans="3:10" x14ac:dyDescent="0.25">
      <c r="C1525" s="2"/>
      <c r="D1525" s="134"/>
      <c r="E1525" s="2"/>
      <c r="F1525" s="2"/>
      <c r="G1525" s="67"/>
      <c r="H1525" s="67"/>
      <c r="I1525" s="67"/>
      <c r="J1525" s="2"/>
    </row>
    <row r="1526" spans="3:10" x14ac:dyDescent="0.25">
      <c r="C1526" s="2"/>
      <c r="D1526" s="134"/>
      <c r="E1526" s="2"/>
      <c r="F1526" s="2"/>
      <c r="G1526" s="67"/>
      <c r="H1526" s="67"/>
      <c r="I1526" s="67"/>
      <c r="J1526" s="2"/>
    </row>
    <row r="1527" spans="3:10" x14ac:dyDescent="0.25">
      <c r="C1527" s="2"/>
      <c r="D1527" s="134"/>
      <c r="E1527" s="2"/>
      <c r="F1527" s="2"/>
      <c r="G1527" s="67"/>
      <c r="H1527" s="67"/>
      <c r="I1527" s="67"/>
      <c r="J1527" s="2"/>
    </row>
    <row r="1528" spans="3:10" x14ac:dyDescent="0.25">
      <c r="C1528" s="2"/>
      <c r="D1528" s="134"/>
      <c r="E1528" s="2"/>
      <c r="F1528" s="2"/>
      <c r="G1528" s="67"/>
      <c r="H1528" s="67"/>
      <c r="I1528" s="67"/>
      <c r="J1528" s="2"/>
    </row>
    <row r="1529" spans="3:10" x14ac:dyDescent="0.25">
      <c r="C1529" s="2"/>
      <c r="D1529" s="134"/>
      <c r="E1529" s="2"/>
      <c r="F1529" s="2"/>
      <c r="G1529" s="67"/>
      <c r="H1529" s="67"/>
      <c r="I1529" s="67"/>
      <c r="J1529" s="2"/>
    </row>
    <row r="1530" spans="3:10" x14ac:dyDescent="0.25">
      <c r="C1530" s="2"/>
      <c r="D1530" s="134"/>
      <c r="E1530" s="2"/>
      <c r="F1530" s="2"/>
      <c r="G1530" s="67"/>
      <c r="H1530" s="67"/>
      <c r="I1530" s="67"/>
      <c r="J1530" s="2"/>
    </row>
    <row r="1531" spans="3:10" x14ac:dyDescent="0.25">
      <c r="C1531" s="2"/>
      <c r="D1531" s="134"/>
      <c r="E1531" s="2"/>
      <c r="F1531" s="2"/>
      <c r="G1531" s="67"/>
      <c r="H1531" s="67"/>
      <c r="I1531" s="67"/>
      <c r="J1531" s="2"/>
    </row>
    <row r="1532" spans="3:10" x14ac:dyDescent="0.25">
      <c r="C1532" s="2"/>
      <c r="D1532" s="134"/>
      <c r="E1532" s="2"/>
      <c r="F1532" s="2"/>
      <c r="G1532" s="67"/>
      <c r="H1532" s="67"/>
      <c r="I1532" s="67"/>
      <c r="J1532" s="2"/>
    </row>
    <row r="1533" spans="3:10" x14ac:dyDescent="0.25">
      <c r="C1533" s="2"/>
      <c r="D1533" s="134"/>
      <c r="E1533" s="2"/>
      <c r="F1533" s="2"/>
      <c r="G1533" s="67"/>
      <c r="H1533" s="67"/>
      <c r="I1533" s="67"/>
      <c r="J1533" s="2"/>
    </row>
    <row r="1534" spans="3:10" x14ac:dyDescent="0.25">
      <c r="C1534" s="2"/>
      <c r="D1534" s="134"/>
      <c r="E1534" s="2"/>
      <c r="F1534" s="2"/>
      <c r="G1534" s="67"/>
      <c r="H1534" s="67"/>
      <c r="I1534" s="67"/>
      <c r="J1534" s="2"/>
    </row>
    <row r="1535" spans="3:10" x14ac:dyDescent="0.25">
      <c r="C1535" s="2"/>
      <c r="D1535" s="134"/>
      <c r="E1535" s="2"/>
      <c r="F1535" s="2"/>
      <c r="G1535" s="67"/>
      <c r="H1535" s="67"/>
      <c r="I1535" s="67"/>
      <c r="J1535" s="2"/>
    </row>
    <row r="1536" spans="3:10" x14ac:dyDescent="0.25">
      <c r="C1536" s="2"/>
      <c r="D1536" s="134"/>
      <c r="E1536" s="2"/>
      <c r="F1536" s="2"/>
      <c r="G1536" s="67"/>
      <c r="H1536" s="67"/>
      <c r="I1536" s="67"/>
      <c r="J1536" s="2"/>
    </row>
    <row r="1537" spans="3:10" x14ac:dyDescent="0.25">
      <c r="C1537" s="2"/>
      <c r="D1537" s="134"/>
      <c r="E1537" s="2"/>
      <c r="F1537" s="2"/>
      <c r="G1537" s="67"/>
      <c r="H1537" s="67"/>
      <c r="I1537" s="67"/>
      <c r="J1537" s="2"/>
    </row>
    <row r="1538" spans="3:10" x14ac:dyDescent="0.25">
      <c r="C1538" s="2"/>
      <c r="D1538" s="134"/>
      <c r="E1538" s="2"/>
      <c r="F1538" s="2"/>
      <c r="G1538" s="67"/>
      <c r="H1538" s="67"/>
      <c r="I1538" s="67"/>
      <c r="J1538" s="2"/>
    </row>
    <row r="1539" spans="3:10" x14ac:dyDescent="0.25">
      <c r="C1539" s="2"/>
      <c r="D1539" s="134"/>
      <c r="E1539" s="2"/>
      <c r="F1539" s="2"/>
      <c r="G1539" s="67"/>
      <c r="H1539" s="67"/>
      <c r="I1539" s="67"/>
      <c r="J1539" s="2"/>
    </row>
    <row r="1540" spans="3:10" x14ac:dyDescent="0.25">
      <c r="C1540" s="2"/>
      <c r="D1540" s="134"/>
      <c r="E1540" s="2"/>
      <c r="F1540" s="2"/>
      <c r="G1540" s="67"/>
      <c r="H1540" s="67"/>
      <c r="I1540" s="67"/>
      <c r="J1540" s="2"/>
    </row>
    <row r="1541" spans="3:10" x14ac:dyDescent="0.25">
      <c r="C1541" s="2"/>
      <c r="D1541" s="134"/>
      <c r="E1541" s="2"/>
      <c r="F1541" s="2"/>
      <c r="G1541" s="67"/>
      <c r="H1541" s="67"/>
      <c r="I1541" s="67"/>
      <c r="J1541" s="2"/>
    </row>
    <row r="1542" spans="3:10" x14ac:dyDescent="0.25">
      <c r="C1542" s="2"/>
      <c r="D1542" s="134"/>
      <c r="E1542" s="2"/>
      <c r="F1542" s="2"/>
      <c r="G1542" s="67"/>
      <c r="H1542" s="67"/>
      <c r="I1542" s="67"/>
      <c r="J1542" s="2"/>
    </row>
    <row r="1543" spans="3:10" x14ac:dyDescent="0.25">
      <c r="C1543" s="2"/>
      <c r="D1543" s="134"/>
      <c r="E1543" s="2"/>
      <c r="F1543" s="2"/>
      <c r="G1543" s="67"/>
      <c r="H1543" s="67"/>
      <c r="I1543" s="67"/>
      <c r="J1543" s="2"/>
    </row>
    <row r="1544" spans="3:10" x14ac:dyDescent="0.25">
      <c r="C1544" s="2"/>
      <c r="D1544" s="134"/>
      <c r="E1544" s="2"/>
      <c r="F1544" s="2"/>
      <c r="G1544" s="67"/>
      <c r="H1544" s="67"/>
      <c r="I1544" s="67"/>
      <c r="J1544" s="2"/>
    </row>
    <row r="1545" spans="3:10" x14ac:dyDescent="0.25">
      <c r="C1545" s="2"/>
      <c r="D1545" s="134"/>
      <c r="E1545" s="2"/>
      <c r="F1545" s="2"/>
      <c r="G1545" s="67"/>
      <c r="H1545" s="67"/>
      <c r="I1545" s="67"/>
      <c r="J1545" s="2"/>
    </row>
    <row r="1546" spans="3:10" x14ac:dyDescent="0.25">
      <c r="C1546" s="2"/>
      <c r="D1546" s="134"/>
      <c r="E1546" s="2"/>
      <c r="F1546" s="2"/>
      <c r="G1546" s="67"/>
      <c r="H1546" s="67"/>
      <c r="I1546" s="67"/>
      <c r="J1546" s="2"/>
    </row>
    <row r="1547" spans="3:10" x14ac:dyDescent="0.25">
      <c r="C1547" s="2"/>
      <c r="D1547" s="134"/>
      <c r="E1547" s="2"/>
      <c r="F1547" s="2"/>
      <c r="G1547" s="67"/>
      <c r="H1547" s="67"/>
      <c r="I1547" s="67"/>
      <c r="J1547" s="2"/>
    </row>
    <row r="1548" spans="3:10" x14ac:dyDescent="0.25">
      <c r="C1548" s="2"/>
      <c r="D1548" s="134"/>
      <c r="E1548" s="2"/>
      <c r="F1548" s="2"/>
      <c r="G1548" s="67"/>
      <c r="H1548" s="67"/>
      <c r="I1548" s="67"/>
      <c r="J1548" s="2"/>
    </row>
    <row r="1549" spans="3:10" x14ac:dyDescent="0.25">
      <c r="C1549" s="2"/>
      <c r="D1549" s="134"/>
      <c r="E1549" s="2"/>
      <c r="F1549" s="2"/>
      <c r="G1549" s="67"/>
      <c r="H1549" s="67"/>
      <c r="I1549" s="67"/>
      <c r="J1549" s="2"/>
    </row>
    <row r="1550" spans="3:10" x14ac:dyDescent="0.25">
      <c r="C1550" s="2"/>
      <c r="D1550" s="134"/>
      <c r="E1550" s="2"/>
      <c r="F1550" s="2"/>
      <c r="G1550" s="67"/>
      <c r="H1550" s="67"/>
      <c r="I1550" s="67"/>
      <c r="J1550" s="2"/>
    </row>
    <row r="1551" spans="3:10" x14ac:dyDescent="0.25">
      <c r="C1551" s="2"/>
      <c r="D1551" s="134"/>
      <c r="E1551" s="2"/>
      <c r="F1551" s="2"/>
      <c r="G1551" s="67"/>
      <c r="H1551" s="67"/>
      <c r="I1551" s="67"/>
      <c r="J1551" s="2"/>
    </row>
    <row r="1552" spans="3:10" x14ac:dyDescent="0.25">
      <c r="C1552" s="2"/>
      <c r="D1552" s="134"/>
      <c r="E1552" s="2"/>
      <c r="F1552" s="2"/>
      <c r="G1552" s="67"/>
      <c r="H1552" s="67"/>
      <c r="I1552" s="67"/>
      <c r="J1552" s="2"/>
    </row>
    <row r="1553" spans="3:10" x14ac:dyDescent="0.25">
      <c r="C1553" s="2"/>
      <c r="D1553" s="134"/>
      <c r="E1553" s="2"/>
      <c r="F1553" s="2"/>
      <c r="G1553" s="67"/>
      <c r="H1553" s="67"/>
      <c r="I1553" s="67"/>
      <c r="J1553" s="2"/>
    </row>
    <row r="1554" spans="3:10" x14ac:dyDescent="0.25">
      <c r="C1554" s="2"/>
      <c r="D1554" s="134"/>
      <c r="E1554" s="2"/>
      <c r="F1554" s="2"/>
      <c r="G1554" s="67"/>
      <c r="H1554" s="67"/>
      <c r="I1554" s="67"/>
      <c r="J1554" s="2"/>
    </row>
    <row r="1555" spans="3:10" x14ac:dyDescent="0.25">
      <c r="C1555" s="2"/>
      <c r="D1555" s="134"/>
      <c r="E1555" s="2"/>
      <c r="F1555" s="2"/>
      <c r="G1555" s="67"/>
      <c r="H1555" s="67"/>
      <c r="I1555" s="67"/>
      <c r="J1555" s="2"/>
    </row>
    <row r="1556" spans="3:10" x14ac:dyDescent="0.25">
      <c r="C1556" s="2"/>
      <c r="D1556" s="134"/>
      <c r="E1556" s="2"/>
      <c r="F1556" s="2"/>
      <c r="G1556" s="67"/>
      <c r="H1556" s="67"/>
      <c r="I1556" s="67"/>
      <c r="J1556" s="2"/>
    </row>
    <row r="1557" spans="3:10" x14ac:dyDescent="0.25">
      <c r="C1557" s="2"/>
      <c r="D1557" s="134"/>
      <c r="E1557" s="2"/>
      <c r="F1557" s="2"/>
      <c r="G1557" s="67"/>
      <c r="H1557" s="67"/>
      <c r="I1557" s="67"/>
      <c r="J1557" s="2"/>
    </row>
    <row r="1558" spans="3:10" x14ac:dyDescent="0.25">
      <c r="C1558" s="2"/>
      <c r="D1558" s="134"/>
      <c r="E1558" s="2"/>
      <c r="F1558" s="2"/>
      <c r="G1558" s="67"/>
      <c r="H1558" s="67"/>
      <c r="I1558" s="67"/>
      <c r="J1558" s="2"/>
    </row>
    <row r="1559" spans="3:10" x14ac:dyDescent="0.25">
      <c r="C1559" s="2"/>
      <c r="D1559" s="134"/>
      <c r="E1559" s="2"/>
      <c r="F1559" s="2"/>
      <c r="G1559" s="67"/>
      <c r="H1559" s="67"/>
      <c r="I1559" s="67"/>
      <c r="J1559" s="2"/>
    </row>
    <row r="1560" spans="3:10" x14ac:dyDescent="0.25">
      <c r="C1560" s="2"/>
      <c r="D1560" s="134"/>
      <c r="E1560" s="2"/>
      <c r="F1560" s="2"/>
      <c r="G1560" s="67"/>
      <c r="H1560" s="67"/>
      <c r="I1560" s="67"/>
      <c r="J1560" s="2"/>
    </row>
    <row r="1561" spans="3:10" x14ac:dyDescent="0.25">
      <c r="C1561" s="2"/>
      <c r="D1561" s="134"/>
      <c r="E1561" s="2"/>
      <c r="F1561" s="2"/>
      <c r="G1561" s="67"/>
      <c r="H1561" s="67"/>
      <c r="I1561" s="67"/>
      <c r="J1561" s="2"/>
    </row>
    <row r="1562" spans="3:10" x14ac:dyDescent="0.25">
      <c r="C1562" s="2"/>
      <c r="D1562" s="134"/>
      <c r="E1562" s="2"/>
      <c r="F1562" s="2"/>
      <c r="G1562" s="67"/>
      <c r="H1562" s="67"/>
      <c r="I1562" s="67"/>
      <c r="J1562" s="2"/>
    </row>
    <row r="1563" spans="3:10" x14ac:dyDescent="0.25">
      <c r="C1563" s="2"/>
      <c r="D1563" s="134"/>
      <c r="E1563" s="2"/>
      <c r="F1563" s="2"/>
      <c r="G1563" s="67"/>
      <c r="H1563" s="67"/>
      <c r="I1563" s="67"/>
      <c r="J1563" s="2"/>
    </row>
    <row r="1564" spans="3:10" x14ac:dyDescent="0.25">
      <c r="C1564" s="2"/>
      <c r="D1564" s="134"/>
      <c r="E1564" s="2"/>
      <c r="F1564" s="2"/>
      <c r="G1564" s="67"/>
      <c r="H1564" s="67"/>
      <c r="I1564" s="67"/>
      <c r="J1564" s="2"/>
    </row>
    <row r="1565" spans="3:10" x14ac:dyDescent="0.25">
      <c r="C1565" s="2"/>
      <c r="D1565" s="134"/>
      <c r="E1565" s="2"/>
      <c r="F1565" s="2"/>
      <c r="G1565" s="67"/>
      <c r="H1565" s="67"/>
      <c r="I1565" s="67"/>
      <c r="J1565" s="2"/>
    </row>
    <row r="1566" spans="3:10" x14ac:dyDescent="0.25">
      <c r="C1566" s="2"/>
      <c r="D1566" s="134"/>
      <c r="E1566" s="2"/>
      <c r="F1566" s="2"/>
      <c r="G1566" s="67"/>
      <c r="H1566" s="67"/>
      <c r="I1566" s="67"/>
      <c r="J1566" s="2"/>
    </row>
    <row r="1567" spans="3:10" x14ac:dyDescent="0.25">
      <c r="C1567" s="2"/>
      <c r="D1567" s="134"/>
      <c r="E1567" s="2"/>
      <c r="F1567" s="2"/>
      <c r="G1567" s="67"/>
      <c r="H1567" s="67"/>
      <c r="I1567" s="67"/>
      <c r="J1567" s="2"/>
    </row>
    <row r="1568" spans="3:10" x14ac:dyDescent="0.25">
      <c r="C1568" s="2"/>
      <c r="D1568" s="134"/>
      <c r="E1568" s="2"/>
      <c r="F1568" s="2"/>
      <c r="G1568" s="67"/>
      <c r="H1568" s="67"/>
      <c r="I1568" s="67"/>
      <c r="J1568" s="2"/>
    </row>
    <row r="1569" spans="3:10" x14ac:dyDescent="0.25">
      <c r="C1569" s="2"/>
      <c r="D1569" s="134"/>
      <c r="E1569" s="2"/>
      <c r="F1569" s="2"/>
      <c r="G1569" s="67"/>
      <c r="H1569" s="67"/>
      <c r="I1569" s="67"/>
      <c r="J1569" s="2"/>
    </row>
    <row r="1570" spans="3:10" x14ac:dyDescent="0.25">
      <c r="C1570" s="2"/>
      <c r="D1570" s="134"/>
      <c r="E1570" s="2"/>
      <c r="F1570" s="2"/>
      <c r="G1570" s="67"/>
      <c r="H1570" s="67"/>
      <c r="I1570" s="67"/>
      <c r="J1570" s="2"/>
    </row>
    <row r="1571" spans="3:10" x14ac:dyDescent="0.25">
      <c r="C1571" s="2"/>
      <c r="D1571" s="134"/>
      <c r="E1571" s="2"/>
      <c r="F1571" s="2"/>
      <c r="G1571" s="67"/>
      <c r="H1571" s="67"/>
      <c r="I1571" s="67"/>
      <c r="J1571" s="2"/>
    </row>
    <row r="1572" spans="3:10" x14ac:dyDescent="0.25">
      <c r="C1572" s="2"/>
      <c r="D1572" s="134"/>
      <c r="E1572" s="2"/>
      <c r="F1572" s="2"/>
      <c r="G1572" s="67"/>
      <c r="H1572" s="67"/>
      <c r="I1572" s="67"/>
      <c r="J1572" s="2"/>
    </row>
    <row r="1573" spans="3:10" x14ac:dyDescent="0.25">
      <c r="C1573" s="2"/>
      <c r="D1573" s="134"/>
      <c r="E1573" s="2"/>
      <c r="F1573" s="2"/>
      <c r="G1573" s="67"/>
      <c r="H1573" s="67"/>
      <c r="I1573" s="67"/>
      <c r="J1573" s="2"/>
    </row>
    <row r="1574" spans="3:10" x14ac:dyDescent="0.25">
      <c r="C1574" s="2"/>
      <c r="D1574" s="134"/>
      <c r="E1574" s="2"/>
      <c r="F1574" s="2"/>
      <c r="G1574" s="67"/>
      <c r="H1574" s="67"/>
      <c r="I1574" s="67"/>
      <c r="J1574" s="2"/>
    </row>
    <row r="1575" spans="3:10" x14ac:dyDescent="0.25">
      <c r="C1575" s="2"/>
      <c r="D1575" s="134"/>
      <c r="E1575" s="2"/>
      <c r="F1575" s="2"/>
      <c r="G1575" s="67"/>
      <c r="H1575" s="67"/>
      <c r="I1575" s="67"/>
      <c r="J1575" s="2"/>
    </row>
    <row r="1576" spans="3:10" x14ac:dyDescent="0.25">
      <c r="C1576" s="2"/>
      <c r="D1576" s="134"/>
      <c r="E1576" s="2"/>
      <c r="F1576" s="2"/>
      <c r="G1576" s="67"/>
      <c r="H1576" s="67"/>
      <c r="I1576" s="67"/>
      <c r="J1576" s="2"/>
    </row>
    <row r="1577" spans="3:10" x14ac:dyDescent="0.25">
      <c r="C1577" s="2"/>
      <c r="D1577" s="134"/>
      <c r="E1577" s="2"/>
      <c r="F1577" s="2"/>
      <c r="G1577" s="67"/>
      <c r="H1577" s="67"/>
      <c r="I1577" s="67"/>
      <c r="J1577" s="2"/>
    </row>
    <row r="1578" spans="3:10" x14ac:dyDescent="0.25">
      <c r="C1578" s="2"/>
      <c r="D1578" s="134"/>
      <c r="E1578" s="2"/>
      <c r="F1578" s="2"/>
      <c r="G1578" s="67"/>
      <c r="H1578" s="67"/>
      <c r="I1578" s="67"/>
      <c r="J1578" s="2"/>
    </row>
    <row r="1579" spans="3:10" x14ac:dyDescent="0.25">
      <c r="C1579" s="2"/>
      <c r="D1579" s="134"/>
      <c r="E1579" s="2"/>
      <c r="F1579" s="2"/>
      <c r="G1579" s="67"/>
      <c r="H1579" s="67"/>
      <c r="I1579" s="67"/>
      <c r="J1579" s="2"/>
    </row>
    <row r="1580" spans="3:10" x14ac:dyDescent="0.25">
      <c r="C1580" s="2"/>
      <c r="D1580" s="134"/>
      <c r="E1580" s="2"/>
      <c r="F1580" s="2"/>
      <c r="G1580" s="67"/>
      <c r="H1580" s="67"/>
      <c r="I1580" s="67"/>
      <c r="J1580" s="2"/>
    </row>
    <row r="1581" spans="3:10" x14ac:dyDescent="0.25">
      <c r="C1581" s="2"/>
      <c r="D1581" s="134"/>
      <c r="E1581" s="2"/>
      <c r="F1581" s="2"/>
      <c r="G1581" s="67"/>
      <c r="H1581" s="67"/>
      <c r="I1581" s="67"/>
      <c r="J1581" s="2"/>
    </row>
    <row r="1582" spans="3:10" x14ac:dyDescent="0.25">
      <c r="C1582" s="2"/>
      <c r="D1582" s="134"/>
      <c r="E1582" s="2"/>
      <c r="F1582" s="2"/>
      <c r="G1582" s="67"/>
      <c r="H1582" s="67"/>
      <c r="I1582" s="67"/>
      <c r="J1582" s="2"/>
    </row>
    <row r="1583" spans="3:10" x14ac:dyDescent="0.25">
      <c r="C1583" s="2"/>
      <c r="D1583" s="134"/>
      <c r="E1583" s="2"/>
      <c r="F1583" s="2"/>
      <c r="G1583" s="67"/>
      <c r="H1583" s="67"/>
      <c r="I1583" s="67"/>
      <c r="J1583" s="2"/>
    </row>
    <row r="1584" spans="3:10" x14ac:dyDescent="0.25">
      <c r="C1584" s="2"/>
      <c r="D1584" s="134"/>
      <c r="E1584" s="2"/>
      <c r="F1584" s="2"/>
      <c r="G1584" s="67"/>
      <c r="H1584" s="67"/>
      <c r="I1584" s="67"/>
      <c r="J1584" s="2"/>
    </row>
    <row r="1585" spans="3:10" x14ac:dyDescent="0.25">
      <c r="C1585" s="2"/>
      <c r="D1585" s="134"/>
      <c r="E1585" s="2"/>
      <c r="F1585" s="2"/>
      <c r="G1585" s="67"/>
      <c r="H1585" s="67"/>
      <c r="I1585" s="67"/>
      <c r="J1585" s="2"/>
    </row>
    <row r="1586" spans="3:10" x14ac:dyDescent="0.25">
      <c r="C1586" s="2"/>
      <c r="D1586" s="134"/>
      <c r="E1586" s="2"/>
      <c r="F1586" s="2"/>
      <c r="G1586" s="67"/>
      <c r="H1586" s="67"/>
      <c r="I1586" s="67"/>
      <c r="J1586" s="2"/>
    </row>
    <row r="1587" spans="3:10" x14ac:dyDescent="0.25">
      <c r="C1587" s="2"/>
      <c r="D1587" s="134"/>
      <c r="E1587" s="2"/>
      <c r="F1587" s="2"/>
      <c r="G1587" s="67"/>
      <c r="H1587" s="67"/>
      <c r="I1587" s="67"/>
      <c r="J1587" s="2"/>
    </row>
    <row r="1588" spans="3:10" x14ac:dyDescent="0.25">
      <c r="C1588" s="2"/>
      <c r="D1588" s="134"/>
      <c r="E1588" s="2"/>
      <c r="F1588" s="2"/>
      <c r="G1588" s="67"/>
      <c r="H1588" s="67"/>
      <c r="I1588" s="67"/>
      <c r="J1588" s="2"/>
    </row>
    <row r="1589" spans="3:10" x14ac:dyDescent="0.25">
      <c r="C1589" s="2"/>
      <c r="D1589" s="134"/>
      <c r="E1589" s="2"/>
      <c r="F1589" s="2"/>
      <c r="G1589" s="67"/>
      <c r="H1589" s="67"/>
      <c r="I1589" s="67"/>
      <c r="J1589" s="2"/>
    </row>
    <row r="1590" spans="3:10" x14ac:dyDescent="0.25">
      <c r="C1590" s="2"/>
      <c r="D1590" s="134"/>
      <c r="E1590" s="2"/>
      <c r="F1590" s="2"/>
      <c r="G1590" s="67"/>
      <c r="H1590" s="67"/>
      <c r="I1590" s="67"/>
      <c r="J1590" s="2"/>
    </row>
    <row r="1591" spans="3:10" x14ac:dyDescent="0.25">
      <c r="C1591" s="2"/>
      <c r="D1591" s="134"/>
      <c r="E1591" s="2"/>
      <c r="F1591" s="2"/>
      <c r="G1591" s="67"/>
      <c r="H1591" s="67"/>
      <c r="I1591" s="67"/>
      <c r="J1591" s="2"/>
    </row>
    <row r="1592" spans="3:10" x14ac:dyDescent="0.25">
      <c r="C1592" s="2"/>
      <c r="D1592" s="134"/>
      <c r="E1592" s="2"/>
      <c r="F1592" s="2"/>
      <c r="G1592" s="67"/>
      <c r="H1592" s="67"/>
      <c r="I1592" s="67"/>
      <c r="J1592" s="2"/>
    </row>
    <row r="1593" spans="3:10" x14ac:dyDescent="0.25">
      <c r="C1593" s="2"/>
      <c r="D1593" s="134"/>
      <c r="E1593" s="2"/>
      <c r="F1593" s="2"/>
      <c r="G1593" s="67"/>
      <c r="H1593" s="67"/>
      <c r="I1593" s="67"/>
      <c r="J1593" s="2"/>
    </row>
    <row r="1594" spans="3:10" x14ac:dyDescent="0.25">
      <c r="C1594" s="2"/>
      <c r="D1594" s="134"/>
      <c r="E1594" s="2"/>
      <c r="F1594" s="2"/>
      <c r="G1594" s="67"/>
      <c r="H1594" s="67"/>
      <c r="I1594" s="67"/>
      <c r="J1594" s="2"/>
    </row>
    <row r="1595" spans="3:10" x14ac:dyDescent="0.25">
      <c r="C1595" s="2"/>
      <c r="D1595" s="134"/>
      <c r="E1595" s="2"/>
      <c r="F1595" s="2"/>
      <c r="G1595" s="67"/>
      <c r="H1595" s="67"/>
      <c r="I1595" s="67"/>
      <c r="J1595" s="2"/>
    </row>
    <row r="1596" spans="3:10" x14ac:dyDescent="0.25">
      <c r="C1596" s="2"/>
      <c r="D1596" s="134"/>
      <c r="E1596" s="2"/>
      <c r="F1596" s="2"/>
      <c r="G1596" s="67"/>
      <c r="H1596" s="67"/>
      <c r="I1596" s="67"/>
      <c r="J1596" s="2"/>
    </row>
    <row r="1597" spans="3:10" x14ac:dyDescent="0.25">
      <c r="C1597" s="2"/>
      <c r="D1597" s="134"/>
      <c r="E1597" s="2"/>
      <c r="F1597" s="2"/>
      <c r="G1597" s="67"/>
      <c r="H1597" s="67"/>
      <c r="I1597" s="67"/>
      <c r="J1597" s="2"/>
    </row>
    <row r="1598" spans="3:10" x14ac:dyDescent="0.25">
      <c r="C1598" s="2"/>
      <c r="D1598" s="134"/>
      <c r="E1598" s="2"/>
      <c r="F1598" s="2"/>
      <c r="G1598" s="67"/>
      <c r="H1598" s="67"/>
      <c r="I1598" s="67"/>
      <c r="J1598" s="2"/>
    </row>
    <row r="1599" spans="3:10" x14ac:dyDescent="0.25">
      <c r="C1599" s="2"/>
      <c r="D1599" s="134"/>
      <c r="E1599" s="2"/>
      <c r="F1599" s="2"/>
      <c r="G1599" s="67"/>
      <c r="H1599" s="67"/>
      <c r="I1599" s="67"/>
      <c r="J1599" s="2"/>
    </row>
    <row r="1600" spans="3:10" x14ac:dyDescent="0.25">
      <c r="C1600" s="2"/>
      <c r="D1600" s="134"/>
      <c r="E1600" s="2"/>
      <c r="F1600" s="2"/>
      <c r="G1600" s="67"/>
      <c r="H1600" s="67"/>
      <c r="I1600" s="67"/>
      <c r="J1600" s="2"/>
    </row>
    <row r="1601" spans="3:10" x14ac:dyDescent="0.25">
      <c r="C1601" s="2"/>
      <c r="D1601" s="134"/>
      <c r="E1601" s="2"/>
      <c r="F1601" s="2"/>
      <c r="G1601" s="67"/>
      <c r="H1601" s="67"/>
      <c r="I1601" s="67"/>
      <c r="J1601" s="2"/>
    </row>
    <row r="1602" spans="3:10" x14ac:dyDescent="0.25">
      <c r="C1602" s="2"/>
      <c r="D1602" s="134"/>
      <c r="E1602" s="2"/>
      <c r="F1602" s="2"/>
      <c r="G1602" s="67"/>
      <c r="H1602" s="67"/>
      <c r="I1602" s="67"/>
      <c r="J1602" s="2"/>
    </row>
    <row r="1603" spans="3:10" x14ac:dyDescent="0.25">
      <c r="C1603" s="2"/>
      <c r="D1603" s="134"/>
      <c r="E1603" s="2"/>
      <c r="F1603" s="2"/>
      <c r="G1603" s="67"/>
      <c r="H1603" s="67"/>
      <c r="I1603" s="67"/>
      <c r="J1603" s="2"/>
    </row>
    <row r="1604" spans="3:10" x14ac:dyDescent="0.25">
      <c r="C1604" s="2"/>
      <c r="D1604" s="134"/>
      <c r="E1604" s="2"/>
      <c r="F1604" s="2"/>
      <c r="G1604" s="67"/>
      <c r="H1604" s="67"/>
      <c r="I1604" s="67"/>
      <c r="J1604" s="2"/>
    </row>
    <row r="1605" spans="3:10" x14ac:dyDescent="0.25">
      <c r="C1605" s="2"/>
      <c r="D1605" s="134"/>
      <c r="E1605" s="2"/>
      <c r="F1605" s="2"/>
      <c r="G1605" s="67"/>
      <c r="H1605" s="67"/>
      <c r="I1605" s="67"/>
      <c r="J1605" s="2"/>
    </row>
    <row r="1606" spans="3:10" x14ac:dyDescent="0.25">
      <c r="C1606" s="2"/>
      <c r="D1606" s="134"/>
      <c r="E1606" s="2"/>
      <c r="F1606" s="2"/>
      <c r="G1606" s="67"/>
      <c r="H1606" s="67"/>
      <c r="I1606" s="67"/>
      <c r="J1606" s="2"/>
    </row>
    <row r="1607" spans="3:10" x14ac:dyDescent="0.25">
      <c r="C1607" s="2"/>
      <c r="D1607" s="134"/>
      <c r="E1607" s="2"/>
      <c r="F1607" s="2"/>
      <c r="G1607" s="67"/>
      <c r="H1607" s="67"/>
      <c r="I1607" s="67"/>
      <c r="J1607" s="2"/>
    </row>
    <row r="1608" spans="3:10" x14ac:dyDescent="0.25">
      <c r="C1608" s="2"/>
      <c r="D1608" s="134"/>
      <c r="E1608" s="2"/>
      <c r="F1608" s="2"/>
      <c r="G1608" s="67"/>
      <c r="H1608" s="67"/>
      <c r="I1608" s="67"/>
      <c r="J1608" s="2"/>
    </row>
    <row r="1609" spans="3:10" x14ac:dyDescent="0.25">
      <c r="C1609" s="2"/>
      <c r="D1609" s="134"/>
      <c r="E1609" s="2"/>
      <c r="F1609" s="2"/>
      <c r="G1609" s="67"/>
      <c r="H1609" s="67"/>
      <c r="I1609" s="67"/>
      <c r="J1609" s="2"/>
    </row>
    <row r="1610" spans="3:10" x14ac:dyDescent="0.25">
      <c r="C1610" s="2"/>
      <c r="D1610" s="134"/>
      <c r="E1610" s="2"/>
      <c r="F1610" s="2"/>
      <c r="G1610" s="67"/>
      <c r="H1610" s="67"/>
      <c r="I1610" s="67"/>
      <c r="J1610" s="2"/>
    </row>
    <row r="1611" spans="3:10" x14ac:dyDescent="0.25">
      <c r="C1611" s="2"/>
      <c r="D1611" s="134"/>
      <c r="E1611" s="2"/>
      <c r="F1611" s="2"/>
      <c r="G1611" s="67"/>
      <c r="H1611" s="67"/>
      <c r="I1611" s="67"/>
      <c r="J1611" s="2"/>
    </row>
    <row r="1612" spans="3:10" x14ac:dyDescent="0.25">
      <c r="C1612" s="2"/>
      <c r="D1612" s="134"/>
      <c r="E1612" s="2"/>
      <c r="F1612" s="2"/>
      <c r="G1612" s="67"/>
      <c r="H1612" s="67"/>
      <c r="I1612" s="67"/>
      <c r="J1612" s="2"/>
    </row>
    <row r="1613" spans="3:10" x14ac:dyDescent="0.25">
      <c r="C1613" s="2"/>
      <c r="D1613" s="134"/>
      <c r="E1613" s="2"/>
      <c r="F1613" s="2"/>
      <c r="G1613" s="67"/>
      <c r="H1613" s="67"/>
      <c r="I1613" s="67"/>
      <c r="J1613" s="2"/>
    </row>
    <row r="1614" spans="3:10" x14ac:dyDescent="0.25">
      <c r="C1614" s="2"/>
      <c r="D1614" s="134"/>
      <c r="E1614" s="2"/>
      <c r="F1614" s="2"/>
      <c r="G1614" s="67"/>
      <c r="H1614" s="67"/>
      <c r="I1614" s="67"/>
      <c r="J1614" s="2"/>
    </row>
    <row r="1615" spans="3:10" x14ac:dyDescent="0.25">
      <c r="C1615" s="2"/>
      <c r="D1615" s="134"/>
      <c r="E1615" s="2"/>
      <c r="F1615" s="2"/>
      <c r="G1615" s="67"/>
      <c r="H1615" s="67"/>
      <c r="I1615" s="67"/>
      <c r="J1615" s="2"/>
    </row>
    <row r="1616" spans="3:10" x14ac:dyDescent="0.25">
      <c r="C1616" s="2"/>
      <c r="D1616" s="134"/>
      <c r="E1616" s="2"/>
      <c r="F1616" s="2"/>
      <c r="G1616" s="67"/>
      <c r="H1616" s="67"/>
      <c r="I1616" s="67"/>
      <c r="J1616" s="2"/>
    </row>
    <row r="1617" spans="3:10" x14ac:dyDescent="0.25">
      <c r="C1617" s="2"/>
      <c r="D1617" s="134"/>
      <c r="E1617" s="2"/>
      <c r="F1617" s="2"/>
      <c r="G1617" s="67"/>
      <c r="H1617" s="67"/>
      <c r="I1617" s="67"/>
      <c r="J1617" s="2"/>
    </row>
    <row r="1618" spans="3:10" x14ac:dyDescent="0.25">
      <c r="C1618" s="2"/>
      <c r="D1618" s="134"/>
      <c r="E1618" s="2"/>
      <c r="F1618" s="2"/>
      <c r="G1618" s="67"/>
      <c r="H1618" s="67"/>
      <c r="I1618" s="67"/>
      <c r="J1618" s="2"/>
    </row>
    <row r="1619" spans="3:10" x14ac:dyDescent="0.25">
      <c r="C1619" s="2"/>
      <c r="D1619" s="134"/>
      <c r="E1619" s="2"/>
      <c r="F1619" s="2"/>
      <c r="G1619" s="67"/>
      <c r="H1619" s="67"/>
      <c r="I1619" s="67"/>
      <c r="J1619" s="2"/>
    </row>
    <row r="1620" spans="3:10" x14ac:dyDescent="0.25">
      <c r="C1620" s="2"/>
      <c r="D1620" s="134"/>
      <c r="E1620" s="2"/>
      <c r="F1620" s="2"/>
      <c r="G1620" s="67"/>
      <c r="H1620" s="67"/>
      <c r="I1620" s="67"/>
      <c r="J1620" s="2"/>
    </row>
    <row r="1621" spans="3:10" x14ac:dyDescent="0.25">
      <c r="C1621" s="2"/>
      <c r="D1621" s="134"/>
      <c r="E1621" s="2"/>
      <c r="F1621" s="2"/>
      <c r="G1621" s="67"/>
      <c r="H1621" s="67"/>
      <c r="I1621" s="67"/>
      <c r="J1621" s="2"/>
    </row>
    <row r="1622" spans="3:10" x14ac:dyDescent="0.25">
      <c r="C1622" s="2"/>
      <c r="D1622" s="134"/>
      <c r="E1622" s="2"/>
      <c r="F1622" s="2"/>
      <c r="G1622" s="67"/>
      <c r="H1622" s="67"/>
      <c r="I1622" s="67"/>
      <c r="J1622" s="2"/>
    </row>
    <row r="1623" spans="3:10" x14ac:dyDescent="0.25">
      <c r="C1623" s="2"/>
      <c r="D1623" s="134"/>
      <c r="E1623" s="2"/>
      <c r="F1623" s="2"/>
      <c r="G1623" s="67"/>
      <c r="H1623" s="67"/>
      <c r="I1623" s="67"/>
      <c r="J1623" s="2"/>
    </row>
    <row r="1624" spans="3:10" x14ac:dyDescent="0.25">
      <c r="C1624" s="2"/>
      <c r="D1624" s="134"/>
      <c r="E1624" s="2"/>
      <c r="F1624" s="2"/>
      <c r="G1624" s="67"/>
      <c r="H1624" s="67"/>
      <c r="I1624" s="67"/>
      <c r="J1624" s="2"/>
    </row>
    <row r="1625" spans="3:10" x14ac:dyDescent="0.25">
      <c r="C1625" s="2"/>
      <c r="D1625" s="134"/>
      <c r="E1625" s="2"/>
      <c r="F1625" s="2"/>
      <c r="G1625" s="67"/>
      <c r="H1625" s="67"/>
      <c r="I1625" s="67"/>
      <c r="J1625" s="2"/>
    </row>
    <row r="1626" spans="3:10" x14ac:dyDescent="0.25">
      <c r="C1626" s="2"/>
      <c r="D1626" s="134"/>
      <c r="E1626" s="2"/>
      <c r="F1626" s="2"/>
      <c r="G1626" s="67"/>
      <c r="H1626" s="67"/>
      <c r="I1626" s="67"/>
      <c r="J1626" s="2"/>
    </row>
    <row r="1627" spans="3:10" x14ac:dyDescent="0.25">
      <c r="C1627" s="2"/>
      <c r="D1627" s="134"/>
      <c r="E1627" s="2"/>
      <c r="F1627" s="2"/>
      <c r="G1627" s="67"/>
      <c r="H1627" s="67"/>
      <c r="I1627" s="67"/>
      <c r="J1627" s="2"/>
    </row>
    <row r="1628" spans="3:10" x14ac:dyDescent="0.25">
      <c r="C1628" s="2"/>
      <c r="D1628" s="134"/>
      <c r="E1628" s="2"/>
      <c r="F1628" s="2"/>
      <c r="G1628" s="67"/>
      <c r="H1628" s="67"/>
      <c r="I1628" s="67"/>
      <c r="J1628" s="2"/>
    </row>
    <row r="1629" spans="3:10" x14ac:dyDescent="0.25">
      <c r="C1629" s="2"/>
      <c r="D1629" s="134"/>
      <c r="E1629" s="2"/>
      <c r="F1629" s="2"/>
      <c r="G1629" s="67"/>
      <c r="H1629" s="67"/>
      <c r="I1629" s="67"/>
      <c r="J1629" s="2"/>
    </row>
    <row r="1630" spans="3:10" x14ac:dyDescent="0.25">
      <c r="C1630" s="2"/>
      <c r="D1630" s="134"/>
      <c r="E1630" s="2"/>
      <c r="F1630" s="2"/>
      <c r="G1630" s="67"/>
      <c r="H1630" s="67"/>
      <c r="I1630" s="67"/>
      <c r="J1630" s="2"/>
    </row>
    <row r="1631" spans="3:10" x14ac:dyDescent="0.25">
      <c r="C1631" s="2"/>
      <c r="D1631" s="134"/>
      <c r="E1631" s="2"/>
      <c r="F1631" s="2"/>
      <c r="G1631" s="67"/>
      <c r="H1631" s="67"/>
      <c r="I1631" s="67"/>
      <c r="J1631" s="2"/>
    </row>
    <row r="1632" spans="3:10" x14ac:dyDescent="0.25">
      <c r="C1632" s="2"/>
      <c r="D1632" s="134"/>
      <c r="E1632" s="2"/>
      <c r="F1632" s="2"/>
      <c r="G1632" s="67"/>
      <c r="H1632" s="67"/>
      <c r="I1632" s="67"/>
      <c r="J1632" s="2"/>
    </row>
    <row r="1633" spans="3:10" x14ac:dyDescent="0.25">
      <c r="C1633" s="2"/>
      <c r="D1633" s="134"/>
      <c r="E1633" s="2"/>
      <c r="F1633" s="2"/>
      <c r="G1633" s="67"/>
      <c r="H1633" s="67"/>
      <c r="I1633" s="67"/>
      <c r="J1633" s="2"/>
    </row>
    <row r="1634" spans="3:10" x14ac:dyDescent="0.25">
      <c r="C1634" s="2"/>
      <c r="D1634" s="134"/>
      <c r="E1634" s="2"/>
      <c r="F1634" s="2"/>
      <c r="G1634" s="67"/>
      <c r="H1634" s="67"/>
      <c r="I1634" s="67"/>
      <c r="J1634" s="2"/>
    </row>
    <row r="1635" spans="3:10" x14ac:dyDescent="0.25">
      <c r="C1635" s="2"/>
      <c r="D1635" s="134"/>
      <c r="E1635" s="2"/>
      <c r="F1635" s="2"/>
      <c r="G1635" s="67"/>
      <c r="H1635" s="67"/>
      <c r="I1635" s="67"/>
      <c r="J1635" s="2"/>
    </row>
    <row r="1636" spans="3:10" x14ac:dyDescent="0.25">
      <c r="C1636" s="2"/>
      <c r="D1636" s="134"/>
      <c r="E1636" s="2"/>
      <c r="F1636" s="2"/>
      <c r="G1636" s="67"/>
      <c r="H1636" s="67"/>
      <c r="I1636" s="67"/>
      <c r="J1636" s="2"/>
    </row>
    <row r="1637" spans="3:10" x14ac:dyDescent="0.25">
      <c r="C1637" s="2"/>
      <c r="D1637" s="134"/>
      <c r="E1637" s="2"/>
      <c r="F1637" s="2"/>
      <c r="G1637" s="67"/>
      <c r="H1637" s="67"/>
      <c r="I1637" s="67"/>
      <c r="J1637" s="2"/>
    </row>
    <row r="1638" spans="3:10" x14ac:dyDescent="0.25">
      <c r="C1638" s="2"/>
      <c r="D1638" s="134"/>
      <c r="E1638" s="2"/>
      <c r="F1638" s="2"/>
      <c r="G1638" s="67"/>
      <c r="H1638" s="67"/>
      <c r="I1638" s="67"/>
      <c r="J1638" s="2"/>
    </row>
    <row r="1639" spans="3:10" x14ac:dyDescent="0.25">
      <c r="C1639" s="2"/>
      <c r="D1639" s="134"/>
      <c r="E1639" s="2"/>
      <c r="F1639" s="2"/>
      <c r="G1639" s="67"/>
      <c r="H1639" s="67"/>
      <c r="I1639" s="67"/>
      <c r="J1639" s="2"/>
    </row>
    <row r="1640" spans="3:10" x14ac:dyDescent="0.25">
      <c r="C1640" s="2"/>
      <c r="D1640" s="134"/>
      <c r="E1640" s="2"/>
      <c r="F1640" s="2"/>
      <c r="G1640" s="67"/>
      <c r="H1640" s="67"/>
      <c r="I1640" s="67"/>
      <c r="J1640" s="2"/>
    </row>
    <row r="1641" spans="3:10" x14ac:dyDescent="0.25">
      <c r="C1641" s="2"/>
      <c r="D1641" s="134"/>
      <c r="E1641" s="2"/>
      <c r="F1641" s="2"/>
      <c r="G1641" s="67"/>
      <c r="H1641" s="67"/>
      <c r="I1641" s="67"/>
      <c r="J1641" s="2"/>
    </row>
    <row r="1642" spans="3:10" x14ac:dyDescent="0.25">
      <c r="C1642" s="2"/>
      <c r="D1642" s="134"/>
      <c r="E1642" s="2"/>
      <c r="F1642" s="2"/>
      <c r="G1642" s="67"/>
      <c r="H1642" s="67"/>
      <c r="I1642" s="67"/>
      <c r="J1642" s="2"/>
    </row>
    <row r="1643" spans="3:10" x14ac:dyDescent="0.25">
      <c r="C1643" s="2"/>
      <c r="D1643" s="134"/>
      <c r="E1643" s="2"/>
      <c r="F1643" s="2"/>
      <c r="G1643" s="67"/>
      <c r="H1643" s="67"/>
      <c r="I1643" s="67"/>
      <c r="J1643" s="2"/>
    </row>
    <row r="1644" spans="3:10" x14ac:dyDescent="0.25">
      <c r="C1644" s="2"/>
      <c r="D1644" s="134"/>
      <c r="E1644" s="2"/>
      <c r="F1644" s="2"/>
      <c r="G1644" s="67"/>
      <c r="H1644" s="67"/>
      <c r="I1644" s="67"/>
      <c r="J1644" s="2"/>
    </row>
    <row r="1645" spans="3:10" x14ac:dyDescent="0.25">
      <c r="C1645" s="2"/>
      <c r="D1645" s="134"/>
      <c r="E1645" s="2"/>
      <c r="F1645" s="2"/>
      <c r="G1645" s="67"/>
      <c r="H1645" s="67"/>
      <c r="I1645" s="67"/>
      <c r="J1645" s="2"/>
    </row>
    <row r="1646" spans="3:10" x14ac:dyDescent="0.25">
      <c r="C1646" s="2"/>
      <c r="D1646" s="134"/>
      <c r="E1646" s="2"/>
      <c r="F1646" s="2"/>
      <c r="G1646" s="67"/>
      <c r="H1646" s="67"/>
      <c r="I1646" s="67"/>
      <c r="J1646" s="2"/>
    </row>
    <row r="1647" spans="3:10" x14ac:dyDescent="0.25">
      <c r="C1647" s="2"/>
      <c r="D1647" s="134"/>
      <c r="E1647" s="2"/>
      <c r="F1647" s="2"/>
      <c r="G1647" s="67"/>
      <c r="H1647" s="67"/>
      <c r="I1647" s="67"/>
      <c r="J1647" s="2"/>
    </row>
    <row r="1648" spans="3:10" x14ac:dyDescent="0.25">
      <c r="C1648" s="2"/>
      <c r="D1648" s="134"/>
      <c r="E1648" s="2"/>
      <c r="F1648" s="2"/>
      <c r="G1648" s="67"/>
      <c r="H1648" s="67"/>
      <c r="I1648" s="67"/>
      <c r="J1648" s="2"/>
    </row>
    <row r="1649" spans="3:10" x14ac:dyDescent="0.25">
      <c r="C1649" s="2"/>
      <c r="D1649" s="134"/>
      <c r="E1649" s="2"/>
      <c r="F1649" s="2"/>
      <c r="G1649" s="67"/>
      <c r="H1649" s="67"/>
      <c r="I1649" s="67"/>
      <c r="J1649" s="2"/>
    </row>
    <row r="1650" spans="3:10" x14ac:dyDescent="0.25">
      <c r="C1650" s="2"/>
      <c r="D1650" s="134"/>
      <c r="E1650" s="2"/>
      <c r="F1650" s="2"/>
      <c r="G1650" s="67"/>
      <c r="H1650" s="67"/>
      <c r="I1650" s="67"/>
      <c r="J1650" s="2"/>
    </row>
    <row r="1651" spans="3:10" x14ac:dyDescent="0.25">
      <c r="C1651" s="2"/>
      <c r="D1651" s="134"/>
      <c r="E1651" s="2"/>
      <c r="F1651" s="2"/>
      <c r="G1651" s="67"/>
      <c r="H1651" s="67"/>
      <c r="I1651" s="67"/>
      <c r="J1651" s="2"/>
    </row>
    <row r="1652" spans="3:10" x14ac:dyDescent="0.25">
      <c r="C1652" s="2"/>
      <c r="D1652" s="134"/>
      <c r="E1652" s="2"/>
      <c r="F1652" s="2"/>
      <c r="G1652" s="67"/>
      <c r="H1652" s="67"/>
      <c r="I1652" s="67"/>
      <c r="J1652" s="2"/>
    </row>
    <row r="1653" spans="3:10" x14ac:dyDescent="0.25">
      <c r="C1653" s="2"/>
      <c r="D1653" s="134"/>
      <c r="E1653" s="2"/>
      <c r="F1653" s="2"/>
      <c r="G1653" s="67"/>
      <c r="H1653" s="67"/>
      <c r="I1653" s="67"/>
      <c r="J1653" s="2"/>
    </row>
    <row r="1654" spans="3:10" x14ac:dyDescent="0.25">
      <c r="C1654" s="2"/>
      <c r="D1654" s="134"/>
      <c r="E1654" s="2"/>
      <c r="F1654" s="2"/>
      <c r="G1654" s="67"/>
      <c r="H1654" s="67"/>
      <c r="I1654" s="67"/>
      <c r="J1654" s="2"/>
    </row>
    <row r="1655" spans="3:10" x14ac:dyDescent="0.25">
      <c r="C1655" s="2"/>
      <c r="D1655" s="134"/>
      <c r="E1655" s="2"/>
      <c r="F1655" s="2"/>
      <c r="G1655" s="67"/>
      <c r="H1655" s="67"/>
      <c r="I1655" s="67"/>
      <c r="J1655" s="2"/>
    </row>
    <row r="1656" spans="3:10" x14ac:dyDescent="0.25">
      <c r="C1656" s="2"/>
      <c r="D1656" s="134"/>
      <c r="E1656" s="2"/>
      <c r="F1656" s="2"/>
      <c r="G1656" s="67"/>
      <c r="H1656" s="67"/>
      <c r="I1656" s="67"/>
      <c r="J1656" s="2"/>
    </row>
    <row r="1657" spans="3:10" x14ac:dyDescent="0.25">
      <c r="C1657" s="2"/>
      <c r="D1657" s="134"/>
      <c r="E1657" s="2"/>
      <c r="F1657" s="2"/>
      <c r="G1657" s="67"/>
      <c r="H1657" s="67"/>
      <c r="I1657" s="67"/>
      <c r="J1657" s="2"/>
    </row>
    <row r="1658" spans="3:10" x14ac:dyDescent="0.25">
      <c r="C1658" s="2"/>
      <c r="D1658" s="134"/>
      <c r="E1658" s="2"/>
      <c r="F1658" s="2"/>
      <c r="G1658" s="67"/>
      <c r="H1658" s="67"/>
      <c r="I1658" s="67"/>
      <c r="J1658" s="2"/>
    </row>
    <row r="1659" spans="3:10" x14ac:dyDescent="0.25">
      <c r="C1659" s="2"/>
      <c r="D1659" s="134"/>
      <c r="E1659" s="2"/>
      <c r="F1659" s="2"/>
      <c r="G1659" s="67"/>
      <c r="H1659" s="67"/>
      <c r="I1659" s="67"/>
      <c r="J1659" s="2"/>
    </row>
    <row r="1660" spans="3:10" x14ac:dyDescent="0.25">
      <c r="C1660" s="2"/>
      <c r="D1660" s="134"/>
      <c r="E1660" s="2"/>
      <c r="F1660" s="2"/>
      <c r="G1660" s="67"/>
      <c r="H1660" s="67"/>
      <c r="I1660" s="67"/>
      <c r="J1660" s="2"/>
    </row>
    <row r="1661" spans="3:10" x14ac:dyDescent="0.25">
      <c r="C1661" s="2"/>
      <c r="D1661" s="134"/>
      <c r="E1661" s="2"/>
      <c r="F1661" s="2"/>
      <c r="G1661" s="67"/>
      <c r="H1661" s="67"/>
      <c r="I1661" s="67"/>
      <c r="J1661" s="2"/>
    </row>
    <row r="1662" spans="3:10" x14ac:dyDescent="0.25">
      <c r="C1662" s="2"/>
      <c r="D1662" s="134"/>
      <c r="E1662" s="2"/>
      <c r="F1662" s="2"/>
      <c r="G1662" s="67"/>
      <c r="H1662" s="67"/>
      <c r="I1662" s="67"/>
      <c r="J1662" s="2"/>
    </row>
    <row r="1663" spans="3:10" x14ac:dyDescent="0.25">
      <c r="C1663" s="2"/>
      <c r="D1663" s="134"/>
      <c r="E1663" s="2"/>
      <c r="F1663" s="2"/>
      <c r="G1663" s="67"/>
      <c r="H1663" s="67"/>
      <c r="I1663" s="67"/>
      <c r="J1663" s="2"/>
    </row>
    <row r="1664" spans="3:10" x14ac:dyDescent="0.25">
      <c r="C1664" s="2"/>
      <c r="D1664" s="134"/>
      <c r="E1664" s="2"/>
      <c r="F1664" s="2"/>
      <c r="G1664" s="67"/>
      <c r="H1664" s="67"/>
      <c r="I1664" s="67"/>
      <c r="J1664" s="2"/>
    </row>
    <row r="1665" spans="3:10" x14ac:dyDescent="0.25">
      <c r="C1665" s="2"/>
      <c r="D1665" s="134"/>
      <c r="E1665" s="2"/>
      <c r="F1665" s="2"/>
      <c r="G1665" s="67"/>
      <c r="H1665" s="67"/>
      <c r="I1665" s="67"/>
      <c r="J1665" s="2"/>
    </row>
    <row r="1666" spans="3:10" x14ac:dyDescent="0.25">
      <c r="C1666" s="2"/>
      <c r="D1666" s="134"/>
      <c r="E1666" s="2"/>
      <c r="F1666" s="2"/>
      <c r="G1666" s="67"/>
      <c r="H1666" s="67"/>
      <c r="I1666" s="67"/>
      <c r="J1666" s="2"/>
    </row>
    <row r="1667" spans="3:10" x14ac:dyDescent="0.25">
      <c r="C1667" s="2"/>
      <c r="D1667" s="134"/>
      <c r="E1667" s="2"/>
      <c r="F1667" s="2"/>
      <c r="G1667" s="67"/>
      <c r="H1667" s="67"/>
      <c r="I1667" s="67"/>
      <c r="J1667" s="2"/>
    </row>
    <row r="1668" spans="3:10" x14ac:dyDescent="0.25">
      <c r="C1668" s="2"/>
      <c r="D1668" s="134"/>
      <c r="E1668" s="2"/>
      <c r="F1668" s="2"/>
      <c r="G1668" s="67"/>
      <c r="H1668" s="67"/>
      <c r="I1668" s="67"/>
      <c r="J1668" s="2"/>
    </row>
    <row r="1669" spans="3:10" x14ac:dyDescent="0.25">
      <c r="C1669" s="2"/>
      <c r="D1669" s="134"/>
      <c r="E1669" s="2"/>
      <c r="F1669" s="2"/>
      <c r="G1669" s="67"/>
      <c r="H1669" s="67"/>
      <c r="I1669" s="67"/>
      <c r="J1669" s="2"/>
    </row>
    <row r="1670" spans="3:10" x14ac:dyDescent="0.25">
      <c r="C1670" s="2"/>
      <c r="D1670" s="134"/>
      <c r="E1670" s="2"/>
      <c r="F1670" s="2"/>
      <c r="G1670" s="67"/>
      <c r="H1670" s="67"/>
      <c r="I1670" s="67"/>
      <c r="J1670" s="2"/>
    </row>
    <row r="1671" spans="3:10" x14ac:dyDescent="0.25">
      <c r="C1671" s="2"/>
      <c r="D1671" s="134"/>
      <c r="E1671" s="2"/>
      <c r="F1671" s="2"/>
      <c r="G1671" s="67"/>
      <c r="H1671" s="67"/>
      <c r="I1671" s="67"/>
      <c r="J1671" s="2"/>
    </row>
    <row r="1672" spans="3:10" x14ac:dyDescent="0.25">
      <c r="C1672" s="2"/>
      <c r="D1672" s="134"/>
      <c r="E1672" s="2"/>
      <c r="F1672" s="2"/>
      <c r="G1672" s="67"/>
      <c r="H1672" s="67"/>
      <c r="I1672" s="67"/>
      <c r="J1672" s="2"/>
    </row>
    <row r="1673" spans="3:10" x14ac:dyDescent="0.25">
      <c r="C1673" s="2"/>
      <c r="D1673" s="134"/>
      <c r="E1673" s="2"/>
      <c r="F1673" s="2"/>
      <c r="G1673" s="67"/>
      <c r="H1673" s="67"/>
      <c r="I1673" s="67"/>
      <c r="J1673" s="2"/>
    </row>
    <row r="1674" spans="3:10" x14ac:dyDescent="0.25">
      <c r="C1674" s="2"/>
      <c r="D1674" s="134"/>
      <c r="E1674" s="2"/>
      <c r="F1674" s="2"/>
      <c r="G1674" s="67"/>
      <c r="H1674" s="67"/>
      <c r="I1674" s="67"/>
      <c r="J1674" s="2"/>
    </row>
    <row r="1675" spans="3:10" x14ac:dyDescent="0.25">
      <c r="C1675" s="2"/>
      <c r="D1675" s="134"/>
      <c r="E1675" s="2"/>
      <c r="F1675" s="2"/>
      <c r="G1675" s="67"/>
      <c r="H1675" s="67"/>
      <c r="I1675" s="67"/>
      <c r="J1675" s="2"/>
    </row>
    <row r="1676" spans="3:10" x14ac:dyDescent="0.25">
      <c r="C1676" s="2"/>
      <c r="D1676" s="134"/>
      <c r="E1676" s="2"/>
      <c r="F1676" s="2"/>
      <c r="G1676" s="67"/>
      <c r="H1676" s="67"/>
      <c r="I1676" s="67"/>
      <c r="J1676" s="2"/>
    </row>
    <row r="1677" spans="3:10" x14ac:dyDescent="0.25">
      <c r="C1677" s="2"/>
      <c r="D1677" s="134"/>
      <c r="E1677" s="2"/>
      <c r="F1677" s="2"/>
      <c r="G1677" s="67"/>
      <c r="H1677" s="67"/>
      <c r="I1677" s="67"/>
      <c r="J1677" s="2"/>
    </row>
    <row r="1678" spans="3:10" x14ac:dyDescent="0.25">
      <c r="C1678" s="2"/>
      <c r="D1678" s="134"/>
      <c r="E1678" s="2"/>
      <c r="F1678" s="2"/>
      <c r="G1678" s="67"/>
      <c r="H1678" s="67"/>
      <c r="I1678" s="67"/>
      <c r="J1678" s="2"/>
    </row>
    <row r="1679" spans="3:10" x14ac:dyDescent="0.25">
      <c r="C1679" s="2"/>
      <c r="D1679" s="134"/>
      <c r="E1679" s="2"/>
      <c r="F1679" s="2"/>
      <c r="G1679" s="67"/>
      <c r="H1679" s="67"/>
      <c r="I1679" s="67"/>
      <c r="J1679" s="2"/>
    </row>
    <row r="1680" spans="3:10" x14ac:dyDescent="0.25">
      <c r="C1680" s="2"/>
      <c r="D1680" s="134"/>
      <c r="E1680" s="2"/>
      <c r="F1680" s="2"/>
      <c r="G1680" s="67"/>
      <c r="H1680" s="67"/>
      <c r="I1680" s="67"/>
      <c r="J1680" s="2"/>
    </row>
    <row r="1681" spans="3:10" x14ac:dyDescent="0.25">
      <c r="C1681" s="2"/>
      <c r="D1681" s="134"/>
      <c r="E1681" s="2"/>
      <c r="F1681" s="2"/>
      <c r="G1681" s="67"/>
      <c r="H1681" s="67"/>
      <c r="I1681" s="67"/>
      <c r="J1681" s="2"/>
    </row>
    <row r="1682" spans="3:10" x14ac:dyDescent="0.25">
      <c r="C1682" s="2"/>
      <c r="D1682" s="134"/>
      <c r="E1682" s="2"/>
      <c r="F1682" s="2"/>
      <c r="G1682" s="67"/>
      <c r="H1682" s="67"/>
      <c r="I1682" s="67"/>
      <c r="J1682" s="2"/>
    </row>
    <row r="1683" spans="3:10" x14ac:dyDescent="0.25">
      <c r="C1683" s="2"/>
      <c r="D1683" s="134"/>
      <c r="E1683" s="2"/>
      <c r="F1683" s="2"/>
      <c r="G1683" s="67"/>
      <c r="H1683" s="67"/>
      <c r="I1683" s="67"/>
      <c r="J1683" s="2"/>
    </row>
    <row r="1684" spans="3:10" x14ac:dyDescent="0.25">
      <c r="C1684" s="2"/>
      <c r="D1684" s="134"/>
      <c r="E1684" s="2"/>
      <c r="F1684" s="2"/>
      <c r="G1684" s="67"/>
      <c r="H1684" s="67"/>
      <c r="I1684" s="67"/>
      <c r="J1684" s="2"/>
    </row>
    <row r="1685" spans="3:10" x14ac:dyDescent="0.25">
      <c r="C1685" s="2"/>
      <c r="D1685" s="134"/>
      <c r="E1685" s="2"/>
      <c r="F1685" s="2"/>
      <c r="G1685" s="67"/>
      <c r="H1685" s="67"/>
      <c r="I1685" s="67"/>
      <c r="J1685" s="2"/>
    </row>
    <row r="1686" spans="3:10" x14ac:dyDescent="0.25">
      <c r="C1686" s="2"/>
      <c r="D1686" s="134"/>
      <c r="E1686" s="2"/>
      <c r="F1686" s="2"/>
      <c r="G1686" s="67"/>
      <c r="H1686" s="67"/>
      <c r="I1686" s="67"/>
      <c r="J1686" s="2"/>
    </row>
    <row r="1687" spans="3:10" x14ac:dyDescent="0.25">
      <c r="C1687" s="2"/>
      <c r="D1687" s="134"/>
      <c r="E1687" s="2"/>
      <c r="F1687" s="2"/>
      <c r="G1687" s="67"/>
      <c r="H1687" s="67"/>
      <c r="I1687" s="67"/>
      <c r="J1687" s="2"/>
    </row>
    <row r="1688" spans="3:10" x14ac:dyDescent="0.25">
      <c r="C1688" s="2"/>
      <c r="D1688" s="134"/>
      <c r="E1688" s="2"/>
      <c r="F1688" s="2"/>
      <c r="G1688" s="67"/>
      <c r="H1688" s="67"/>
      <c r="I1688" s="67"/>
      <c r="J1688" s="2"/>
    </row>
    <row r="1689" spans="3:10" x14ac:dyDescent="0.25">
      <c r="C1689" s="2"/>
      <c r="D1689" s="134"/>
      <c r="E1689" s="2"/>
      <c r="F1689" s="2"/>
      <c r="G1689" s="67"/>
      <c r="H1689" s="67"/>
      <c r="I1689" s="67"/>
      <c r="J1689" s="2"/>
    </row>
    <row r="1690" spans="3:10" x14ac:dyDescent="0.25">
      <c r="C1690" s="2"/>
      <c r="D1690" s="134"/>
      <c r="E1690" s="2"/>
      <c r="F1690" s="2"/>
      <c r="G1690" s="67"/>
      <c r="H1690" s="67"/>
      <c r="I1690" s="67"/>
      <c r="J1690" s="2"/>
    </row>
    <row r="1691" spans="3:10" x14ac:dyDescent="0.25">
      <c r="C1691" s="2"/>
      <c r="D1691" s="134"/>
      <c r="E1691" s="2"/>
      <c r="F1691" s="2"/>
      <c r="G1691" s="67"/>
      <c r="H1691" s="67"/>
      <c r="I1691" s="67"/>
      <c r="J1691" s="2"/>
    </row>
    <row r="1692" spans="3:10" x14ac:dyDescent="0.25">
      <c r="C1692" s="2"/>
      <c r="D1692" s="134"/>
      <c r="E1692" s="2"/>
      <c r="F1692" s="2"/>
      <c r="G1692" s="67"/>
      <c r="H1692" s="67"/>
      <c r="I1692" s="67"/>
      <c r="J1692" s="2"/>
    </row>
    <row r="1693" spans="3:10" x14ac:dyDescent="0.25">
      <c r="C1693" s="2"/>
      <c r="D1693" s="134"/>
      <c r="E1693" s="2"/>
      <c r="F1693" s="2"/>
      <c r="G1693" s="67"/>
      <c r="H1693" s="67"/>
      <c r="I1693" s="67"/>
      <c r="J1693" s="2"/>
    </row>
    <row r="1694" spans="3:10" x14ac:dyDescent="0.25">
      <c r="C1694" s="2"/>
      <c r="D1694" s="134"/>
      <c r="E1694" s="2"/>
      <c r="F1694" s="2"/>
      <c r="G1694" s="67"/>
      <c r="H1694" s="67"/>
      <c r="I1694" s="67"/>
      <c r="J1694" s="2"/>
    </row>
    <row r="1695" spans="3:10" x14ac:dyDescent="0.25">
      <c r="C1695" s="2"/>
      <c r="D1695" s="134"/>
      <c r="E1695" s="2"/>
      <c r="F1695" s="2"/>
      <c r="G1695" s="67"/>
      <c r="H1695" s="67"/>
      <c r="I1695" s="67"/>
      <c r="J1695" s="2"/>
    </row>
    <row r="1696" spans="3:10" x14ac:dyDescent="0.25">
      <c r="C1696" s="2"/>
      <c r="D1696" s="134"/>
      <c r="E1696" s="2"/>
      <c r="F1696" s="2"/>
      <c r="G1696" s="67"/>
      <c r="H1696" s="67"/>
      <c r="I1696" s="67"/>
      <c r="J1696" s="2"/>
    </row>
    <row r="1697" spans="3:10" x14ac:dyDescent="0.25">
      <c r="C1697" s="2"/>
      <c r="D1697" s="134"/>
      <c r="E1697" s="2"/>
      <c r="F1697" s="2"/>
      <c r="G1697" s="67"/>
      <c r="H1697" s="67"/>
      <c r="I1697" s="67"/>
      <c r="J1697" s="2"/>
    </row>
    <row r="1698" spans="3:10" x14ac:dyDescent="0.25">
      <c r="C1698" s="2"/>
      <c r="D1698" s="134"/>
      <c r="E1698" s="2"/>
      <c r="F1698" s="2"/>
      <c r="G1698" s="67"/>
      <c r="H1698" s="67"/>
      <c r="I1698" s="67"/>
      <c r="J1698" s="2"/>
    </row>
    <row r="1699" spans="3:10" x14ac:dyDescent="0.25">
      <c r="C1699" s="2"/>
      <c r="D1699" s="134"/>
      <c r="E1699" s="2"/>
      <c r="F1699" s="2"/>
      <c r="G1699" s="67"/>
      <c r="H1699" s="67"/>
      <c r="I1699" s="67"/>
      <c r="J1699" s="2"/>
    </row>
    <row r="1700" spans="3:10" x14ac:dyDescent="0.25">
      <c r="C1700" s="2"/>
      <c r="D1700" s="134"/>
      <c r="E1700" s="2"/>
      <c r="F1700" s="2"/>
      <c r="G1700" s="67"/>
      <c r="H1700" s="67"/>
      <c r="I1700" s="67"/>
      <c r="J1700" s="2"/>
    </row>
    <row r="1701" spans="3:10" x14ac:dyDescent="0.25">
      <c r="C1701" s="2"/>
      <c r="D1701" s="134"/>
      <c r="E1701" s="2"/>
      <c r="F1701" s="2"/>
      <c r="G1701" s="67"/>
      <c r="H1701" s="67"/>
      <c r="I1701" s="67"/>
      <c r="J1701" s="2"/>
    </row>
    <row r="1702" spans="3:10" x14ac:dyDescent="0.25">
      <c r="C1702" s="2"/>
      <c r="D1702" s="134"/>
      <c r="E1702" s="2"/>
      <c r="F1702" s="2"/>
      <c r="G1702" s="67"/>
      <c r="H1702" s="67"/>
      <c r="I1702" s="67"/>
      <c r="J1702" s="2"/>
    </row>
    <row r="1703" spans="3:10" x14ac:dyDescent="0.25">
      <c r="C1703" s="2"/>
      <c r="D1703" s="134"/>
      <c r="E1703" s="2"/>
      <c r="F1703" s="2"/>
      <c r="G1703" s="67"/>
      <c r="H1703" s="67"/>
      <c r="I1703" s="67"/>
      <c r="J1703" s="2"/>
    </row>
    <row r="1704" spans="3:10" x14ac:dyDescent="0.25">
      <c r="C1704" s="2"/>
      <c r="D1704" s="134"/>
      <c r="E1704" s="2"/>
      <c r="F1704" s="2"/>
      <c r="G1704" s="67"/>
      <c r="H1704" s="67"/>
      <c r="I1704" s="67"/>
      <c r="J1704" s="2"/>
    </row>
    <row r="1705" spans="3:10" x14ac:dyDescent="0.25">
      <c r="C1705" s="2"/>
      <c r="D1705" s="134"/>
      <c r="E1705" s="2"/>
      <c r="F1705" s="2"/>
      <c r="G1705" s="67"/>
      <c r="H1705" s="67"/>
      <c r="I1705" s="67"/>
      <c r="J1705" s="2"/>
    </row>
    <row r="1706" spans="3:10" x14ac:dyDescent="0.25">
      <c r="C1706" s="2"/>
      <c r="D1706" s="134"/>
      <c r="E1706" s="2"/>
      <c r="F1706" s="2"/>
      <c r="G1706" s="67"/>
      <c r="H1706" s="67"/>
      <c r="I1706" s="67"/>
      <c r="J1706" s="2"/>
    </row>
    <row r="1707" spans="3:10" x14ac:dyDescent="0.25">
      <c r="C1707" s="2"/>
      <c r="D1707" s="134"/>
      <c r="E1707" s="2"/>
      <c r="F1707" s="2"/>
      <c r="G1707" s="67"/>
      <c r="H1707" s="67"/>
      <c r="I1707" s="67"/>
      <c r="J1707" s="2"/>
    </row>
    <row r="1708" spans="3:10" x14ac:dyDescent="0.25">
      <c r="C1708" s="2"/>
      <c r="D1708" s="134"/>
      <c r="E1708" s="2"/>
      <c r="F1708" s="2"/>
      <c r="G1708" s="67"/>
      <c r="H1708" s="67"/>
      <c r="I1708" s="67"/>
      <c r="J1708" s="2"/>
    </row>
    <row r="1709" spans="3:10" x14ac:dyDescent="0.25">
      <c r="C1709" s="2"/>
      <c r="D1709" s="134"/>
      <c r="E1709" s="2"/>
      <c r="F1709" s="2"/>
      <c r="G1709" s="67"/>
      <c r="H1709" s="67"/>
      <c r="I1709" s="67"/>
      <c r="J1709" s="2"/>
    </row>
    <row r="1710" spans="3:10" x14ac:dyDescent="0.25">
      <c r="C1710" s="2"/>
      <c r="D1710" s="134"/>
      <c r="E1710" s="2"/>
      <c r="F1710" s="2"/>
      <c r="G1710" s="67"/>
      <c r="H1710" s="67"/>
      <c r="I1710" s="67"/>
      <c r="J1710" s="2"/>
    </row>
    <row r="1711" spans="3:10" x14ac:dyDescent="0.25">
      <c r="C1711" s="2"/>
      <c r="D1711" s="134"/>
      <c r="E1711" s="2"/>
      <c r="F1711" s="2"/>
      <c r="G1711" s="67"/>
      <c r="H1711" s="67"/>
      <c r="I1711" s="67"/>
      <c r="J1711" s="2"/>
    </row>
    <row r="1712" spans="3:10" x14ac:dyDescent="0.25">
      <c r="C1712" s="2"/>
      <c r="D1712" s="134"/>
      <c r="E1712" s="2"/>
      <c r="F1712" s="2"/>
      <c r="G1712" s="67"/>
      <c r="H1712" s="67"/>
      <c r="I1712" s="67"/>
      <c r="J1712" s="2"/>
    </row>
    <row r="1713" spans="3:10" x14ac:dyDescent="0.25">
      <c r="C1713" s="2"/>
      <c r="D1713" s="134"/>
      <c r="E1713" s="2"/>
      <c r="F1713" s="2"/>
      <c r="G1713" s="67"/>
      <c r="H1713" s="67"/>
      <c r="I1713" s="67"/>
      <c r="J1713" s="2"/>
    </row>
    <row r="1714" spans="3:10" x14ac:dyDescent="0.25">
      <c r="C1714" s="2"/>
      <c r="D1714" s="134"/>
      <c r="E1714" s="2"/>
      <c r="F1714" s="2"/>
      <c r="G1714" s="67"/>
      <c r="H1714" s="67"/>
      <c r="I1714" s="67"/>
      <c r="J1714" s="2"/>
    </row>
    <row r="1715" spans="3:10" x14ac:dyDescent="0.25">
      <c r="C1715" s="2"/>
      <c r="D1715" s="134"/>
      <c r="E1715" s="2"/>
      <c r="F1715" s="2"/>
      <c r="G1715" s="67"/>
      <c r="H1715" s="67"/>
      <c r="I1715" s="67"/>
      <c r="J1715" s="2"/>
    </row>
    <row r="1716" spans="3:10" x14ac:dyDescent="0.25">
      <c r="C1716" s="2"/>
      <c r="D1716" s="134"/>
      <c r="E1716" s="2"/>
      <c r="F1716" s="2"/>
      <c r="G1716" s="67"/>
      <c r="H1716" s="67"/>
      <c r="I1716" s="67"/>
      <c r="J1716" s="2"/>
    </row>
    <row r="1717" spans="3:10" x14ac:dyDescent="0.25">
      <c r="C1717" s="2"/>
      <c r="D1717" s="134"/>
      <c r="E1717" s="2"/>
      <c r="F1717" s="2"/>
      <c r="G1717" s="67"/>
      <c r="H1717" s="67"/>
      <c r="I1717" s="67"/>
      <c r="J1717" s="2"/>
    </row>
    <row r="1718" spans="3:10" x14ac:dyDescent="0.25">
      <c r="C1718" s="2"/>
      <c r="D1718" s="134"/>
      <c r="E1718" s="2"/>
      <c r="F1718" s="2"/>
      <c r="G1718" s="67"/>
      <c r="H1718" s="67"/>
      <c r="I1718" s="67"/>
      <c r="J1718" s="2"/>
    </row>
    <row r="1719" spans="3:10" x14ac:dyDescent="0.25">
      <c r="C1719" s="2"/>
      <c r="D1719" s="134"/>
      <c r="E1719" s="2"/>
      <c r="F1719" s="2"/>
      <c r="G1719" s="67"/>
      <c r="H1719" s="67"/>
      <c r="I1719" s="67"/>
      <c r="J1719" s="2"/>
    </row>
    <row r="1720" spans="3:10" x14ac:dyDescent="0.25">
      <c r="C1720" s="2"/>
      <c r="D1720" s="134"/>
      <c r="E1720" s="2"/>
      <c r="F1720" s="2"/>
      <c r="G1720" s="67"/>
      <c r="H1720" s="67"/>
      <c r="I1720" s="67"/>
      <c r="J1720" s="2"/>
    </row>
    <row r="1721" spans="3:10" x14ac:dyDescent="0.25">
      <c r="C1721" s="2"/>
      <c r="D1721" s="134"/>
      <c r="E1721" s="2"/>
      <c r="F1721" s="2"/>
      <c r="G1721" s="67"/>
      <c r="H1721" s="67"/>
      <c r="I1721" s="67"/>
      <c r="J1721" s="2"/>
    </row>
    <row r="1722" spans="3:10" x14ac:dyDescent="0.25">
      <c r="C1722" s="2"/>
      <c r="D1722" s="134"/>
      <c r="E1722" s="2"/>
      <c r="F1722" s="2"/>
      <c r="G1722" s="67"/>
      <c r="H1722" s="67"/>
      <c r="I1722" s="67"/>
      <c r="J1722" s="2"/>
    </row>
    <row r="1723" spans="3:10" x14ac:dyDescent="0.25">
      <c r="C1723" s="2"/>
      <c r="D1723" s="134"/>
      <c r="E1723" s="2"/>
      <c r="F1723" s="2"/>
      <c r="G1723" s="67"/>
      <c r="H1723" s="67"/>
      <c r="I1723" s="67"/>
      <c r="J1723" s="2"/>
    </row>
    <row r="1724" spans="3:10" x14ac:dyDescent="0.25">
      <c r="C1724" s="2"/>
      <c r="D1724" s="134"/>
      <c r="E1724" s="2"/>
      <c r="F1724" s="2"/>
      <c r="G1724" s="67"/>
      <c r="H1724" s="67"/>
      <c r="I1724" s="67"/>
      <c r="J1724" s="2"/>
    </row>
    <row r="1725" spans="3:10" x14ac:dyDescent="0.25">
      <c r="C1725" s="2"/>
      <c r="D1725" s="134"/>
      <c r="E1725" s="2"/>
      <c r="F1725" s="2"/>
      <c r="G1725" s="67"/>
      <c r="H1725" s="67"/>
      <c r="I1725" s="67"/>
      <c r="J1725" s="2"/>
    </row>
    <row r="1726" spans="3:10" x14ac:dyDescent="0.25">
      <c r="C1726" s="2"/>
      <c r="D1726" s="134"/>
      <c r="E1726" s="2"/>
      <c r="F1726" s="2"/>
      <c r="G1726" s="67"/>
      <c r="H1726" s="67"/>
      <c r="I1726" s="67"/>
      <c r="J1726" s="2"/>
    </row>
    <row r="1727" spans="3:10" x14ac:dyDescent="0.25">
      <c r="C1727" s="2"/>
      <c r="D1727" s="134"/>
      <c r="E1727" s="2"/>
      <c r="F1727" s="2"/>
      <c r="G1727" s="67"/>
      <c r="H1727" s="67"/>
      <c r="I1727" s="67"/>
      <c r="J1727" s="2"/>
    </row>
    <row r="1728" spans="3:10" x14ac:dyDescent="0.25">
      <c r="C1728" s="2"/>
      <c r="D1728" s="134"/>
      <c r="E1728" s="2"/>
      <c r="F1728" s="2"/>
      <c r="G1728" s="67"/>
      <c r="H1728" s="67"/>
      <c r="I1728" s="67"/>
      <c r="J1728" s="2"/>
    </row>
    <row r="1729" spans="3:10" x14ac:dyDescent="0.25">
      <c r="C1729" s="2"/>
      <c r="D1729" s="134"/>
      <c r="E1729" s="2"/>
      <c r="F1729" s="2"/>
      <c r="G1729" s="67"/>
      <c r="H1729" s="67"/>
      <c r="I1729" s="67"/>
      <c r="J1729" s="2"/>
    </row>
    <row r="1730" spans="3:10" x14ac:dyDescent="0.25">
      <c r="C1730" s="2"/>
      <c r="D1730" s="134"/>
      <c r="E1730" s="2"/>
      <c r="F1730" s="2"/>
      <c r="G1730" s="67"/>
      <c r="H1730" s="67"/>
      <c r="I1730" s="67"/>
      <c r="J1730" s="2"/>
    </row>
    <row r="1731" spans="3:10" x14ac:dyDescent="0.25">
      <c r="C1731" s="2"/>
      <c r="D1731" s="134"/>
      <c r="E1731" s="2"/>
      <c r="F1731" s="2"/>
      <c r="G1731" s="67"/>
      <c r="H1731" s="67"/>
      <c r="I1731" s="67"/>
      <c r="J1731" s="2"/>
    </row>
    <row r="1732" spans="3:10" x14ac:dyDescent="0.25">
      <c r="C1732" s="2"/>
      <c r="D1732" s="134"/>
      <c r="E1732" s="2"/>
      <c r="F1732" s="2"/>
      <c r="G1732" s="67"/>
      <c r="H1732" s="67"/>
      <c r="I1732" s="67"/>
      <c r="J1732" s="2"/>
    </row>
    <row r="1733" spans="3:10" x14ac:dyDescent="0.25">
      <c r="C1733" s="2"/>
      <c r="D1733" s="134"/>
      <c r="E1733" s="2"/>
      <c r="F1733" s="2"/>
      <c r="G1733" s="67"/>
      <c r="H1733" s="67"/>
      <c r="I1733" s="67"/>
      <c r="J1733" s="2"/>
    </row>
    <row r="1734" spans="3:10" x14ac:dyDescent="0.25">
      <c r="C1734" s="2"/>
      <c r="D1734" s="134"/>
      <c r="E1734" s="2"/>
      <c r="F1734" s="2"/>
      <c r="G1734" s="67"/>
      <c r="H1734" s="67"/>
      <c r="I1734" s="67"/>
      <c r="J1734" s="2"/>
    </row>
    <row r="1735" spans="3:10" x14ac:dyDescent="0.25">
      <c r="C1735" s="2"/>
      <c r="D1735" s="134"/>
      <c r="E1735" s="2"/>
      <c r="F1735" s="2"/>
      <c r="G1735" s="67"/>
      <c r="H1735" s="67"/>
      <c r="I1735" s="67"/>
      <c r="J1735" s="2"/>
    </row>
    <row r="1736" spans="3:10" x14ac:dyDescent="0.25">
      <c r="C1736" s="2"/>
      <c r="D1736" s="134"/>
      <c r="E1736" s="2"/>
      <c r="F1736" s="2"/>
      <c r="G1736" s="67"/>
      <c r="H1736" s="67"/>
      <c r="I1736" s="67"/>
      <c r="J1736" s="2"/>
    </row>
    <row r="1737" spans="3:10" x14ac:dyDescent="0.25">
      <c r="C1737" s="2"/>
      <c r="D1737" s="134"/>
      <c r="E1737" s="2"/>
      <c r="F1737" s="2"/>
      <c r="G1737" s="67"/>
      <c r="H1737" s="67"/>
      <c r="I1737" s="67"/>
      <c r="J1737" s="2"/>
    </row>
    <row r="1738" spans="3:10" x14ac:dyDescent="0.25">
      <c r="C1738" s="2"/>
      <c r="D1738" s="134"/>
      <c r="E1738" s="2"/>
      <c r="F1738" s="2"/>
      <c r="G1738" s="67"/>
      <c r="H1738" s="67"/>
      <c r="I1738" s="67"/>
      <c r="J1738" s="2"/>
    </row>
    <row r="1739" spans="3:10" x14ac:dyDescent="0.25">
      <c r="C1739" s="2"/>
      <c r="D1739" s="134"/>
      <c r="E1739" s="2"/>
      <c r="F1739" s="2"/>
      <c r="G1739" s="67"/>
      <c r="H1739" s="67"/>
      <c r="I1739" s="67"/>
      <c r="J1739" s="2"/>
    </row>
    <row r="1740" spans="3:10" x14ac:dyDescent="0.25">
      <c r="C1740" s="2"/>
      <c r="D1740" s="134"/>
      <c r="E1740" s="2"/>
      <c r="F1740" s="2"/>
      <c r="G1740" s="67"/>
      <c r="H1740" s="67"/>
      <c r="I1740" s="67"/>
      <c r="J1740" s="2"/>
    </row>
    <row r="1741" spans="3:10" x14ac:dyDescent="0.25">
      <c r="C1741" s="2"/>
      <c r="D1741" s="134"/>
      <c r="E1741" s="2"/>
      <c r="F1741" s="2"/>
      <c r="G1741" s="67"/>
      <c r="H1741" s="67"/>
      <c r="I1741" s="67"/>
      <c r="J1741" s="2"/>
    </row>
    <row r="1742" spans="3:10" x14ac:dyDescent="0.25">
      <c r="C1742" s="2"/>
      <c r="D1742" s="134"/>
      <c r="E1742" s="2"/>
      <c r="F1742" s="2"/>
      <c r="G1742" s="67"/>
      <c r="H1742" s="67"/>
      <c r="I1742" s="67"/>
      <c r="J1742" s="2"/>
    </row>
    <row r="1743" spans="3:10" x14ac:dyDescent="0.25">
      <c r="C1743" s="2"/>
      <c r="D1743" s="134"/>
      <c r="E1743" s="2"/>
      <c r="F1743" s="2"/>
      <c r="G1743" s="67"/>
      <c r="H1743" s="67"/>
      <c r="I1743" s="67"/>
      <c r="J1743" s="2"/>
    </row>
    <row r="1744" spans="3:10" x14ac:dyDescent="0.25">
      <c r="C1744" s="2"/>
      <c r="D1744" s="134"/>
      <c r="E1744" s="2"/>
      <c r="F1744" s="2"/>
      <c r="G1744" s="67"/>
      <c r="H1744" s="67"/>
      <c r="I1744" s="67"/>
      <c r="J1744" s="2"/>
    </row>
    <row r="1745" spans="3:10" x14ac:dyDescent="0.25">
      <c r="C1745" s="2"/>
      <c r="D1745" s="134"/>
      <c r="E1745" s="2"/>
      <c r="F1745" s="2"/>
      <c r="G1745" s="67"/>
      <c r="H1745" s="67"/>
      <c r="I1745" s="67"/>
      <c r="J1745" s="2"/>
    </row>
    <row r="1746" spans="3:10" x14ac:dyDescent="0.25">
      <c r="C1746" s="2"/>
      <c r="D1746" s="134"/>
      <c r="E1746" s="2"/>
      <c r="F1746" s="2"/>
      <c r="G1746" s="67"/>
      <c r="H1746" s="67"/>
      <c r="I1746" s="67"/>
      <c r="J1746" s="2"/>
    </row>
    <row r="1747" spans="3:10" x14ac:dyDescent="0.25">
      <c r="C1747" s="2"/>
      <c r="D1747" s="134"/>
      <c r="E1747" s="2"/>
      <c r="F1747" s="2"/>
      <c r="G1747" s="67"/>
      <c r="H1747" s="67"/>
      <c r="I1747" s="67"/>
      <c r="J1747" s="2"/>
    </row>
    <row r="1748" spans="3:10" x14ac:dyDescent="0.25">
      <c r="C1748" s="2"/>
      <c r="D1748" s="134"/>
      <c r="E1748" s="2"/>
      <c r="F1748" s="2"/>
      <c r="G1748" s="67"/>
      <c r="H1748" s="67"/>
      <c r="I1748" s="67"/>
      <c r="J1748" s="2"/>
    </row>
    <row r="1749" spans="3:10" x14ac:dyDescent="0.25">
      <c r="C1749" s="2"/>
      <c r="D1749" s="134"/>
      <c r="E1749" s="2"/>
      <c r="F1749" s="2"/>
      <c r="G1749" s="67"/>
      <c r="H1749" s="67"/>
      <c r="I1749" s="67"/>
      <c r="J1749" s="2"/>
    </row>
    <row r="1750" spans="3:10" x14ac:dyDescent="0.25">
      <c r="C1750" s="2"/>
      <c r="D1750" s="134"/>
      <c r="E1750" s="2"/>
      <c r="F1750" s="2"/>
      <c r="G1750" s="67"/>
      <c r="H1750" s="67"/>
      <c r="I1750" s="67"/>
      <c r="J1750" s="2"/>
    </row>
    <row r="1751" spans="3:10" x14ac:dyDescent="0.25">
      <c r="C1751" s="2"/>
      <c r="D1751" s="134"/>
      <c r="E1751" s="2"/>
      <c r="F1751" s="2"/>
      <c r="G1751" s="67"/>
      <c r="H1751" s="67"/>
      <c r="I1751" s="67"/>
      <c r="J1751" s="2"/>
    </row>
    <row r="1752" spans="3:10" x14ac:dyDescent="0.25">
      <c r="C1752" s="2"/>
      <c r="D1752" s="134"/>
      <c r="E1752" s="2"/>
      <c r="F1752" s="2"/>
      <c r="G1752" s="67"/>
      <c r="H1752" s="67"/>
      <c r="I1752" s="67"/>
      <c r="J1752" s="2"/>
    </row>
    <row r="1753" spans="3:10" x14ac:dyDescent="0.25">
      <c r="C1753" s="2"/>
      <c r="D1753" s="134"/>
      <c r="E1753" s="2"/>
      <c r="F1753" s="2"/>
      <c r="G1753" s="67"/>
      <c r="H1753" s="67"/>
      <c r="I1753" s="67"/>
      <c r="J1753" s="2"/>
    </row>
    <row r="1754" spans="3:10" x14ac:dyDescent="0.25">
      <c r="C1754" s="2"/>
      <c r="D1754" s="134"/>
      <c r="E1754" s="2"/>
      <c r="F1754" s="2"/>
      <c r="G1754" s="67"/>
      <c r="H1754" s="67"/>
      <c r="I1754" s="67"/>
      <c r="J1754" s="2"/>
    </row>
    <row r="1755" spans="3:10" x14ac:dyDescent="0.25">
      <c r="C1755" s="2"/>
      <c r="D1755" s="134"/>
      <c r="E1755" s="2"/>
      <c r="F1755" s="2"/>
      <c r="G1755" s="67"/>
      <c r="H1755" s="67"/>
      <c r="I1755" s="67"/>
      <c r="J1755" s="2"/>
    </row>
    <row r="1756" spans="3:10" x14ac:dyDescent="0.25">
      <c r="C1756" s="2"/>
      <c r="D1756" s="134"/>
      <c r="E1756" s="2"/>
      <c r="F1756" s="2"/>
      <c r="G1756" s="67"/>
      <c r="H1756" s="67"/>
      <c r="I1756" s="67"/>
      <c r="J1756" s="2"/>
    </row>
    <row r="1757" spans="3:10" x14ac:dyDescent="0.25">
      <c r="C1757" s="2"/>
      <c r="D1757" s="134"/>
      <c r="E1757" s="2"/>
      <c r="F1757" s="2"/>
      <c r="G1757" s="67"/>
      <c r="H1757" s="67"/>
      <c r="I1757" s="67"/>
      <c r="J1757" s="2"/>
    </row>
    <row r="1758" spans="3:10" x14ac:dyDescent="0.25">
      <c r="C1758" s="2"/>
      <c r="D1758" s="134"/>
      <c r="E1758" s="2"/>
      <c r="F1758" s="2"/>
      <c r="G1758" s="67"/>
      <c r="H1758" s="67"/>
      <c r="I1758" s="67"/>
      <c r="J1758" s="2"/>
    </row>
    <row r="1759" spans="3:10" x14ac:dyDescent="0.25">
      <c r="C1759" s="2"/>
      <c r="D1759" s="134"/>
      <c r="E1759" s="2"/>
      <c r="F1759" s="2"/>
      <c r="G1759" s="67"/>
      <c r="H1759" s="67"/>
      <c r="I1759" s="67"/>
      <c r="J1759" s="2"/>
    </row>
    <row r="1760" spans="3:10" x14ac:dyDescent="0.25">
      <c r="C1760" s="2"/>
      <c r="D1760" s="134"/>
      <c r="E1760" s="2"/>
      <c r="F1760" s="2"/>
      <c r="G1760" s="67"/>
      <c r="H1760" s="67"/>
      <c r="I1760" s="67"/>
      <c r="J1760" s="2"/>
    </row>
    <row r="1761" spans="3:10" x14ac:dyDescent="0.25">
      <c r="C1761" s="2"/>
      <c r="D1761" s="134"/>
      <c r="E1761" s="2"/>
      <c r="F1761" s="2"/>
      <c r="G1761" s="67"/>
      <c r="H1761" s="67"/>
      <c r="I1761" s="67"/>
      <c r="J1761" s="2"/>
    </row>
    <row r="1762" spans="3:10" x14ac:dyDescent="0.25">
      <c r="C1762" s="2"/>
      <c r="D1762" s="134"/>
      <c r="E1762" s="2"/>
      <c r="F1762" s="2"/>
      <c r="G1762" s="67"/>
      <c r="H1762" s="67"/>
      <c r="I1762" s="67"/>
      <c r="J1762" s="2"/>
    </row>
    <row r="1763" spans="3:10" x14ac:dyDescent="0.25">
      <c r="C1763" s="2"/>
      <c r="D1763" s="134"/>
      <c r="E1763" s="2"/>
      <c r="F1763" s="2"/>
      <c r="G1763" s="67"/>
      <c r="H1763" s="67"/>
      <c r="I1763" s="67"/>
      <c r="J1763" s="2"/>
    </row>
    <row r="1764" spans="3:10" x14ac:dyDescent="0.25">
      <c r="C1764" s="2"/>
      <c r="D1764" s="134"/>
      <c r="E1764" s="2"/>
      <c r="F1764" s="2"/>
      <c r="G1764" s="67"/>
      <c r="H1764" s="67"/>
      <c r="I1764" s="67"/>
      <c r="J1764" s="2"/>
    </row>
    <row r="1765" spans="3:10" x14ac:dyDescent="0.25">
      <c r="C1765" s="2"/>
      <c r="D1765" s="134"/>
      <c r="E1765" s="2"/>
      <c r="F1765" s="2"/>
      <c r="G1765" s="67"/>
      <c r="H1765" s="67"/>
      <c r="I1765" s="67"/>
      <c r="J1765" s="2"/>
    </row>
    <row r="1766" spans="3:10" x14ac:dyDescent="0.25">
      <c r="C1766" s="2"/>
      <c r="D1766" s="134"/>
      <c r="E1766" s="2"/>
      <c r="F1766" s="2"/>
      <c r="G1766" s="67"/>
      <c r="H1766" s="67"/>
      <c r="I1766" s="67"/>
      <c r="J1766" s="2"/>
    </row>
    <row r="1767" spans="3:10" x14ac:dyDescent="0.25">
      <c r="C1767" s="2"/>
      <c r="D1767" s="134"/>
      <c r="E1767" s="2"/>
      <c r="F1767" s="2"/>
      <c r="G1767" s="67"/>
      <c r="H1767" s="67"/>
      <c r="I1767" s="67"/>
      <c r="J1767" s="2"/>
    </row>
    <row r="1768" spans="3:10" x14ac:dyDescent="0.25">
      <c r="C1768" s="2"/>
      <c r="D1768" s="134"/>
      <c r="E1768" s="2"/>
      <c r="F1768" s="2"/>
      <c r="G1768" s="67"/>
      <c r="H1768" s="67"/>
      <c r="I1768" s="67"/>
      <c r="J1768" s="2"/>
    </row>
    <row r="1769" spans="3:10" x14ac:dyDescent="0.25">
      <c r="C1769" s="2"/>
      <c r="D1769" s="134"/>
      <c r="E1769" s="2"/>
      <c r="F1769" s="2"/>
      <c r="G1769" s="67"/>
      <c r="H1769" s="67"/>
      <c r="I1769" s="67"/>
      <c r="J1769" s="2"/>
    </row>
    <row r="1770" spans="3:10" x14ac:dyDescent="0.25">
      <c r="C1770" s="2"/>
      <c r="D1770" s="134"/>
      <c r="E1770" s="2"/>
      <c r="F1770" s="2"/>
      <c r="G1770" s="67"/>
      <c r="H1770" s="67"/>
      <c r="I1770" s="67"/>
      <c r="J1770" s="2"/>
    </row>
    <row r="1771" spans="3:10" x14ac:dyDescent="0.25">
      <c r="C1771" s="2"/>
      <c r="D1771" s="134"/>
      <c r="E1771" s="2"/>
      <c r="F1771" s="2"/>
      <c r="G1771" s="67"/>
      <c r="H1771" s="67"/>
      <c r="I1771" s="67"/>
      <c r="J1771" s="2"/>
    </row>
    <row r="1772" spans="3:10" x14ac:dyDescent="0.25">
      <c r="C1772" s="2"/>
      <c r="D1772" s="134"/>
      <c r="E1772" s="2"/>
      <c r="F1772" s="2"/>
      <c r="G1772" s="67"/>
      <c r="H1772" s="67"/>
      <c r="I1772" s="67"/>
      <c r="J1772" s="2"/>
    </row>
    <row r="1773" spans="3:10" x14ac:dyDescent="0.25">
      <c r="C1773" s="2"/>
      <c r="D1773" s="134"/>
      <c r="E1773" s="2"/>
      <c r="F1773" s="2"/>
      <c r="G1773" s="67"/>
      <c r="H1773" s="67"/>
      <c r="I1773" s="67"/>
      <c r="J1773" s="2"/>
    </row>
    <row r="1774" spans="3:10" x14ac:dyDescent="0.25">
      <c r="C1774" s="2"/>
      <c r="D1774" s="134"/>
      <c r="E1774" s="2"/>
      <c r="F1774" s="2"/>
      <c r="G1774" s="67"/>
      <c r="H1774" s="67"/>
      <c r="I1774" s="67"/>
      <c r="J1774" s="2"/>
    </row>
    <row r="1775" spans="3:10" x14ac:dyDescent="0.25">
      <c r="C1775" s="2"/>
      <c r="D1775" s="134"/>
      <c r="E1775" s="2"/>
      <c r="F1775" s="2"/>
      <c r="G1775" s="67"/>
      <c r="H1775" s="67"/>
      <c r="I1775" s="67"/>
      <c r="J1775" s="2"/>
    </row>
    <row r="1776" spans="3:10" x14ac:dyDescent="0.25">
      <c r="C1776" s="2"/>
      <c r="D1776" s="134"/>
      <c r="E1776" s="2"/>
      <c r="F1776" s="2"/>
      <c r="G1776" s="67"/>
      <c r="H1776" s="67"/>
      <c r="I1776" s="67"/>
      <c r="J1776" s="2"/>
    </row>
    <row r="1777" spans="3:10" x14ac:dyDescent="0.25">
      <c r="C1777" s="2"/>
      <c r="D1777" s="134"/>
      <c r="E1777" s="2"/>
      <c r="F1777" s="2"/>
      <c r="G1777" s="67"/>
      <c r="H1777" s="67"/>
      <c r="I1777" s="67"/>
      <c r="J1777" s="2"/>
    </row>
    <row r="1778" spans="3:10" x14ac:dyDescent="0.25">
      <c r="C1778" s="2"/>
      <c r="D1778" s="134"/>
      <c r="E1778" s="2"/>
      <c r="F1778" s="2"/>
      <c r="G1778" s="67"/>
      <c r="H1778" s="67"/>
      <c r="I1778" s="67"/>
      <c r="J1778" s="2"/>
    </row>
    <row r="1779" spans="3:10" x14ac:dyDescent="0.25">
      <c r="C1779" s="2"/>
      <c r="D1779" s="134"/>
      <c r="E1779" s="2"/>
      <c r="F1779" s="2"/>
      <c r="G1779" s="67"/>
      <c r="H1779" s="67"/>
      <c r="I1779" s="67"/>
      <c r="J1779" s="2"/>
    </row>
    <row r="1780" spans="3:10" x14ac:dyDescent="0.25">
      <c r="C1780" s="2"/>
      <c r="D1780" s="134"/>
      <c r="E1780" s="2"/>
      <c r="F1780" s="2"/>
      <c r="G1780" s="67"/>
      <c r="H1780" s="67"/>
      <c r="I1780" s="67"/>
      <c r="J1780" s="2"/>
    </row>
    <row r="1781" spans="3:10" x14ac:dyDescent="0.25">
      <c r="C1781" s="2"/>
      <c r="D1781" s="134"/>
      <c r="E1781" s="2"/>
      <c r="F1781" s="2"/>
      <c r="G1781" s="67"/>
      <c r="H1781" s="67"/>
      <c r="I1781" s="67"/>
      <c r="J1781" s="2"/>
    </row>
    <row r="1782" spans="3:10" x14ac:dyDescent="0.25">
      <c r="C1782" s="2"/>
      <c r="D1782" s="134"/>
      <c r="E1782" s="2"/>
      <c r="F1782" s="2"/>
      <c r="G1782" s="67"/>
      <c r="H1782" s="67"/>
      <c r="I1782" s="67"/>
      <c r="J1782" s="2"/>
    </row>
    <row r="1783" spans="3:10" x14ac:dyDescent="0.25">
      <c r="C1783" s="2"/>
      <c r="D1783" s="134"/>
      <c r="E1783" s="2"/>
      <c r="F1783" s="2"/>
      <c r="G1783" s="67"/>
      <c r="H1783" s="67"/>
      <c r="I1783" s="67"/>
      <c r="J1783" s="2"/>
    </row>
    <row r="1784" spans="3:10" x14ac:dyDescent="0.25">
      <c r="C1784" s="2"/>
      <c r="D1784" s="134"/>
      <c r="E1784" s="2"/>
      <c r="F1784" s="2"/>
      <c r="G1784" s="67"/>
      <c r="H1784" s="67"/>
      <c r="I1784" s="67"/>
      <c r="J1784" s="2"/>
    </row>
    <row r="1785" spans="3:10" x14ac:dyDescent="0.25">
      <c r="C1785" s="2"/>
      <c r="D1785" s="134"/>
      <c r="E1785" s="2"/>
      <c r="F1785" s="2"/>
      <c r="G1785" s="67"/>
      <c r="H1785" s="67"/>
      <c r="I1785" s="67"/>
      <c r="J1785" s="2"/>
    </row>
    <row r="1786" spans="3:10" x14ac:dyDescent="0.25">
      <c r="C1786" s="2"/>
      <c r="D1786" s="134"/>
      <c r="E1786" s="2"/>
      <c r="F1786" s="2"/>
      <c r="G1786" s="67"/>
      <c r="H1786" s="67"/>
      <c r="I1786" s="67"/>
      <c r="J1786" s="2"/>
    </row>
    <row r="1787" spans="3:10" x14ac:dyDescent="0.25">
      <c r="C1787" s="2"/>
      <c r="D1787" s="134"/>
      <c r="E1787" s="2"/>
      <c r="F1787" s="2"/>
      <c r="G1787" s="67"/>
      <c r="H1787" s="67"/>
      <c r="I1787" s="67"/>
      <c r="J1787" s="2"/>
    </row>
    <row r="1788" spans="3:10" x14ac:dyDescent="0.25">
      <c r="C1788" s="2"/>
      <c r="D1788" s="134"/>
      <c r="E1788" s="2"/>
      <c r="F1788" s="2"/>
      <c r="G1788" s="67"/>
      <c r="H1788" s="67"/>
      <c r="I1788" s="67"/>
      <c r="J1788" s="2"/>
    </row>
    <row r="1789" spans="3:10" x14ac:dyDescent="0.25">
      <c r="C1789" s="2"/>
      <c r="D1789" s="134"/>
      <c r="E1789" s="2"/>
      <c r="F1789" s="2"/>
      <c r="G1789" s="67"/>
      <c r="H1789" s="67"/>
      <c r="I1789" s="67"/>
      <c r="J1789" s="2"/>
    </row>
    <row r="1790" spans="3:10" x14ac:dyDescent="0.25">
      <c r="C1790" s="2"/>
      <c r="D1790" s="134"/>
      <c r="E1790" s="2"/>
      <c r="F1790" s="2"/>
      <c r="G1790" s="67"/>
      <c r="H1790" s="67"/>
      <c r="I1790" s="67"/>
      <c r="J1790" s="2"/>
    </row>
    <row r="1791" spans="3:10" x14ac:dyDescent="0.25">
      <c r="C1791" s="2"/>
      <c r="D1791" s="134"/>
      <c r="E1791" s="2"/>
      <c r="F1791" s="2"/>
      <c r="G1791" s="67"/>
      <c r="H1791" s="67"/>
      <c r="I1791" s="67"/>
      <c r="J1791" s="2"/>
    </row>
    <row r="1792" spans="3:10" x14ac:dyDescent="0.25">
      <c r="C1792" s="2"/>
      <c r="D1792" s="134"/>
      <c r="E1792" s="2"/>
      <c r="F1792" s="2"/>
      <c r="G1792" s="67"/>
      <c r="H1792" s="67"/>
      <c r="I1792" s="67"/>
      <c r="J1792" s="2"/>
    </row>
    <row r="1793" spans="3:10" x14ac:dyDescent="0.25">
      <c r="C1793" s="2"/>
      <c r="D1793" s="134"/>
      <c r="E1793" s="2"/>
      <c r="F1793" s="2"/>
      <c r="G1793" s="67"/>
      <c r="H1793" s="67"/>
      <c r="I1793" s="67"/>
      <c r="J1793" s="2"/>
    </row>
    <row r="1794" spans="3:10" x14ac:dyDescent="0.25">
      <c r="C1794" s="2"/>
      <c r="D1794" s="134"/>
      <c r="E1794" s="2"/>
      <c r="F1794" s="2"/>
      <c r="G1794" s="67"/>
      <c r="H1794" s="67"/>
      <c r="I1794" s="67"/>
      <c r="J1794" s="2"/>
    </row>
    <row r="1795" spans="3:10" x14ac:dyDescent="0.25">
      <c r="C1795" s="2"/>
      <c r="D1795" s="134"/>
      <c r="E1795" s="2"/>
      <c r="F1795" s="2"/>
      <c r="G1795" s="67"/>
      <c r="H1795" s="67"/>
      <c r="I1795" s="67"/>
      <c r="J1795" s="2"/>
    </row>
    <row r="1796" spans="3:10" x14ac:dyDescent="0.25">
      <c r="C1796" s="2"/>
      <c r="D1796" s="134"/>
      <c r="E1796" s="2"/>
      <c r="F1796" s="2"/>
      <c r="G1796" s="67"/>
      <c r="H1796" s="67"/>
      <c r="I1796" s="67"/>
      <c r="J1796" s="2"/>
    </row>
    <row r="1797" spans="3:10" x14ac:dyDescent="0.25">
      <c r="C1797" s="2"/>
      <c r="D1797" s="134"/>
      <c r="E1797" s="2"/>
      <c r="F1797" s="2"/>
      <c r="G1797" s="67"/>
      <c r="H1797" s="67"/>
      <c r="I1797" s="67"/>
      <c r="J1797" s="2"/>
    </row>
    <row r="1798" spans="3:10" x14ac:dyDescent="0.25">
      <c r="C1798" s="2"/>
      <c r="D1798" s="134"/>
      <c r="E1798" s="2"/>
      <c r="F1798" s="2"/>
      <c r="G1798" s="67"/>
      <c r="H1798" s="67"/>
      <c r="I1798" s="67"/>
      <c r="J1798" s="2"/>
    </row>
    <row r="1799" spans="3:10" x14ac:dyDescent="0.25">
      <c r="C1799" s="2"/>
      <c r="D1799" s="134"/>
      <c r="E1799" s="2"/>
      <c r="F1799" s="2"/>
      <c r="G1799" s="67"/>
      <c r="H1799" s="67"/>
      <c r="I1799" s="67"/>
      <c r="J1799" s="2"/>
    </row>
    <row r="1800" spans="3:10" x14ac:dyDescent="0.25">
      <c r="C1800" s="2"/>
      <c r="D1800" s="134"/>
      <c r="E1800" s="2"/>
      <c r="F1800" s="2"/>
      <c r="G1800" s="67"/>
      <c r="H1800" s="67"/>
      <c r="I1800" s="67"/>
      <c r="J1800" s="2"/>
    </row>
    <row r="1801" spans="3:10" x14ac:dyDescent="0.25">
      <c r="C1801" s="2"/>
      <c r="D1801" s="134"/>
      <c r="E1801" s="2"/>
      <c r="F1801" s="2"/>
      <c r="G1801" s="67"/>
      <c r="H1801" s="67"/>
      <c r="I1801" s="67"/>
      <c r="J1801" s="2"/>
    </row>
    <row r="1802" spans="3:10" x14ac:dyDescent="0.25">
      <c r="C1802" s="2"/>
      <c r="D1802" s="134"/>
      <c r="E1802" s="2"/>
      <c r="F1802" s="2"/>
      <c r="G1802" s="67"/>
      <c r="H1802" s="67"/>
      <c r="I1802" s="67"/>
      <c r="J1802" s="2"/>
    </row>
    <row r="1803" spans="3:10" x14ac:dyDescent="0.25">
      <c r="C1803" s="2"/>
      <c r="D1803" s="134"/>
      <c r="E1803" s="2"/>
      <c r="F1803" s="2"/>
      <c r="G1803" s="67"/>
      <c r="H1803" s="67"/>
      <c r="I1803" s="67"/>
      <c r="J1803" s="2"/>
    </row>
    <row r="1804" spans="3:10" x14ac:dyDescent="0.25">
      <c r="C1804" s="2"/>
      <c r="D1804" s="134"/>
      <c r="E1804" s="2"/>
      <c r="F1804" s="2"/>
      <c r="G1804" s="67"/>
      <c r="H1804" s="67"/>
      <c r="I1804" s="67"/>
      <c r="J1804" s="2"/>
    </row>
    <row r="1805" spans="3:10" x14ac:dyDescent="0.25">
      <c r="C1805" s="2"/>
      <c r="D1805" s="134"/>
      <c r="E1805" s="2"/>
      <c r="F1805" s="2"/>
      <c r="G1805" s="67"/>
      <c r="H1805" s="67"/>
      <c r="I1805" s="67"/>
      <c r="J1805" s="2"/>
    </row>
    <row r="1806" spans="3:10" x14ac:dyDescent="0.25">
      <c r="C1806" s="2"/>
      <c r="D1806" s="134"/>
      <c r="E1806" s="2"/>
      <c r="F1806" s="2"/>
      <c r="G1806" s="67"/>
      <c r="H1806" s="67"/>
      <c r="I1806" s="67"/>
      <c r="J1806" s="2"/>
    </row>
    <row r="1807" spans="3:10" x14ac:dyDescent="0.25">
      <c r="C1807" s="2"/>
      <c r="D1807" s="134"/>
      <c r="E1807" s="2"/>
      <c r="F1807" s="2"/>
      <c r="G1807" s="67"/>
      <c r="H1807" s="67"/>
      <c r="I1807" s="67"/>
      <c r="J1807" s="2"/>
    </row>
    <row r="1808" spans="3:10" x14ac:dyDescent="0.25">
      <c r="C1808" s="2"/>
      <c r="D1808" s="134"/>
      <c r="E1808" s="2"/>
      <c r="F1808" s="2"/>
      <c r="G1808" s="67"/>
      <c r="H1808" s="67"/>
      <c r="I1808" s="67"/>
      <c r="J1808" s="2"/>
    </row>
    <row r="1809" spans="3:10" x14ac:dyDescent="0.25">
      <c r="C1809" s="2"/>
      <c r="D1809" s="134"/>
      <c r="E1809" s="2"/>
      <c r="F1809" s="2"/>
      <c r="G1809" s="67"/>
      <c r="H1809" s="67"/>
      <c r="I1809" s="67"/>
      <c r="J1809" s="2"/>
    </row>
    <row r="1810" spans="3:10" x14ac:dyDescent="0.25">
      <c r="C1810" s="2"/>
      <c r="D1810" s="134"/>
      <c r="E1810" s="2"/>
      <c r="F1810" s="2"/>
      <c r="G1810" s="67"/>
      <c r="H1810" s="67"/>
      <c r="I1810" s="67"/>
      <c r="J1810" s="2"/>
    </row>
    <row r="1811" spans="3:10" x14ac:dyDescent="0.25">
      <c r="C1811" s="2"/>
      <c r="D1811" s="134"/>
      <c r="E1811" s="2"/>
      <c r="F1811" s="2"/>
      <c r="G1811" s="67"/>
      <c r="H1811" s="67"/>
      <c r="I1811" s="67"/>
      <c r="J1811" s="2"/>
    </row>
    <row r="1812" spans="3:10" x14ac:dyDescent="0.25">
      <c r="C1812" s="2"/>
      <c r="D1812" s="134"/>
      <c r="E1812" s="2"/>
      <c r="F1812" s="2"/>
      <c r="G1812" s="67"/>
      <c r="H1812" s="67"/>
      <c r="I1812" s="67"/>
      <c r="J1812" s="2"/>
    </row>
    <row r="1813" spans="3:10" x14ac:dyDescent="0.25">
      <c r="C1813" s="2"/>
      <c r="D1813" s="134"/>
      <c r="E1813" s="2"/>
      <c r="F1813" s="2"/>
      <c r="G1813" s="67"/>
      <c r="H1813" s="67"/>
      <c r="I1813" s="67"/>
      <c r="J1813" s="2"/>
    </row>
    <row r="1814" spans="3:10" x14ac:dyDescent="0.25">
      <c r="C1814" s="2"/>
      <c r="D1814" s="134"/>
      <c r="E1814" s="2"/>
      <c r="F1814" s="2"/>
      <c r="G1814" s="67"/>
      <c r="H1814" s="67"/>
      <c r="I1814" s="67"/>
      <c r="J1814" s="2"/>
    </row>
    <row r="1815" spans="3:10" x14ac:dyDescent="0.25">
      <c r="C1815" s="2"/>
      <c r="D1815" s="134"/>
      <c r="E1815" s="2"/>
      <c r="F1815" s="2"/>
      <c r="G1815" s="67"/>
      <c r="H1815" s="67"/>
      <c r="I1815" s="67"/>
      <c r="J1815" s="2"/>
    </row>
    <row r="1816" spans="3:10" x14ac:dyDescent="0.25">
      <c r="C1816" s="2"/>
      <c r="D1816" s="134"/>
      <c r="E1816" s="2"/>
      <c r="F1816" s="2"/>
      <c r="G1816" s="67"/>
      <c r="H1816" s="67"/>
      <c r="I1816" s="67"/>
      <c r="J1816" s="2"/>
    </row>
    <row r="1817" spans="3:10" x14ac:dyDescent="0.25">
      <c r="C1817" s="2"/>
      <c r="D1817" s="134"/>
      <c r="E1817" s="2"/>
      <c r="F1817" s="2"/>
      <c r="G1817" s="67"/>
      <c r="H1817" s="67"/>
      <c r="I1817" s="67"/>
      <c r="J1817" s="2"/>
    </row>
    <row r="1818" spans="3:10" x14ac:dyDescent="0.25">
      <c r="C1818" s="2"/>
      <c r="D1818" s="134"/>
      <c r="E1818" s="2"/>
      <c r="F1818" s="2"/>
      <c r="G1818" s="67"/>
      <c r="H1818" s="67"/>
      <c r="I1818" s="67"/>
      <c r="J1818" s="2"/>
    </row>
    <row r="1819" spans="3:10" x14ac:dyDescent="0.25">
      <c r="C1819" s="2"/>
      <c r="D1819" s="134"/>
      <c r="E1819" s="2"/>
      <c r="F1819" s="2"/>
      <c r="G1819" s="67"/>
      <c r="H1819" s="67"/>
      <c r="I1819" s="67"/>
      <c r="J1819" s="2"/>
    </row>
    <row r="1820" spans="3:10" x14ac:dyDescent="0.25">
      <c r="C1820" s="2"/>
      <c r="D1820" s="134"/>
      <c r="E1820" s="2"/>
      <c r="F1820" s="2"/>
      <c r="G1820" s="67"/>
      <c r="H1820" s="67"/>
      <c r="I1820" s="67"/>
      <c r="J1820" s="2"/>
    </row>
    <row r="1821" spans="3:10" x14ac:dyDescent="0.25">
      <c r="C1821" s="2"/>
      <c r="D1821" s="134"/>
      <c r="E1821" s="2"/>
      <c r="F1821" s="2"/>
      <c r="G1821" s="67"/>
      <c r="H1821" s="67"/>
      <c r="I1821" s="67"/>
      <c r="J1821" s="2"/>
    </row>
    <row r="1822" spans="3:10" x14ac:dyDescent="0.25">
      <c r="C1822" s="2"/>
      <c r="D1822" s="134"/>
      <c r="E1822" s="2"/>
      <c r="F1822" s="2"/>
      <c r="G1822" s="67"/>
      <c r="H1822" s="67"/>
      <c r="I1822" s="67"/>
      <c r="J1822" s="2"/>
    </row>
    <row r="1823" spans="3:10" x14ac:dyDescent="0.25">
      <c r="C1823" s="2"/>
      <c r="D1823" s="134"/>
      <c r="E1823" s="2"/>
      <c r="F1823" s="2"/>
      <c r="G1823" s="67"/>
      <c r="H1823" s="67"/>
      <c r="I1823" s="67"/>
      <c r="J1823" s="2"/>
    </row>
    <row r="1824" spans="3:10" x14ac:dyDescent="0.25">
      <c r="C1824" s="2"/>
      <c r="D1824" s="134"/>
      <c r="E1824" s="2"/>
      <c r="F1824" s="2"/>
      <c r="G1824" s="67"/>
      <c r="H1824" s="67"/>
      <c r="I1824" s="67"/>
      <c r="J1824" s="2"/>
    </row>
    <row r="1825" spans="3:10" x14ac:dyDescent="0.25">
      <c r="C1825" s="2"/>
      <c r="D1825" s="134"/>
      <c r="E1825" s="2"/>
      <c r="F1825" s="2"/>
      <c r="G1825" s="67"/>
      <c r="H1825" s="67"/>
      <c r="I1825" s="67"/>
      <c r="J1825" s="2"/>
    </row>
    <row r="1826" spans="3:10" x14ac:dyDescent="0.25">
      <c r="C1826" s="2"/>
      <c r="D1826" s="134"/>
      <c r="E1826" s="2"/>
      <c r="F1826" s="2"/>
      <c r="G1826" s="67"/>
      <c r="H1826" s="67"/>
      <c r="I1826" s="67"/>
      <c r="J1826" s="2"/>
    </row>
    <row r="1827" spans="3:10" x14ac:dyDescent="0.25">
      <c r="C1827" s="2"/>
      <c r="D1827" s="134"/>
      <c r="E1827" s="2"/>
      <c r="F1827" s="2"/>
      <c r="G1827" s="67"/>
      <c r="H1827" s="67"/>
      <c r="I1827" s="67"/>
      <c r="J1827" s="2"/>
    </row>
    <row r="1828" spans="3:10" x14ac:dyDescent="0.25">
      <c r="C1828" s="2"/>
      <c r="D1828" s="134"/>
      <c r="E1828" s="2"/>
      <c r="F1828" s="2"/>
      <c r="G1828" s="67"/>
      <c r="H1828" s="67"/>
      <c r="I1828" s="67"/>
      <c r="J1828" s="2"/>
    </row>
    <row r="1829" spans="3:10" x14ac:dyDescent="0.25">
      <c r="C1829" s="2"/>
      <c r="D1829" s="134"/>
      <c r="E1829" s="2"/>
      <c r="F1829" s="2"/>
      <c r="G1829" s="67"/>
      <c r="H1829" s="67"/>
      <c r="I1829" s="67"/>
      <c r="J1829" s="2"/>
    </row>
    <row r="1830" spans="3:10" x14ac:dyDescent="0.25">
      <c r="C1830" s="2"/>
      <c r="D1830" s="134"/>
      <c r="E1830" s="2"/>
      <c r="F1830" s="2"/>
      <c r="G1830" s="67"/>
      <c r="H1830" s="67"/>
      <c r="I1830" s="67"/>
      <c r="J1830" s="2"/>
    </row>
    <row r="1831" spans="3:10" x14ac:dyDescent="0.25">
      <c r="C1831" s="2"/>
      <c r="D1831" s="134"/>
      <c r="E1831" s="2"/>
      <c r="F1831" s="2"/>
      <c r="G1831" s="67"/>
      <c r="H1831" s="67"/>
      <c r="I1831" s="67"/>
      <c r="J1831" s="2"/>
    </row>
    <row r="1832" spans="3:10" x14ac:dyDescent="0.25">
      <c r="C1832" s="2"/>
      <c r="D1832" s="134"/>
      <c r="E1832" s="2"/>
      <c r="F1832" s="2"/>
      <c r="G1832" s="67"/>
      <c r="H1832" s="67"/>
      <c r="I1832" s="67"/>
      <c r="J1832" s="2"/>
    </row>
    <row r="1833" spans="3:10" x14ac:dyDescent="0.25">
      <c r="C1833" s="2"/>
      <c r="D1833" s="134"/>
      <c r="E1833" s="2"/>
      <c r="F1833" s="2"/>
      <c r="G1833" s="67"/>
      <c r="H1833" s="67"/>
      <c r="I1833" s="67"/>
      <c r="J1833" s="2"/>
    </row>
    <row r="1834" spans="3:10" x14ac:dyDescent="0.25">
      <c r="C1834" s="2"/>
      <c r="D1834" s="134"/>
      <c r="E1834" s="2"/>
      <c r="F1834" s="2"/>
      <c r="G1834" s="67"/>
      <c r="H1834" s="67"/>
      <c r="I1834" s="67"/>
      <c r="J1834" s="2"/>
    </row>
    <row r="1835" spans="3:10" x14ac:dyDescent="0.25">
      <c r="C1835" s="2"/>
      <c r="D1835" s="134"/>
      <c r="E1835" s="2"/>
      <c r="F1835" s="2"/>
      <c r="G1835" s="67"/>
      <c r="H1835" s="67"/>
      <c r="I1835" s="67"/>
      <c r="J1835" s="2"/>
    </row>
    <row r="1836" spans="3:10" x14ac:dyDescent="0.25">
      <c r="C1836" s="2"/>
      <c r="D1836" s="134"/>
      <c r="E1836" s="2"/>
      <c r="F1836" s="2"/>
      <c r="G1836" s="67"/>
      <c r="H1836" s="67"/>
      <c r="I1836" s="67"/>
      <c r="J1836" s="2"/>
    </row>
    <row r="1837" spans="3:10" x14ac:dyDescent="0.25">
      <c r="C1837" s="2"/>
      <c r="D1837" s="134"/>
      <c r="E1837" s="2"/>
      <c r="F1837" s="2"/>
      <c r="G1837" s="67"/>
      <c r="H1837" s="67"/>
      <c r="I1837" s="67"/>
      <c r="J1837" s="2"/>
    </row>
    <row r="1838" spans="3:10" x14ac:dyDescent="0.25">
      <c r="C1838" s="2"/>
      <c r="D1838" s="134"/>
      <c r="E1838" s="2"/>
      <c r="F1838" s="2"/>
      <c r="G1838" s="67"/>
      <c r="H1838" s="67"/>
      <c r="I1838" s="67"/>
      <c r="J1838" s="2"/>
    </row>
    <row r="1839" spans="3:10" x14ac:dyDescent="0.25">
      <c r="C1839" s="2"/>
      <c r="D1839" s="134"/>
      <c r="E1839" s="2"/>
      <c r="F1839" s="2"/>
      <c r="G1839" s="67"/>
      <c r="H1839" s="67"/>
      <c r="I1839" s="67"/>
      <c r="J1839" s="2"/>
    </row>
    <row r="1840" spans="3:10" x14ac:dyDescent="0.25">
      <c r="C1840" s="2"/>
      <c r="D1840" s="134"/>
      <c r="E1840" s="2"/>
      <c r="F1840" s="2"/>
      <c r="G1840" s="67"/>
      <c r="H1840" s="67"/>
      <c r="I1840" s="67"/>
      <c r="J1840" s="2"/>
    </row>
    <row r="1841" spans="3:10" x14ac:dyDescent="0.25">
      <c r="C1841" s="2"/>
      <c r="D1841" s="134"/>
      <c r="E1841" s="2"/>
      <c r="F1841" s="2"/>
      <c r="G1841" s="67"/>
      <c r="H1841" s="67"/>
      <c r="I1841" s="67"/>
      <c r="J1841" s="2"/>
    </row>
    <row r="1842" spans="3:10" x14ac:dyDescent="0.25">
      <c r="C1842" s="2"/>
      <c r="D1842" s="134"/>
      <c r="E1842" s="2"/>
      <c r="F1842" s="2"/>
      <c r="G1842" s="67"/>
      <c r="H1842" s="67"/>
      <c r="I1842" s="67"/>
      <c r="J1842" s="2"/>
    </row>
    <row r="1843" spans="3:10" x14ac:dyDescent="0.25">
      <c r="C1843" s="2"/>
      <c r="D1843" s="134"/>
      <c r="E1843" s="2"/>
      <c r="F1843" s="2"/>
      <c r="G1843" s="67"/>
      <c r="H1843" s="67"/>
      <c r="I1843" s="67"/>
      <c r="J1843" s="2"/>
    </row>
    <row r="1844" spans="3:10" x14ac:dyDescent="0.25">
      <c r="C1844" s="2"/>
      <c r="D1844" s="134"/>
      <c r="E1844" s="2"/>
      <c r="F1844" s="2"/>
      <c r="G1844" s="67"/>
      <c r="H1844" s="67"/>
      <c r="I1844" s="67"/>
      <c r="J1844" s="2"/>
    </row>
    <row r="1845" spans="3:10" x14ac:dyDescent="0.25">
      <c r="C1845" s="2"/>
      <c r="D1845" s="134"/>
      <c r="E1845" s="2"/>
      <c r="F1845" s="2"/>
      <c r="G1845" s="67"/>
      <c r="H1845" s="67"/>
      <c r="I1845" s="67"/>
      <c r="J1845" s="2"/>
    </row>
    <row r="1846" spans="3:10" x14ac:dyDescent="0.25">
      <c r="C1846" s="2"/>
      <c r="D1846" s="134"/>
      <c r="E1846" s="2"/>
      <c r="F1846" s="2"/>
      <c r="G1846" s="67"/>
      <c r="H1846" s="67"/>
      <c r="I1846" s="67"/>
      <c r="J1846" s="2"/>
    </row>
    <row r="1847" spans="3:10" x14ac:dyDescent="0.25">
      <c r="C1847" s="2"/>
      <c r="D1847" s="134"/>
      <c r="E1847" s="2"/>
      <c r="F1847" s="2"/>
      <c r="G1847" s="67"/>
      <c r="H1847" s="67"/>
      <c r="I1847" s="67"/>
      <c r="J1847" s="2"/>
    </row>
    <row r="1848" spans="3:10" x14ac:dyDescent="0.25">
      <c r="C1848" s="2"/>
      <c r="D1848" s="134"/>
      <c r="E1848" s="2"/>
      <c r="F1848" s="2"/>
      <c r="G1848" s="67"/>
      <c r="H1848" s="67"/>
      <c r="I1848" s="67"/>
      <c r="J1848" s="2"/>
    </row>
    <row r="1849" spans="3:10" x14ac:dyDescent="0.25">
      <c r="C1849" s="2"/>
      <c r="D1849" s="134"/>
      <c r="E1849" s="2"/>
      <c r="F1849" s="2"/>
      <c r="G1849" s="67"/>
      <c r="H1849" s="67"/>
      <c r="I1849" s="67"/>
      <c r="J1849" s="2"/>
    </row>
    <row r="1850" spans="3:10" x14ac:dyDescent="0.25">
      <c r="C1850" s="2"/>
      <c r="D1850" s="134"/>
      <c r="E1850" s="2"/>
      <c r="F1850" s="2"/>
      <c r="G1850" s="67"/>
      <c r="H1850" s="67"/>
      <c r="I1850" s="67"/>
      <c r="J1850" s="2"/>
    </row>
    <row r="1851" spans="3:10" x14ac:dyDescent="0.25">
      <c r="C1851" s="2"/>
      <c r="D1851" s="134"/>
      <c r="E1851" s="2"/>
      <c r="F1851" s="2"/>
      <c r="G1851" s="67"/>
      <c r="H1851" s="67"/>
      <c r="I1851" s="67"/>
      <c r="J1851" s="2"/>
    </row>
    <row r="1852" spans="3:10" x14ac:dyDescent="0.25">
      <c r="C1852" s="2"/>
      <c r="D1852" s="134"/>
      <c r="E1852" s="2"/>
      <c r="F1852" s="2"/>
      <c r="G1852" s="67"/>
      <c r="H1852" s="67"/>
      <c r="I1852" s="67"/>
      <c r="J1852" s="2"/>
    </row>
    <row r="1853" spans="3:10" x14ac:dyDescent="0.25">
      <c r="C1853" s="2"/>
      <c r="D1853" s="134"/>
      <c r="E1853" s="2"/>
      <c r="F1853" s="2"/>
      <c r="G1853" s="67"/>
      <c r="H1853" s="67"/>
      <c r="I1853" s="67"/>
      <c r="J1853" s="2"/>
    </row>
    <row r="1854" spans="3:10" x14ac:dyDescent="0.25">
      <c r="C1854" s="2"/>
      <c r="D1854" s="134"/>
      <c r="E1854" s="2"/>
      <c r="F1854" s="2"/>
      <c r="G1854" s="67"/>
      <c r="H1854" s="67"/>
      <c r="I1854" s="67"/>
      <c r="J1854" s="2"/>
    </row>
    <row r="1855" spans="3:10" x14ac:dyDescent="0.25">
      <c r="C1855" s="2"/>
      <c r="D1855" s="134"/>
      <c r="E1855" s="2"/>
      <c r="F1855" s="2"/>
      <c r="G1855" s="67"/>
      <c r="H1855" s="67"/>
      <c r="I1855" s="67"/>
      <c r="J1855" s="2"/>
    </row>
    <row r="1856" spans="3:10" x14ac:dyDescent="0.25">
      <c r="C1856" s="2"/>
      <c r="D1856" s="134"/>
      <c r="E1856" s="2"/>
      <c r="F1856" s="2"/>
      <c r="G1856" s="67"/>
      <c r="H1856" s="67"/>
      <c r="I1856" s="67"/>
      <c r="J1856" s="2"/>
    </row>
    <row r="1857" spans="3:10" x14ac:dyDescent="0.25">
      <c r="C1857" s="2"/>
      <c r="D1857" s="134"/>
      <c r="E1857" s="2"/>
      <c r="F1857" s="2"/>
      <c r="G1857" s="67"/>
      <c r="H1857" s="67"/>
      <c r="I1857" s="67"/>
      <c r="J1857" s="2"/>
    </row>
    <row r="1858" spans="3:10" x14ac:dyDescent="0.25">
      <c r="C1858" s="2"/>
      <c r="D1858" s="134"/>
      <c r="E1858" s="2"/>
      <c r="F1858" s="2"/>
      <c r="G1858" s="67"/>
      <c r="H1858" s="67"/>
      <c r="I1858" s="67"/>
      <c r="J1858" s="2"/>
    </row>
    <row r="1859" spans="3:10" x14ac:dyDescent="0.25">
      <c r="C1859" s="2"/>
      <c r="D1859" s="134"/>
      <c r="E1859" s="2"/>
      <c r="F1859" s="2"/>
      <c r="G1859" s="67"/>
      <c r="H1859" s="67"/>
      <c r="I1859" s="67"/>
      <c r="J1859" s="2"/>
    </row>
    <row r="1860" spans="3:10" x14ac:dyDescent="0.25">
      <c r="C1860" s="2"/>
      <c r="D1860" s="134"/>
      <c r="E1860" s="2"/>
      <c r="F1860" s="2"/>
      <c r="G1860" s="67"/>
      <c r="H1860" s="67"/>
      <c r="I1860" s="67"/>
      <c r="J1860" s="2"/>
    </row>
    <row r="1861" spans="3:10" x14ac:dyDescent="0.25">
      <c r="C1861" s="2"/>
      <c r="D1861" s="134"/>
      <c r="E1861" s="2"/>
      <c r="F1861" s="2"/>
      <c r="G1861" s="67"/>
      <c r="H1861" s="67"/>
      <c r="I1861" s="67"/>
      <c r="J1861" s="2"/>
    </row>
    <row r="1862" spans="3:10" x14ac:dyDescent="0.25">
      <c r="C1862" s="2"/>
      <c r="D1862" s="134"/>
      <c r="E1862" s="2"/>
      <c r="F1862" s="2"/>
      <c r="G1862" s="67"/>
      <c r="H1862" s="67"/>
      <c r="I1862" s="67"/>
      <c r="J1862" s="2"/>
    </row>
    <row r="1863" spans="3:10" x14ac:dyDescent="0.25">
      <c r="C1863" s="2"/>
      <c r="D1863" s="134"/>
      <c r="E1863" s="2"/>
      <c r="F1863" s="2"/>
      <c r="G1863" s="67"/>
      <c r="H1863" s="67"/>
      <c r="I1863" s="67"/>
      <c r="J1863" s="2"/>
    </row>
    <row r="1864" spans="3:10" x14ac:dyDescent="0.25">
      <c r="C1864" s="2"/>
      <c r="D1864" s="134"/>
      <c r="E1864" s="2"/>
      <c r="F1864" s="2"/>
      <c r="G1864" s="67"/>
      <c r="H1864" s="67"/>
      <c r="I1864" s="67"/>
      <c r="J1864" s="2"/>
    </row>
    <row r="1865" spans="3:10" x14ac:dyDescent="0.25">
      <c r="C1865" s="2"/>
      <c r="D1865" s="134"/>
      <c r="E1865" s="2"/>
      <c r="F1865" s="2"/>
      <c r="G1865" s="67"/>
      <c r="H1865" s="67"/>
      <c r="I1865" s="67"/>
      <c r="J1865" s="2"/>
    </row>
    <row r="1866" spans="3:10" x14ac:dyDescent="0.25">
      <c r="C1866" s="2"/>
      <c r="D1866" s="134"/>
      <c r="E1866" s="2"/>
      <c r="F1866" s="2"/>
      <c r="G1866" s="67"/>
      <c r="H1866" s="67"/>
      <c r="I1866" s="67"/>
      <c r="J1866" s="2"/>
    </row>
    <row r="1867" spans="3:10" x14ac:dyDescent="0.25">
      <c r="C1867" s="2"/>
      <c r="D1867" s="134"/>
      <c r="E1867" s="2"/>
      <c r="F1867" s="2"/>
      <c r="G1867" s="67"/>
      <c r="H1867" s="67"/>
      <c r="I1867" s="67"/>
      <c r="J1867" s="2"/>
    </row>
    <row r="1868" spans="3:10" x14ac:dyDescent="0.25">
      <c r="C1868" s="2"/>
      <c r="D1868" s="134"/>
      <c r="E1868" s="2"/>
      <c r="F1868" s="2"/>
      <c r="G1868" s="67"/>
      <c r="H1868" s="67"/>
      <c r="I1868" s="67"/>
      <c r="J1868" s="2"/>
    </row>
    <row r="1869" spans="3:10" x14ac:dyDescent="0.25">
      <c r="C1869" s="2"/>
      <c r="D1869" s="134"/>
      <c r="E1869" s="2"/>
      <c r="F1869" s="2"/>
      <c r="G1869" s="67"/>
      <c r="H1869" s="67"/>
      <c r="I1869" s="67"/>
      <c r="J1869" s="2"/>
    </row>
    <row r="1870" spans="3:10" x14ac:dyDescent="0.25">
      <c r="C1870" s="2"/>
      <c r="D1870" s="134"/>
      <c r="E1870" s="2"/>
      <c r="F1870" s="2"/>
      <c r="G1870" s="67"/>
      <c r="H1870" s="67"/>
      <c r="I1870" s="67"/>
      <c r="J1870" s="2"/>
    </row>
    <row r="1871" spans="3:10" x14ac:dyDescent="0.25">
      <c r="C1871" s="2"/>
      <c r="D1871" s="134"/>
      <c r="E1871" s="2"/>
      <c r="F1871" s="2"/>
      <c r="G1871" s="67"/>
      <c r="H1871" s="67"/>
      <c r="I1871" s="67"/>
      <c r="J1871" s="2"/>
    </row>
    <row r="1872" spans="3:10" x14ac:dyDescent="0.25">
      <c r="C1872" s="2"/>
      <c r="D1872" s="134"/>
      <c r="E1872" s="2"/>
      <c r="F1872" s="2"/>
      <c r="G1872" s="67"/>
      <c r="H1872" s="67"/>
      <c r="I1872" s="67"/>
      <c r="J1872" s="2"/>
    </row>
    <row r="1873" spans="3:10" x14ac:dyDescent="0.25">
      <c r="C1873" s="2"/>
      <c r="D1873" s="134"/>
      <c r="E1873" s="2"/>
      <c r="F1873" s="2"/>
      <c r="G1873" s="67"/>
      <c r="H1873" s="67"/>
      <c r="I1873" s="67"/>
      <c r="J1873" s="2"/>
    </row>
    <row r="1874" spans="3:10" x14ac:dyDescent="0.25">
      <c r="C1874" s="2"/>
      <c r="D1874" s="134"/>
      <c r="E1874" s="2"/>
      <c r="F1874" s="2"/>
      <c r="G1874" s="67"/>
      <c r="H1874" s="67"/>
      <c r="I1874" s="67"/>
      <c r="J1874" s="2"/>
    </row>
    <row r="1875" spans="3:10" x14ac:dyDescent="0.25">
      <c r="C1875" s="2"/>
      <c r="D1875" s="134"/>
      <c r="E1875" s="2"/>
      <c r="F1875" s="2"/>
      <c r="G1875" s="67"/>
      <c r="H1875" s="67"/>
      <c r="I1875" s="67"/>
      <c r="J1875" s="2"/>
    </row>
    <row r="1876" spans="3:10" x14ac:dyDescent="0.25">
      <c r="C1876" s="2"/>
      <c r="D1876" s="134"/>
      <c r="E1876" s="2"/>
      <c r="F1876" s="2"/>
      <c r="G1876" s="67"/>
      <c r="H1876" s="67"/>
      <c r="I1876" s="67"/>
      <c r="J1876" s="2"/>
    </row>
    <row r="1877" spans="3:10" x14ac:dyDescent="0.25">
      <c r="C1877" s="2"/>
      <c r="D1877" s="134"/>
      <c r="E1877" s="2"/>
      <c r="F1877" s="2"/>
      <c r="G1877" s="67"/>
      <c r="H1877" s="67"/>
      <c r="I1877" s="67"/>
      <c r="J1877" s="2"/>
    </row>
    <row r="1878" spans="3:10" x14ac:dyDescent="0.25">
      <c r="C1878" s="2"/>
      <c r="D1878" s="134"/>
      <c r="E1878" s="2"/>
      <c r="F1878" s="2"/>
      <c r="G1878" s="67"/>
      <c r="H1878" s="67"/>
      <c r="I1878" s="67"/>
      <c r="J1878" s="2"/>
    </row>
    <row r="1879" spans="3:10" x14ac:dyDescent="0.25">
      <c r="C1879" s="2"/>
      <c r="D1879" s="134"/>
      <c r="E1879" s="2"/>
      <c r="F1879" s="2"/>
      <c r="G1879" s="67"/>
      <c r="H1879" s="67"/>
      <c r="I1879" s="67"/>
      <c r="J1879" s="2"/>
    </row>
    <row r="1880" spans="3:10" x14ac:dyDescent="0.25">
      <c r="C1880" s="2"/>
      <c r="D1880" s="134"/>
      <c r="E1880" s="2"/>
      <c r="F1880" s="2"/>
      <c r="G1880" s="67"/>
      <c r="H1880" s="67"/>
      <c r="I1880" s="67"/>
      <c r="J1880" s="2"/>
    </row>
    <row r="1881" spans="3:10" x14ac:dyDescent="0.25">
      <c r="C1881" s="2"/>
      <c r="D1881" s="134"/>
      <c r="E1881" s="2"/>
      <c r="F1881" s="2"/>
      <c r="G1881" s="67"/>
      <c r="H1881" s="67"/>
      <c r="I1881" s="67"/>
      <c r="J1881" s="2"/>
    </row>
    <row r="1882" spans="3:10" x14ac:dyDescent="0.25">
      <c r="C1882" s="2"/>
      <c r="D1882" s="134"/>
      <c r="E1882" s="2"/>
      <c r="F1882" s="2"/>
      <c r="G1882" s="67"/>
      <c r="H1882" s="67"/>
      <c r="I1882" s="67"/>
      <c r="J1882" s="2"/>
    </row>
    <row r="1883" spans="3:10" x14ac:dyDescent="0.25">
      <c r="C1883" s="2"/>
      <c r="D1883" s="134"/>
      <c r="E1883" s="2"/>
      <c r="F1883" s="2"/>
      <c r="G1883" s="67"/>
      <c r="H1883" s="67"/>
      <c r="I1883" s="67"/>
      <c r="J1883" s="2"/>
    </row>
    <row r="1884" spans="3:10" x14ac:dyDescent="0.25">
      <c r="C1884" s="2"/>
      <c r="D1884" s="134"/>
      <c r="E1884" s="2"/>
      <c r="F1884" s="2"/>
      <c r="G1884" s="67"/>
      <c r="H1884" s="67"/>
      <c r="I1884" s="67"/>
      <c r="J1884" s="2"/>
    </row>
    <row r="1885" spans="3:10" x14ac:dyDescent="0.25">
      <c r="C1885" s="2"/>
      <c r="D1885" s="134"/>
      <c r="E1885" s="2"/>
      <c r="F1885" s="2"/>
      <c r="G1885" s="67"/>
      <c r="H1885" s="67"/>
      <c r="I1885" s="67"/>
      <c r="J1885" s="2"/>
    </row>
    <row r="1886" spans="3:10" x14ac:dyDescent="0.25">
      <c r="C1886" s="2"/>
      <c r="D1886" s="134"/>
      <c r="E1886" s="2"/>
      <c r="F1886" s="2"/>
      <c r="G1886" s="67"/>
      <c r="H1886" s="67"/>
      <c r="I1886" s="67"/>
      <c r="J1886" s="2"/>
    </row>
    <row r="1887" spans="3:10" x14ac:dyDescent="0.25">
      <c r="C1887" s="2"/>
      <c r="D1887" s="134"/>
      <c r="E1887" s="2"/>
      <c r="F1887" s="2"/>
      <c r="G1887" s="67"/>
      <c r="H1887" s="67"/>
      <c r="I1887" s="67"/>
      <c r="J1887" s="2"/>
    </row>
    <row r="1888" spans="3:10" x14ac:dyDescent="0.25">
      <c r="C1888" s="2"/>
      <c r="D1888" s="134"/>
      <c r="E1888" s="2"/>
      <c r="F1888" s="2"/>
      <c r="G1888" s="67"/>
      <c r="H1888" s="67"/>
      <c r="I1888" s="67"/>
      <c r="J1888" s="2"/>
    </row>
    <row r="1889" spans="3:10" x14ac:dyDescent="0.25">
      <c r="C1889" s="2"/>
      <c r="D1889" s="134"/>
      <c r="E1889" s="2"/>
      <c r="F1889" s="2"/>
      <c r="G1889" s="67"/>
      <c r="H1889" s="67"/>
      <c r="I1889" s="67"/>
      <c r="J1889" s="2"/>
    </row>
    <row r="1890" spans="3:10" x14ac:dyDescent="0.25">
      <c r="C1890" s="2"/>
      <c r="D1890" s="134"/>
      <c r="E1890" s="2"/>
      <c r="F1890" s="2"/>
      <c r="G1890" s="67"/>
      <c r="H1890" s="67"/>
      <c r="I1890" s="67"/>
      <c r="J1890" s="2"/>
    </row>
    <row r="1891" spans="3:10" x14ac:dyDescent="0.25">
      <c r="C1891" s="2"/>
      <c r="D1891" s="134"/>
      <c r="E1891" s="2"/>
      <c r="F1891" s="2"/>
      <c r="G1891" s="67"/>
      <c r="H1891" s="67"/>
      <c r="I1891" s="67"/>
      <c r="J1891" s="2"/>
    </row>
    <row r="1892" spans="3:10" x14ac:dyDescent="0.25">
      <c r="C1892" s="2"/>
      <c r="D1892" s="134"/>
      <c r="E1892" s="2"/>
      <c r="F1892" s="2"/>
      <c r="G1892" s="67"/>
      <c r="H1892" s="67"/>
      <c r="I1892" s="67"/>
      <c r="J1892" s="2"/>
    </row>
    <row r="1893" spans="3:10" x14ac:dyDescent="0.25">
      <c r="C1893" s="2"/>
      <c r="D1893" s="134"/>
      <c r="E1893" s="2"/>
      <c r="F1893" s="2"/>
      <c r="G1893" s="67"/>
      <c r="H1893" s="67"/>
      <c r="I1893" s="67"/>
      <c r="J1893" s="2"/>
    </row>
    <row r="1894" spans="3:10" x14ac:dyDescent="0.25">
      <c r="C1894" s="2"/>
      <c r="D1894" s="134"/>
      <c r="E1894" s="2"/>
      <c r="F1894" s="2"/>
      <c r="G1894" s="67"/>
      <c r="H1894" s="67"/>
      <c r="I1894" s="67"/>
      <c r="J1894" s="2"/>
    </row>
    <row r="1895" spans="3:10" x14ac:dyDescent="0.25">
      <c r="C1895" s="2"/>
      <c r="D1895" s="134"/>
      <c r="E1895" s="2"/>
      <c r="F1895" s="2"/>
      <c r="G1895" s="67"/>
      <c r="H1895" s="67"/>
      <c r="I1895" s="67"/>
      <c r="J1895" s="2"/>
    </row>
    <row r="1896" spans="3:10" x14ac:dyDescent="0.25">
      <c r="C1896" s="2"/>
      <c r="D1896" s="134"/>
      <c r="E1896" s="2"/>
      <c r="F1896" s="2"/>
      <c r="G1896" s="67"/>
      <c r="H1896" s="67"/>
      <c r="I1896" s="67"/>
      <c r="J1896" s="2"/>
    </row>
    <row r="1897" spans="3:10" x14ac:dyDescent="0.25">
      <c r="C1897" s="2"/>
      <c r="D1897" s="134"/>
      <c r="E1897" s="2"/>
      <c r="F1897" s="2"/>
      <c r="G1897" s="67"/>
      <c r="H1897" s="67"/>
      <c r="I1897" s="67"/>
      <c r="J1897" s="2"/>
    </row>
    <row r="1898" spans="3:10" x14ac:dyDescent="0.25">
      <c r="C1898" s="2"/>
      <c r="D1898" s="134"/>
      <c r="E1898" s="2"/>
      <c r="F1898" s="2"/>
      <c r="G1898" s="67"/>
      <c r="H1898" s="67"/>
      <c r="I1898" s="67"/>
      <c r="J1898" s="2"/>
    </row>
    <row r="1899" spans="3:10" x14ac:dyDescent="0.25">
      <c r="C1899" s="2"/>
      <c r="D1899" s="134"/>
      <c r="E1899" s="2"/>
      <c r="F1899" s="2"/>
      <c r="G1899" s="67"/>
      <c r="H1899" s="67"/>
      <c r="I1899" s="67"/>
      <c r="J1899" s="2"/>
    </row>
    <row r="1900" spans="3:10" x14ac:dyDescent="0.25">
      <c r="C1900" s="2"/>
      <c r="D1900" s="134"/>
      <c r="E1900" s="2"/>
      <c r="F1900" s="2"/>
      <c r="G1900" s="67"/>
      <c r="H1900" s="67"/>
      <c r="I1900" s="67"/>
      <c r="J1900" s="2"/>
    </row>
    <row r="1901" spans="3:10" x14ac:dyDescent="0.25">
      <c r="C1901" s="2"/>
      <c r="D1901" s="134"/>
      <c r="E1901" s="2"/>
      <c r="F1901" s="2"/>
      <c r="G1901" s="67"/>
      <c r="H1901" s="67"/>
      <c r="I1901" s="67"/>
      <c r="J1901" s="2"/>
    </row>
    <row r="1902" spans="3:10" x14ac:dyDescent="0.25">
      <c r="C1902" s="2"/>
      <c r="D1902" s="134"/>
      <c r="E1902" s="2"/>
      <c r="F1902" s="2"/>
      <c r="G1902" s="67"/>
      <c r="H1902" s="67"/>
      <c r="I1902" s="67"/>
      <c r="J1902" s="2"/>
    </row>
    <row r="1903" spans="3:10" x14ac:dyDescent="0.25">
      <c r="C1903" s="2"/>
      <c r="D1903" s="134"/>
      <c r="E1903" s="2"/>
      <c r="F1903" s="2"/>
      <c r="G1903" s="67"/>
      <c r="H1903" s="67"/>
      <c r="I1903" s="67"/>
      <c r="J1903" s="2"/>
    </row>
    <row r="1904" spans="3:10" x14ac:dyDescent="0.25">
      <c r="C1904" s="2"/>
      <c r="D1904" s="134"/>
      <c r="E1904" s="2"/>
      <c r="F1904" s="2"/>
      <c r="G1904" s="67"/>
      <c r="H1904" s="67"/>
      <c r="I1904" s="67"/>
      <c r="J1904" s="2"/>
    </row>
    <row r="1905" spans="3:10" x14ac:dyDescent="0.25">
      <c r="C1905" s="2"/>
      <c r="D1905" s="134"/>
      <c r="E1905" s="2"/>
      <c r="F1905" s="2"/>
      <c r="G1905" s="67"/>
      <c r="H1905" s="67"/>
      <c r="I1905" s="67"/>
      <c r="J1905" s="2"/>
    </row>
    <row r="1906" spans="3:10" x14ac:dyDescent="0.25">
      <c r="C1906" s="2"/>
      <c r="D1906" s="134"/>
      <c r="E1906" s="2"/>
      <c r="F1906" s="2"/>
      <c r="G1906" s="67"/>
      <c r="H1906" s="67"/>
      <c r="I1906" s="67"/>
      <c r="J1906" s="2"/>
    </row>
    <row r="1907" spans="3:10" x14ac:dyDescent="0.25">
      <c r="C1907" s="2"/>
      <c r="D1907" s="134"/>
      <c r="E1907" s="2"/>
      <c r="F1907" s="2"/>
      <c r="G1907" s="67"/>
      <c r="H1907" s="67"/>
      <c r="I1907" s="67"/>
      <c r="J1907" s="2"/>
    </row>
    <row r="1908" spans="3:10" x14ac:dyDescent="0.25">
      <c r="C1908" s="2"/>
      <c r="D1908" s="134"/>
      <c r="E1908" s="2"/>
      <c r="F1908" s="2"/>
      <c r="G1908" s="67"/>
      <c r="H1908" s="67"/>
      <c r="I1908" s="67"/>
      <c r="J1908" s="2"/>
    </row>
    <row r="1909" spans="3:10" x14ac:dyDescent="0.25">
      <c r="C1909" s="2"/>
      <c r="D1909" s="134"/>
      <c r="E1909" s="2"/>
      <c r="F1909" s="2"/>
      <c r="G1909" s="67"/>
      <c r="H1909" s="67"/>
      <c r="I1909" s="67"/>
      <c r="J1909" s="2"/>
    </row>
    <row r="1910" spans="3:10" x14ac:dyDescent="0.25">
      <c r="C1910" s="2"/>
      <c r="D1910" s="134"/>
      <c r="E1910" s="2"/>
      <c r="F1910" s="2"/>
      <c r="G1910" s="67"/>
      <c r="H1910" s="67"/>
      <c r="I1910" s="67"/>
      <c r="J1910" s="2"/>
    </row>
    <row r="1911" spans="3:10" x14ac:dyDescent="0.25">
      <c r="C1911" s="2"/>
      <c r="D1911" s="134"/>
      <c r="E1911" s="2"/>
      <c r="F1911" s="2"/>
      <c r="G1911" s="67"/>
      <c r="H1911" s="67"/>
      <c r="I1911" s="67"/>
      <c r="J1911" s="2"/>
    </row>
    <row r="1912" spans="3:10" x14ac:dyDescent="0.25">
      <c r="C1912" s="2"/>
      <c r="D1912" s="134"/>
      <c r="E1912" s="2"/>
      <c r="F1912" s="2"/>
      <c r="G1912" s="67"/>
      <c r="H1912" s="67"/>
      <c r="I1912" s="67"/>
      <c r="J1912" s="2"/>
    </row>
    <row r="1913" spans="3:10" x14ac:dyDescent="0.25">
      <c r="C1913" s="2"/>
      <c r="D1913" s="134"/>
      <c r="E1913" s="2"/>
      <c r="F1913" s="2"/>
      <c r="G1913" s="67"/>
      <c r="H1913" s="67"/>
      <c r="I1913" s="67"/>
      <c r="J1913" s="2"/>
    </row>
    <row r="1914" spans="3:10" x14ac:dyDescent="0.25">
      <c r="C1914" s="2"/>
      <c r="D1914" s="134"/>
      <c r="E1914" s="2"/>
      <c r="F1914" s="2"/>
      <c r="G1914" s="67"/>
      <c r="H1914" s="67"/>
      <c r="I1914" s="67"/>
      <c r="J1914" s="2"/>
    </row>
    <row r="1915" spans="3:10" x14ac:dyDescent="0.25">
      <c r="C1915" s="2"/>
      <c r="D1915" s="134"/>
      <c r="E1915" s="2"/>
      <c r="F1915" s="2"/>
      <c r="G1915" s="67"/>
      <c r="H1915" s="67"/>
      <c r="I1915" s="67"/>
      <c r="J1915" s="2"/>
    </row>
    <row r="1916" spans="3:10" x14ac:dyDescent="0.25">
      <c r="C1916" s="2"/>
      <c r="D1916" s="134"/>
      <c r="E1916" s="2"/>
      <c r="F1916" s="2"/>
      <c r="G1916" s="67"/>
      <c r="H1916" s="67"/>
      <c r="I1916" s="67"/>
      <c r="J1916" s="2"/>
    </row>
    <row r="1917" spans="3:10" x14ac:dyDescent="0.25">
      <c r="C1917" s="2"/>
      <c r="D1917" s="134"/>
      <c r="E1917" s="2"/>
      <c r="F1917" s="2"/>
      <c r="G1917" s="67"/>
      <c r="H1917" s="67"/>
      <c r="I1917" s="67"/>
      <c r="J1917" s="2"/>
    </row>
    <row r="1918" spans="3:10" x14ac:dyDescent="0.25">
      <c r="C1918" s="2"/>
      <c r="D1918" s="134"/>
      <c r="E1918" s="2"/>
      <c r="F1918" s="2"/>
      <c r="G1918" s="67"/>
      <c r="H1918" s="67"/>
      <c r="I1918" s="67"/>
      <c r="J1918" s="2"/>
    </row>
    <row r="1919" spans="3:10" x14ac:dyDescent="0.25">
      <c r="C1919" s="2"/>
      <c r="D1919" s="134"/>
      <c r="E1919" s="2"/>
      <c r="F1919" s="2"/>
      <c r="G1919" s="67"/>
      <c r="H1919" s="67"/>
      <c r="I1919" s="67"/>
      <c r="J1919" s="2"/>
    </row>
    <row r="1920" spans="3:10" x14ac:dyDescent="0.25">
      <c r="C1920" s="2"/>
      <c r="D1920" s="134"/>
      <c r="E1920" s="2"/>
      <c r="F1920" s="2"/>
      <c r="G1920" s="67"/>
      <c r="H1920" s="67"/>
      <c r="I1920" s="67"/>
      <c r="J1920" s="2"/>
    </row>
    <row r="1921" spans="3:10" x14ac:dyDescent="0.25">
      <c r="C1921" s="2"/>
      <c r="D1921" s="134"/>
      <c r="E1921" s="2"/>
      <c r="F1921" s="2"/>
      <c r="G1921" s="67"/>
      <c r="H1921" s="67"/>
      <c r="I1921" s="67"/>
      <c r="J1921" s="2"/>
    </row>
    <row r="1922" spans="3:10" x14ac:dyDescent="0.25">
      <c r="C1922" s="2"/>
      <c r="D1922" s="134"/>
      <c r="E1922" s="2"/>
      <c r="F1922" s="2"/>
      <c r="G1922" s="67"/>
      <c r="H1922" s="67"/>
      <c r="I1922" s="67"/>
      <c r="J1922" s="2"/>
    </row>
    <row r="1923" spans="3:10" x14ac:dyDescent="0.25">
      <c r="C1923" s="2"/>
      <c r="D1923" s="134"/>
      <c r="E1923" s="2"/>
      <c r="F1923" s="2"/>
      <c r="G1923" s="67"/>
      <c r="H1923" s="67"/>
      <c r="I1923" s="67"/>
      <c r="J1923" s="2"/>
    </row>
    <row r="1924" spans="3:10" x14ac:dyDescent="0.25">
      <c r="C1924" s="2"/>
      <c r="D1924" s="134"/>
      <c r="E1924" s="2"/>
      <c r="F1924" s="2"/>
      <c r="G1924" s="67"/>
      <c r="H1924" s="67"/>
      <c r="I1924" s="67"/>
      <c r="J1924" s="2"/>
    </row>
    <row r="1925" spans="3:10" x14ac:dyDescent="0.25">
      <c r="C1925" s="2"/>
      <c r="D1925" s="134"/>
      <c r="E1925" s="2"/>
      <c r="F1925" s="2"/>
      <c r="G1925" s="67"/>
      <c r="H1925" s="67"/>
      <c r="I1925" s="67"/>
      <c r="J1925" s="2"/>
    </row>
    <row r="1926" spans="3:10" x14ac:dyDescent="0.25">
      <c r="C1926" s="2"/>
      <c r="D1926" s="134"/>
      <c r="E1926" s="2"/>
      <c r="F1926" s="2"/>
      <c r="G1926" s="67"/>
      <c r="H1926" s="67"/>
      <c r="I1926" s="67"/>
      <c r="J1926" s="2"/>
    </row>
    <row r="1927" spans="3:10" x14ac:dyDescent="0.25">
      <c r="C1927" s="2"/>
      <c r="D1927" s="134"/>
      <c r="E1927" s="2"/>
      <c r="F1927" s="2"/>
      <c r="G1927" s="67"/>
      <c r="H1927" s="67"/>
      <c r="I1927" s="67"/>
      <c r="J1927" s="2"/>
    </row>
    <row r="1928" spans="3:10" x14ac:dyDescent="0.25">
      <c r="C1928" s="2"/>
      <c r="D1928" s="134"/>
      <c r="E1928" s="2"/>
      <c r="F1928" s="2"/>
      <c r="G1928" s="67"/>
      <c r="H1928" s="67"/>
      <c r="I1928" s="67"/>
      <c r="J1928" s="2"/>
    </row>
    <row r="1929" spans="3:10" x14ac:dyDescent="0.25">
      <c r="C1929" s="2"/>
      <c r="D1929" s="134"/>
      <c r="E1929" s="2"/>
      <c r="F1929" s="2"/>
      <c r="G1929" s="67"/>
      <c r="H1929" s="67"/>
      <c r="I1929" s="67"/>
      <c r="J1929" s="2"/>
    </row>
    <row r="1930" spans="3:10" x14ac:dyDescent="0.25">
      <c r="C1930" s="2"/>
      <c r="D1930" s="134"/>
      <c r="E1930" s="2"/>
      <c r="F1930" s="2"/>
      <c r="G1930" s="67"/>
      <c r="H1930" s="67"/>
      <c r="I1930" s="67"/>
      <c r="J1930" s="2"/>
    </row>
    <row r="1931" spans="3:10" x14ac:dyDescent="0.25">
      <c r="C1931" s="2"/>
      <c r="D1931" s="134"/>
      <c r="E1931" s="2"/>
      <c r="F1931" s="2"/>
      <c r="G1931" s="67"/>
      <c r="H1931" s="67"/>
      <c r="I1931" s="67"/>
      <c r="J1931" s="2"/>
    </row>
    <row r="1932" spans="3:10" x14ac:dyDescent="0.25">
      <c r="C1932" s="2"/>
      <c r="D1932" s="134"/>
      <c r="E1932" s="2"/>
      <c r="F1932" s="2"/>
      <c r="G1932" s="67"/>
      <c r="H1932" s="67"/>
      <c r="I1932" s="67"/>
      <c r="J1932" s="2"/>
    </row>
    <row r="1933" spans="3:10" x14ac:dyDescent="0.25">
      <c r="C1933" s="2"/>
      <c r="D1933" s="134"/>
      <c r="E1933" s="2"/>
      <c r="F1933" s="2"/>
      <c r="G1933" s="67"/>
      <c r="H1933" s="67"/>
      <c r="I1933" s="67"/>
      <c r="J1933" s="2"/>
    </row>
    <row r="1934" spans="3:10" x14ac:dyDescent="0.25">
      <c r="C1934" s="2"/>
      <c r="D1934" s="134"/>
      <c r="E1934" s="2"/>
      <c r="F1934" s="2"/>
      <c r="G1934" s="67"/>
      <c r="H1934" s="67"/>
      <c r="I1934" s="67"/>
      <c r="J1934" s="2"/>
    </row>
    <row r="1935" spans="3:10" x14ac:dyDescent="0.25">
      <c r="C1935" s="2"/>
      <c r="D1935" s="134"/>
      <c r="E1935" s="2"/>
      <c r="F1935" s="2"/>
      <c r="G1935" s="67"/>
      <c r="H1935" s="67"/>
      <c r="I1935" s="67"/>
      <c r="J1935" s="2"/>
    </row>
    <row r="1936" spans="3:10" x14ac:dyDescent="0.25">
      <c r="C1936" s="2"/>
      <c r="D1936" s="134"/>
      <c r="E1936" s="2"/>
      <c r="F1936" s="2"/>
      <c r="G1936" s="67"/>
      <c r="H1936" s="67"/>
      <c r="I1936" s="67"/>
      <c r="J1936" s="2"/>
    </row>
    <row r="1937" spans="3:10" x14ac:dyDescent="0.25">
      <c r="C1937" s="2"/>
      <c r="D1937" s="134"/>
      <c r="E1937" s="2"/>
      <c r="F1937" s="2"/>
      <c r="G1937" s="67"/>
      <c r="H1937" s="67"/>
      <c r="I1937" s="67"/>
      <c r="J1937" s="2"/>
    </row>
    <row r="1938" spans="3:10" x14ac:dyDescent="0.25">
      <c r="C1938" s="2"/>
      <c r="D1938" s="134"/>
      <c r="E1938" s="2"/>
      <c r="F1938" s="2"/>
      <c r="G1938" s="67"/>
      <c r="H1938" s="67"/>
      <c r="I1938" s="67"/>
      <c r="J1938" s="2"/>
    </row>
    <row r="1939" spans="3:10" x14ac:dyDescent="0.25">
      <c r="C1939" s="2"/>
      <c r="D1939" s="134"/>
      <c r="E1939" s="2"/>
      <c r="F1939" s="2"/>
      <c r="G1939" s="67"/>
      <c r="H1939" s="67"/>
      <c r="I1939" s="67"/>
      <c r="J1939" s="2"/>
    </row>
    <row r="1940" spans="3:10" x14ac:dyDescent="0.25">
      <c r="C1940" s="2"/>
      <c r="D1940" s="134"/>
      <c r="E1940" s="2"/>
      <c r="F1940" s="2"/>
      <c r="G1940" s="67"/>
      <c r="H1940" s="67"/>
      <c r="I1940" s="67"/>
      <c r="J1940" s="2"/>
    </row>
    <row r="1941" spans="3:10" x14ac:dyDescent="0.25">
      <c r="C1941" s="2"/>
      <c r="D1941" s="134"/>
      <c r="E1941" s="2"/>
      <c r="F1941" s="2"/>
      <c r="G1941" s="67"/>
      <c r="H1941" s="67"/>
      <c r="I1941" s="67"/>
      <c r="J1941" s="2"/>
    </row>
    <row r="1942" spans="3:10" x14ac:dyDescent="0.25">
      <c r="C1942" s="2"/>
      <c r="D1942" s="134"/>
      <c r="E1942" s="2"/>
      <c r="F1942" s="2"/>
      <c r="G1942" s="67"/>
      <c r="H1942" s="67"/>
      <c r="I1942" s="67"/>
      <c r="J1942" s="2"/>
    </row>
    <row r="1943" spans="3:10" x14ac:dyDescent="0.25">
      <c r="C1943" s="2"/>
      <c r="D1943" s="134"/>
      <c r="E1943" s="2"/>
      <c r="F1943" s="2"/>
      <c r="G1943" s="67"/>
      <c r="H1943" s="67"/>
      <c r="I1943" s="67"/>
      <c r="J1943" s="2"/>
    </row>
    <row r="1944" spans="3:10" x14ac:dyDescent="0.25">
      <c r="C1944" s="2"/>
      <c r="D1944" s="134"/>
      <c r="E1944" s="2"/>
      <c r="F1944" s="2"/>
      <c r="G1944" s="67"/>
      <c r="H1944" s="67"/>
      <c r="I1944" s="67"/>
      <c r="J1944" s="2"/>
    </row>
    <row r="1945" spans="3:10" x14ac:dyDescent="0.25">
      <c r="C1945" s="2"/>
      <c r="D1945" s="134"/>
      <c r="E1945" s="2"/>
      <c r="F1945" s="2"/>
      <c r="G1945" s="67"/>
      <c r="H1945" s="67"/>
      <c r="I1945" s="67"/>
      <c r="J1945" s="2"/>
    </row>
    <row r="1946" spans="3:10" x14ac:dyDescent="0.25">
      <c r="C1946" s="2"/>
      <c r="D1946" s="134"/>
      <c r="E1946" s="2"/>
      <c r="F1946" s="2"/>
      <c r="G1946" s="67"/>
      <c r="H1946" s="67"/>
      <c r="I1946" s="67"/>
      <c r="J1946" s="2"/>
    </row>
    <row r="1947" spans="3:10" x14ac:dyDescent="0.25">
      <c r="C1947" s="2"/>
      <c r="D1947" s="134"/>
      <c r="E1947" s="2"/>
      <c r="F1947" s="2"/>
      <c r="G1947" s="67"/>
      <c r="H1947" s="67"/>
      <c r="I1947" s="67"/>
      <c r="J1947" s="2"/>
    </row>
    <row r="1948" spans="3:10" x14ac:dyDescent="0.25">
      <c r="C1948" s="2"/>
      <c r="D1948" s="134"/>
      <c r="E1948" s="2"/>
      <c r="F1948" s="2"/>
      <c r="G1948" s="67"/>
      <c r="H1948" s="67"/>
      <c r="I1948" s="67"/>
      <c r="J1948" s="2"/>
    </row>
    <row r="1949" spans="3:10" x14ac:dyDescent="0.25">
      <c r="C1949" s="2"/>
      <c r="D1949" s="134"/>
      <c r="E1949" s="2"/>
      <c r="F1949" s="2"/>
      <c r="G1949" s="67"/>
      <c r="H1949" s="67"/>
      <c r="I1949" s="67"/>
      <c r="J1949" s="2"/>
    </row>
    <row r="1950" spans="3:10" x14ac:dyDescent="0.25">
      <c r="C1950" s="2"/>
      <c r="D1950" s="134"/>
      <c r="E1950" s="2"/>
      <c r="F1950" s="2"/>
      <c r="G1950" s="67"/>
      <c r="H1950" s="67"/>
      <c r="I1950" s="67"/>
      <c r="J1950" s="2"/>
    </row>
    <row r="1951" spans="3:10" x14ac:dyDescent="0.25">
      <c r="C1951" s="2"/>
      <c r="D1951" s="134"/>
      <c r="E1951" s="2"/>
      <c r="F1951" s="2"/>
      <c r="G1951" s="67"/>
      <c r="H1951" s="67"/>
      <c r="I1951" s="67"/>
      <c r="J1951" s="2"/>
    </row>
    <row r="1952" spans="3:10" x14ac:dyDescent="0.25">
      <c r="C1952" s="2"/>
      <c r="D1952" s="134"/>
      <c r="E1952" s="2"/>
      <c r="F1952" s="2"/>
      <c r="G1952" s="67"/>
      <c r="H1952" s="67"/>
      <c r="I1952" s="67"/>
      <c r="J1952" s="2"/>
    </row>
    <row r="1953" spans="3:10" x14ac:dyDescent="0.25">
      <c r="C1953" s="2"/>
      <c r="D1953" s="134"/>
      <c r="E1953" s="2"/>
      <c r="F1953" s="2"/>
      <c r="G1953" s="67"/>
      <c r="H1953" s="67"/>
      <c r="I1953" s="67"/>
      <c r="J1953" s="2"/>
    </row>
    <row r="1954" spans="3:10" x14ac:dyDescent="0.25">
      <c r="C1954" s="2"/>
      <c r="D1954" s="134"/>
      <c r="E1954" s="2"/>
      <c r="F1954" s="2"/>
      <c r="G1954" s="67"/>
      <c r="H1954" s="67"/>
      <c r="I1954" s="67"/>
      <c r="J1954" s="2"/>
    </row>
    <row r="1955" spans="3:10" x14ac:dyDescent="0.25">
      <c r="C1955" s="2"/>
      <c r="D1955" s="134"/>
      <c r="E1955" s="2"/>
      <c r="F1955" s="2"/>
      <c r="G1955" s="67"/>
      <c r="H1955" s="67"/>
      <c r="I1955" s="67"/>
      <c r="J1955" s="2"/>
    </row>
    <row r="1956" spans="3:10" x14ac:dyDescent="0.25">
      <c r="C1956" s="2"/>
      <c r="D1956" s="134"/>
      <c r="E1956" s="2"/>
      <c r="F1956" s="2"/>
      <c r="G1956" s="67"/>
      <c r="H1956" s="67"/>
      <c r="I1956" s="67"/>
      <c r="J1956" s="2"/>
    </row>
    <row r="1957" spans="3:10" x14ac:dyDescent="0.25">
      <c r="C1957" s="2"/>
      <c r="D1957" s="134"/>
      <c r="E1957" s="2"/>
      <c r="F1957" s="2"/>
      <c r="G1957" s="67"/>
      <c r="H1957" s="67"/>
      <c r="I1957" s="67"/>
      <c r="J1957" s="2"/>
    </row>
    <row r="1958" spans="3:10" x14ac:dyDescent="0.25">
      <c r="C1958" s="2"/>
      <c r="D1958" s="134"/>
      <c r="E1958" s="2"/>
      <c r="F1958" s="2"/>
      <c r="G1958" s="67"/>
      <c r="H1958" s="67"/>
      <c r="I1958" s="67"/>
      <c r="J1958" s="2"/>
    </row>
    <row r="1959" spans="3:10" x14ac:dyDescent="0.25">
      <c r="C1959" s="2"/>
      <c r="D1959" s="134"/>
      <c r="E1959" s="2"/>
      <c r="F1959" s="2"/>
      <c r="G1959" s="67"/>
      <c r="H1959" s="67"/>
      <c r="I1959" s="67"/>
      <c r="J1959" s="2"/>
    </row>
    <row r="1960" spans="3:10" x14ac:dyDescent="0.25">
      <c r="C1960" s="2"/>
      <c r="D1960" s="134"/>
      <c r="E1960" s="2"/>
      <c r="F1960" s="2"/>
      <c r="G1960" s="67"/>
      <c r="H1960" s="67"/>
      <c r="I1960" s="67"/>
      <c r="J1960" s="2"/>
    </row>
    <row r="1961" spans="3:10" x14ac:dyDescent="0.25">
      <c r="C1961" s="2"/>
      <c r="D1961" s="134"/>
      <c r="E1961" s="2"/>
      <c r="F1961" s="2"/>
      <c r="G1961" s="67"/>
      <c r="H1961" s="67"/>
      <c r="I1961" s="67"/>
      <c r="J1961" s="2"/>
    </row>
    <row r="1962" spans="3:10" x14ac:dyDescent="0.25">
      <c r="C1962" s="2"/>
      <c r="D1962" s="134"/>
      <c r="E1962" s="2"/>
      <c r="F1962" s="2"/>
      <c r="G1962" s="67"/>
      <c r="H1962" s="67"/>
      <c r="I1962" s="67"/>
      <c r="J1962" s="2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phoneticPr fontId="5" type="noConversion"/>
  <dataValidations count="4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  <dataValidation type="list" allowBlank="1" showInputMessage="1" showErrorMessage="1" sqref="E2" xr:uid="{3156DCD2-2175-43A1-BBFC-74B9D96E5234}">
      <formula1>"'&lt;=-1,"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2024-05-06T07:15:10Z</dcterms:modified>
</cp:coreProperties>
</file>